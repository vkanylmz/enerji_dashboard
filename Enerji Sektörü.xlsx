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threadedComments/threadedComment3.xml" ContentType="application/vnd.ms-excel.threadedcomments+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5.xml" ContentType="application/vnd.openxmlformats-officedocument.spreadsheetml.comments+xml"/>
  <Override PartName="/xl/threadedComments/threadedComment4.xml" ContentType="application/vnd.ms-excel.threadedcomments+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6.xml" ContentType="application/vnd.openxmlformats-officedocument.spreadsheetml.comments+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omments7.xml" ContentType="application/vnd.openxmlformats-officedocument.spreadsheetml.comments+xml"/>
  <Override PartName="/xl/threadedComments/threadedComment5.xml" ContentType="application/vnd.ms-excel.threadedcomments+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omments8.xml" ContentType="application/vnd.openxmlformats-officedocument.spreadsheetml.comments+xml"/>
  <Override PartName="/xl/threadedComments/threadedComment6.xml" ContentType="application/vnd.ms-excel.threadedcomments+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omments9.xml" ContentType="application/vnd.openxmlformats-officedocument.spreadsheetml.comments+xml"/>
  <Override PartName="/xl/threadedComments/threadedComment7.xml" ContentType="application/vnd.ms-excel.threadedcomments+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comments10.xml" ContentType="application/vnd.openxmlformats-officedocument.spreadsheetml.comments+xml"/>
  <Override PartName="/xl/threadedComments/threadedComment8.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comments11.xml" ContentType="application/vnd.openxmlformats-officedocument.spreadsheetml.comments+xml"/>
  <Override PartName="/xl/threadedComments/threadedComment9.xml" ContentType="application/vnd.ms-excel.threadedcomments+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comments12.xml" ContentType="application/vnd.openxmlformats-officedocument.spreadsheetml.comments+xml"/>
  <Override PartName="/xl/threadedComments/threadedComment10.xml" ContentType="application/vnd.ms-excel.threadedcomments+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comments13.xml" ContentType="application/vnd.openxmlformats-officedocument.spreadsheetml.comments+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comments14.xml" ContentType="application/vnd.openxmlformats-officedocument.spreadsheetml.comments+xml"/>
  <Override PartName="/xl/threadedComments/threadedComment11.xml" ContentType="application/vnd.ms-excel.threadedcomments+xml"/>
  <Override PartName="/xl/comments15.xml" ContentType="application/vnd.openxmlformats-officedocument.spreadsheetml.comments+xml"/>
  <Override PartName="/xl/threadedComments/threadedComment12.xml" ContentType="application/vnd.ms-excel.threadedcomments+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omments16.xml" ContentType="application/vnd.openxmlformats-officedocument.spreadsheetml.comments+xml"/>
  <Override PartName="/xl/threadedComments/threadedComment13.xml" ContentType="application/vnd.ms-excel.threadedcomments+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comments17.xml" ContentType="application/vnd.openxmlformats-officedocument.spreadsheetml.comments+xml"/>
  <Override PartName="/xl/threadedComments/threadedComment14.xml" ContentType="application/vnd.ms-excel.threadedcomments+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comments18.xml" ContentType="application/vnd.openxmlformats-officedocument.spreadsheetml.comments+xml"/>
  <Override PartName="/xl/threadedComments/threadedComment15.xml" ContentType="application/vnd.ms-excel.threadedcomments+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comments19.xml" ContentType="application/vnd.openxmlformats-officedocument.spreadsheetml.comments+xml"/>
  <Override PartName="/xl/threadedComments/threadedComment1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K:\Arastirma\Sektör Raporları\Enerji Sektörü\"/>
    </mc:Choice>
  </mc:AlternateContent>
  <xr:revisionPtr revIDLastSave="0" documentId="13_ncr:1_{1CCD0AAB-0D83-4C3E-9134-4AB5E9A82295}" xr6:coauthVersionLast="47" xr6:coauthVersionMax="47" xr10:uidLastSave="{00000000-0000-0000-0000-000000000000}"/>
  <bookViews>
    <workbookView xWindow="57480" yWindow="-120" windowWidth="29040" windowHeight="15720" tabRatio="940" activeTab="16" xr2:uid="{00000000-000D-0000-FFFF-FFFF00000000}"/>
  </bookViews>
  <sheets>
    <sheet name="ENERJİ SEKTÖRÜ" sheetId="1" r:id="rId1"/>
    <sheet name="ELEKTRİK verileri" sheetId="58" r:id="rId2"/>
    <sheet name="SONUÇ" sheetId="56" r:id="rId3"/>
    <sheet name="PTF" sheetId="54" r:id="rId4"/>
    <sheet name="Sayfa1" sheetId="59" r:id="rId5"/>
    <sheet name="A1YEN" sheetId="2" r:id="rId6"/>
    <sheet name="AKENR" sheetId="3" r:id="rId7"/>
    <sheet name="AKFYE" sheetId="4" r:id="rId8"/>
    <sheet name="AKSEN" sheetId="5" r:id="rId9"/>
    <sheet name="AKSUE" sheetId="31" r:id="rId10"/>
    <sheet name="AYDEM" sheetId="23" r:id="rId11"/>
    <sheet name="AYEN" sheetId="25" r:id="rId12"/>
    <sheet name="BIGEN" sheetId="38" r:id="rId13"/>
    <sheet name="BIOEN" sheetId="26" r:id="rId14"/>
    <sheet name="CONSE" sheetId="12" r:id="rId15"/>
    <sheet name="CANTE" sheetId="7" r:id="rId16"/>
    <sheet name="CATES" sheetId="8" r:id="rId17"/>
    <sheet name="ECOGR" sheetId="21" r:id="rId18"/>
    <sheet name="ENDAE" sheetId="18" r:id="rId19"/>
    <sheet name="ENTRA" sheetId="17" r:id="rId20"/>
    <sheet name="GWIND" sheetId="13" r:id="rId21"/>
    <sheet name="IZENR" sheetId="14" r:id="rId22"/>
    <sheet name="LYDYE" sheetId="28" r:id="rId23"/>
    <sheet name="MOGAN" sheetId="20" r:id="rId24"/>
    <sheet name="ODAS" sheetId="37" r:id="rId25"/>
    <sheet name="PAMEL" sheetId="16" r:id="rId26"/>
    <sheet name="SMRTG" sheetId="53" r:id="rId27"/>
    <sheet name="TATEN" sheetId="9" r:id="rId28"/>
    <sheet name="ZEDUR" sheetId="33" r:id="rId29"/>
    <sheet name="ZOREN" sheetId="22" r:id="rId30"/>
  </sheets>
  <externalReferences>
    <externalReference r:id="rId31"/>
  </externalReferences>
  <definedNames>
    <definedName name="\I">#REF!</definedName>
    <definedName name="\P">#REF!</definedName>
    <definedName name="__IntlFixup" hidden="1">TRUE</definedName>
    <definedName name="_1_0KOTA">#REF!</definedName>
    <definedName name="_1994">#REF!</definedName>
    <definedName name="_1995">#REF!</definedName>
    <definedName name="_1996">#REF!</definedName>
    <definedName name="_1997">#REF!</definedName>
    <definedName name="_1998">#REF!</definedName>
    <definedName name="_1999">#REF!</definedName>
    <definedName name="_1Q94">#REF!</definedName>
    <definedName name="_1Q95">#REF!</definedName>
    <definedName name="_2Q94">#REF!</definedName>
    <definedName name="_2Q95">#REF!</definedName>
    <definedName name="_3Q94">#REF!</definedName>
    <definedName name="_3Q95">#REF!</definedName>
    <definedName name="_4Q94">#REF!</definedName>
    <definedName name="_4Q95">#REF!</definedName>
    <definedName name="_eps94">#REF!</definedName>
    <definedName name="_Key1" hidden="1">#REF!</definedName>
    <definedName name="_Key2" hidden="1">#REF!</definedName>
    <definedName name="_Order1" hidden="1">0</definedName>
    <definedName name="_Order2" hidden="1">0</definedName>
    <definedName name="_Regression_Out" hidden="1">#REF!</definedName>
    <definedName name="_Regression_X" hidden="1">#REF!</definedName>
    <definedName name="_Regression_Y" hidden="1">#REF!</definedName>
    <definedName name="_Sort" hidden="1">#REF!</definedName>
    <definedName name="_xlnm._FilterDatabase" localSheetId="0" hidden="1">'ENERJİ SEKTÖRÜ'!$A$1:$AH$1</definedName>
    <definedName name="aa">#REF!</definedName>
    <definedName name="AAA" hidden="1">{"'Grafik Kontrol'!$A$1:$J$8"}</definedName>
    <definedName name="ab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ccessDatabase" hidden="1">"C:\Мои документы\НоваяОборотка.mdb"</definedName>
    <definedName name="Actual_Price">#REF!</definedName>
    <definedName name="adafasd">#REF!</definedName>
    <definedName name="adfa">#REF!</definedName>
    <definedName name="adfqef">#REF!</definedName>
    <definedName name="AdjustedPrice">#REF!</definedName>
    <definedName name="adq">#REF!</definedName>
    <definedName name="akdeniz">#REF!</definedName>
    <definedName name="Analyst">#REF!</definedName>
    <definedName name="Analyst_Email">#REF!</definedName>
    <definedName name="Analyst_Phone">#REF!</definedName>
    <definedName name="anscount" hidden="1">1</definedName>
    <definedName name="Argentina">#REF!</definedName>
    <definedName name="as">#REF!</definedName>
    <definedName name="As_of">#REF!</definedName>
    <definedName name="AS2DocOpenMode" hidden="1">"AS2DocumentEdit"</definedName>
    <definedName name="asd">#REF!</definedName>
    <definedName name="asdf">#REF!</definedName>
    <definedName name="Astelit">#REF!</definedName>
    <definedName name="Atlanta_Gas_Light_Company_and_Subsidiaries">#REF!</definedName>
    <definedName name="AVR" hidden="1">{"'Grafik Kontrol'!$A$1:$J$8"}</definedName>
    <definedName name="BAL_SHEET">#REF!</definedName>
    <definedName name="BLPH1" hidden="1">#REF!</definedName>
    <definedName name="BLPH10"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6" hidden="1">#REF!</definedName>
    <definedName name="BLPH7" hidden="1">#REF!</definedName>
    <definedName name="BLPH8" hidden="1">#REF!</definedName>
    <definedName name="BLPH9" hidden="1">#REF!</definedName>
    <definedName name="BPP_CY">#REF!</definedName>
    <definedName name="BPP_GY">#REF!</definedName>
    <definedName name="BS_PL">#REF!</definedName>
    <definedName name="CAP">#REF!</definedName>
    <definedName name="cap.investment">#REF!</definedName>
    <definedName name="Capex">#REF!</definedName>
    <definedName name="Capex_96">#REF!</definedName>
    <definedName name="CASH">#REF!</definedName>
    <definedName name="CASH_FLOW">#REF!</definedName>
    <definedName name="ceps_00">#REF!</definedName>
    <definedName name="ceps_01">#REF!</definedName>
    <definedName name="CF">[0]!CF</definedName>
    <definedName name="CF_STATEMENT">#REF!</definedName>
    <definedName name="CFPS_Curr_Yr">#REF!</definedName>
    <definedName name="CFPS_Lst_Yr">#REF!</definedName>
    <definedName name="CFPS_Next_Yr">#REF!</definedName>
    <definedName name="Charts1">#REF!</definedName>
    <definedName name="Charts2">#REF!</definedName>
    <definedName name="Chile1">#REF!</definedName>
    <definedName name="Chile2">#REF!</definedName>
    <definedName name="Closed_End">#REF!</definedName>
    <definedName name="co_name">#REF!</definedName>
    <definedName name="COGS_00">#REF!</definedName>
    <definedName name="COGS_01">#REF!</definedName>
    <definedName name="COGS_02">#REF!</definedName>
    <definedName name="COGS_03">#REF!</definedName>
    <definedName name="COGS_04">#REF!</definedName>
    <definedName name="COGS_05">#REF!</definedName>
    <definedName name="COGS_06">#REF!</definedName>
    <definedName name="COGS_07">#REF!</definedName>
    <definedName name="COGS_08">#REF!</definedName>
    <definedName name="COGS_99">#REF!</definedName>
    <definedName name="COGS_Model">#REF!</definedName>
    <definedName name="column_id">#REF!</definedName>
    <definedName name="conv">#REF!</definedName>
    <definedName name="Copy">#REF!</definedName>
    <definedName name="cost_of_capital">#REF!</definedName>
    <definedName name="costdate">#REF!:INDIRECT("'maliyet'!$a"&amp;(MAX(ROW(#REF!)*(#REF!&lt;&gt;""))))</definedName>
    <definedName name="costprice">#REF!:INDIRECT("'maliyet'!$e"&amp;(MAX(ROW(#REF!)*(#REF!&lt;&gt;""))))</definedName>
    <definedName name="costprice2">#REF!:INDIRECT("'maliyet'!$f"&amp;(MAX(ROW(#REF!)*(#REF!&lt;&gt;""))))</definedName>
    <definedName name="cu102.ShareScalingFactor" hidden="1">1000000</definedName>
    <definedName name="cu103.EmployeeScalingFactor" hidden="1">1000</definedName>
    <definedName name="cu107.DPSSymbol" hidden="1">"c"</definedName>
    <definedName name="cu107.EPSSymbol" hidden="1">"c"</definedName>
    <definedName name="cu71.ScalingFactor" hidden="1">1000000</definedName>
    <definedName name="Currencies">#REF!</definedName>
    <definedName name="currency">#REF!</definedName>
    <definedName name="CURRENTYEAR">#REF!</definedName>
    <definedName name="danceps_eu97">#REF!</definedName>
    <definedName name="danceps94">#REF!</definedName>
    <definedName name="danceps95">#REF!</definedName>
    <definedName name="danceps96">#REF!</definedName>
    <definedName name="danceps97">#REF!</definedName>
    <definedName name="dandps_eu01">#REF!</definedName>
    <definedName name="dandps_eu02">#REF!</definedName>
    <definedName name="dandps_eu03">#REF!</definedName>
    <definedName name="dandps_eu97">#REF!</definedName>
    <definedName name="dandps94">#REF!</definedName>
    <definedName name="dandps95">#REF!</definedName>
    <definedName name="dandps96">#REF!</definedName>
    <definedName name="dandps97">#REF!</definedName>
    <definedName name="danebidta96">#REF!</definedName>
    <definedName name="danebidta97">#REF!</definedName>
    <definedName name="daneps_eu01">#REF!</definedName>
    <definedName name="daneps_eu02">#REF!</definedName>
    <definedName name="daneps_eu03">#REF!</definedName>
    <definedName name="daneps_eu97">#REF!</definedName>
    <definedName name="daneps94">#REF!</definedName>
    <definedName name="daneps95">#REF!</definedName>
    <definedName name="daneps96">#REF!</definedName>
    <definedName name="daneps97">#REF!</definedName>
    <definedName name="danepseu_04">#REF!</definedName>
    <definedName name="danshares">#REF!</definedName>
    <definedName name="data_type_id">#REF!</definedName>
    <definedName name="data1">#REF!</definedName>
    <definedName name="date">#REF!:INDIRECT("'üretim'!$a"&amp;(MAX(ROW(#REF!)*(#REF!&lt;&gt;""))))</definedName>
    <definedName name="Date1">#REF!</definedName>
    <definedName name="DECLINE">#REF!</definedName>
    <definedName name="DEPR">#REF!</definedName>
    <definedName name="DEVELOPMENT">5</definedName>
    <definedName name="dps">#REF!</definedName>
    <definedName name="dps_00">#REF!</definedName>
    <definedName name="dps_01">#REF!</definedName>
    <definedName name="dps_02">#REF!</definedName>
    <definedName name="dps_03">#REF!</definedName>
    <definedName name="dps_04">#REF!</definedName>
    <definedName name="DPS_Curr_Yr">#REF!</definedName>
    <definedName name="DPS_Lst_Yr">#REF!</definedName>
    <definedName name="DPS_Next_Yr">#REF!</definedName>
    <definedName name="DRAFT_RCnum">#REF!</definedName>
    <definedName name="Earnings_Model">#REF!</definedName>
    <definedName name="Earnings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BIT_00">#REF!</definedName>
    <definedName name="EBIT_01">#REF!</definedName>
    <definedName name="EBIT_02">#REF!</definedName>
    <definedName name="EBIT_03">#REF!</definedName>
    <definedName name="EBIT_04">#REF!</definedName>
    <definedName name="EBIT_05">#REF!</definedName>
    <definedName name="EBIT_06">#REF!</definedName>
    <definedName name="EBIT_07">#REF!</definedName>
    <definedName name="EBIT_08">#REF!</definedName>
    <definedName name="EBIT_96">#REF!</definedName>
    <definedName name="EBIT_97">#REF!</definedName>
    <definedName name="EBIT_98">#REF!</definedName>
    <definedName name="EBIT_99">#REF!</definedName>
    <definedName name="EBIT_growth_1997">#REF!</definedName>
    <definedName name="EBIT_growth_97">#REF!</definedName>
    <definedName name="EBIT_margin_1996">#REF!</definedName>
    <definedName name="EBIT_margin_1997">#REF!</definedName>
    <definedName name="EBIT_margin_97">#REF!</definedName>
    <definedName name="EBITDA_00">#REF!</definedName>
    <definedName name="EBITDA_01">#REF!</definedName>
    <definedName name="EBITDA_02">#REF!</definedName>
    <definedName name="EBITDA_03">#REF!</definedName>
    <definedName name="EBITDA_04">#REF!</definedName>
    <definedName name="EBITDA_05">#REF!</definedName>
    <definedName name="EBITDA_06">#REF!</definedName>
    <definedName name="EBITDA_07">#REF!</definedName>
    <definedName name="EBITDA_08">#REF!</definedName>
    <definedName name="EBITDA_94">#REF!</definedName>
    <definedName name="EBITDA_95">#REF!</definedName>
    <definedName name="EBITDA_96">#REF!</definedName>
    <definedName name="EBITDA_97">#REF!</definedName>
    <definedName name="EBITDA_98">#REF!</definedName>
    <definedName name="EBITDA_99">#REF!</definedName>
    <definedName name="ebit_1997">#REF!</definedName>
    <definedName name="ebit_plc_00">#REF!</definedName>
    <definedName name="ebit_plc_01">#REF!</definedName>
    <definedName name="ebit_plc_02">#REF!</definedName>
    <definedName name="ebit01">#REF!</definedName>
    <definedName name="ebit02">#REF!</definedName>
    <definedName name="ebit03">#REF!</definedName>
    <definedName name="ebit04">#REF!</definedName>
    <definedName name="ebitda_eu01">#REF!</definedName>
    <definedName name="ebitda_eu02">#REF!</definedName>
    <definedName name="ebitda_eu03">#REF!</definedName>
    <definedName name="ebitda_eu04">#REF!</definedName>
    <definedName name="ebitda_eu97">#REF!</definedName>
    <definedName name="EEE" hidden="1">{"'Grafik Kontrol'!$A$1:$J$8"}</definedName>
    <definedName name="Engdcf">#REF!</definedName>
    <definedName name="engintcomp">#REF!</definedName>
    <definedName name="engtoplam">#REF!</definedName>
    <definedName name="eps_1997">#REF!</definedName>
    <definedName name="EPS_95">#REF!</definedName>
    <definedName name="EPS_96">#REF!</definedName>
    <definedName name="EPS_Curr_Qtr">#REF!</definedName>
    <definedName name="EPS_Curr_Yr">#REF!</definedName>
    <definedName name="eps_eu_01">#REF!</definedName>
    <definedName name="eps_eu_02">#REF!</definedName>
    <definedName name="eps_eu_03">#REF!</definedName>
    <definedName name="eps_eu_97">#REF!</definedName>
    <definedName name="EPS_growth_1997">#REF!</definedName>
    <definedName name="EPS_growth_97">#REF!</definedName>
    <definedName name="EPS_Growth_Rate">#REF!</definedName>
    <definedName name="EPS_Lst_Yr">#REF!</definedName>
    <definedName name="EPS_Next_Yr">#REF!</definedName>
    <definedName name="eps_nv_eu_01">#REF!</definedName>
    <definedName name="eps_plc_01">#REF!</definedName>
    <definedName name="EPS_Qtr_Date">#REF!</definedName>
    <definedName name="EPSdil_95">#REF!</definedName>
    <definedName name="EPSdil_96">#REF!</definedName>
    <definedName name="Equity_Ticker">#REF!</definedName>
    <definedName name="FINANCIAL_RATIOS">#REF!</definedName>
    <definedName name="Fibor_Rate_12">#REF!</definedName>
    <definedName name="Fibor_Rate_3">#REF!</definedName>
    <definedName name="Fibor_Rate_6">#REF!</definedName>
    <definedName name="First_historic_Year">#REF!</definedName>
    <definedName name="FirstYear">#REF!</definedName>
    <definedName name="FootnoteDrop">#REF!</definedName>
    <definedName name="FootnoteDrop1">#REF!</definedName>
    <definedName name="FootnoteDrop10">#REF!</definedName>
    <definedName name="FootnoteDrop100">#REF!</definedName>
    <definedName name="FootnoteDrop11">#REF!</definedName>
    <definedName name="FootnoteDrop12">#REF!</definedName>
    <definedName name="FootnoteDrop13">#REF!</definedName>
    <definedName name="FootnoteDrop14">#REF!</definedName>
    <definedName name="FootnoteDrop15">#REF!</definedName>
    <definedName name="FootnoteDrop16">#REF!</definedName>
    <definedName name="FootnoteDrop17">#REF!</definedName>
    <definedName name="FootnoteDrop18">#REF!</definedName>
    <definedName name="FootnoteDrop19">#REF!</definedName>
    <definedName name="FootnoteDrop2">#REF!</definedName>
    <definedName name="FootnoteDrop20">#REF!</definedName>
    <definedName name="FootnoteDrop21">#REF!</definedName>
    <definedName name="FootnoteDrop22">#REF!</definedName>
    <definedName name="FootnoteDrop23">#REF!</definedName>
    <definedName name="FootnoteDrop24">#REF!</definedName>
    <definedName name="FootnoteDrop25">#REF!</definedName>
    <definedName name="FootnoteDrop26">#REF!</definedName>
    <definedName name="FootnoteDrop27">#REF!</definedName>
    <definedName name="FootnoteDrop28">#REF!</definedName>
    <definedName name="FootnoteDrop29">#REF!</definedName>
    <definedName name="FootnoteDrop3">#REF!</definedName>
    <definedName name="FootnoteDrop30">#REF!</definedName>
    <definedName name="FootnoteDrop31">#REF!</definedName>
    <definedName name="FootnoteDrop32">#REF!</definedName>
    <definedName name="FootnoteDrop33">#REF!</definedName>
    <definedName name="FootnoteDrop34">#REF!</definedName>
    <definedName name="FootnoteDrop35">#REF!</definedName>
    <definedName name="FootnoteDrop36">#REF!</definedName>
    <definedName name="FootnoteDrop37">#REF!</definedName>
    <definedName name="FootnoteDrop38">#REF!</definedName>
    <definedName name="FootnoteDrop39">#REF!</definedName>
    <definedName name="FootnoteDrop4">#REF!</definedName>
    <definedName name="FootnoteDrop40">#REF!</definedName>
    <definedName name="FootnoteDrop41">#REF!</definedName>
    <definedName name="FootnoteDrop42">#REF!</definedName>
    <definedName name="FootnoteDrop43">#REF!</definedName>
    <definedName name="FootnoteDrop44">#REF!</definedName>
    <definedName name="FootnoteDrop45">#REF!</definedName>
    <definedName name="FootnoteDrop46">#REF!</definedName>
    <definedName name="FootnoteDrop47">#REF!</definedName>
    <definedName name="FootnoteDrop48">#REF!</definedName>
    <definedName name="FootnoteDrop49">#REF!</definedName>
    <definedName name="FootnoteDrop5">#REF!</definedName>
    <definedName name="FootnoteDrop50">#REF!</definedName>
    <definedName name="FootnoteDrop51">#REF!</definedName>
    <definedName name="FootnoteDrop52">#REF!</definedName>
    <definedName name="FootnoteDrop53">#REF!</definedName>
    <definedName name="FootnoteDrop54">#REF!</definedName>
    <definedName name="FootnoteDrop55">#REF!</definedName>
    <definedName name="FootnoteDrop56">#REF!</definedName>
    <definedName name="FootnoteDrop57">#REF!</definedName>
    <definedName name="FootnoteDrop58">#REF!</definedName>
    <definedName name="FootnoteDrop59">#REF!</definedName>
    <definedName name="FootnoteDrop6">#REF!</definedName>
    <definedName name="FootnoteDrop60">#REF!</definedName>
    <definedName name="FootnoteDrop61">#REF!</definedName>
    <definedName name="FootnoteDrop62">#REF!</definedName>
    <definedName name="FootnoteDrop63">#REF!</definedName>
    <definedName name="FootnoteDrop64">#REF!</definedName>
    <definedName name="FootnoteDrop65">#REF!</definedName>
    <definedName name="FootnoteDrop66">#REF!</definedName>
    <definedName name="FootnoteDrop67">#REF!</definedName>
    <definedName name="FootnoteDrop68">#REF!</definedName>
    <definedName name="FootnoteDrop69">#REF!</definedName>
    <definedName name="FootnoteDrop7">#REF!</definedName>
    <definedName name="FootnoteDrop70">#REF!</definedName>
    <definedName name="FootnoteDrop71">#REF!</definedName>
    <definedName name="FootnoteDrop72">#REF!</definedName>
    <definedName name="FootnoteDrop73">#REF!</definedName>
    <definedName name="FootnoteDrop74">#REF!</definedName>
    <definedName name="FootnoteDrop75">#REF!</definedName>
    <definedName name="FootnoteDrop76">#REF!</definedName>
    <definedName name="FootnoteDrop77">#REF!</definedName>
    <definedName name="FootnoteDrop78">#REF!</definedName>
    <definedName name="FootnoteDrop79">#REF!</definedName>
    <definedName name="FootnoteDrop8">#REF!</definedName>
    <definedName name="FootnoteDrop80">#REF!</definedName>
    <definedName name="FootnoteDrop81">#REF!</definedName>
    <definedName name="FootnoteDrop82">#REF!</definedName>
    <definedName name="FootnoteDrop83">#REF!</definedName>
    <definedName name="FootnoteDrop84">#REF!</definedName>
    <definedName name="FootnoteDrop85">#REF!</definedName>
    <definedName name="FootnoteDrop86">#REF!</definedName>
    <definedName name="FootnoteDrop87">#REF!</definedName>
    <definedName name="FootnoteDrop88">#REF!</definedName>
    <definedName name="FootnoteDrop89">#REF!</definedName>
    <definedName name="FootnoteDrop9">#REF!</definedName>
    <definedName name="FootnoteDrop90">#REF!</definedName>
    <definedName name="FootnoteDrop91">#REF!</definedName>
    <definedName name="FootnoteDrop92">#REF!</definedName>
    <definedName name="FootnoteDrop93">#REF!</definedName>
    <definedName name="FootnoteDrop94">#REF!</definedName>
    <definedName name="FootnoteDrop95">#REF!</definedName>
    <definedName name="FootnoteDrop96">#REF!</definedName>
    <definedName name="FootnoteDrop97">#REF!</definedName>
    <definedName name="FootnoteDrop98">#REF!</definedName>
    <definedName name="FootnoteDrop99">#REF!</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table">#REF!</definedName>
    <definedName name="G" hidden="1">{"'Grafik Kontrol'!$A$1:$J$8"}</definedName>
    <definedName name="G6G10005">#REF!</definedName>
    <definedName name="GELLL" hidden="1">{"'Grafik Kontrol'!$A$1:$J$8"}</definedName>
    <definedName name="GGG" hidden="1">{"'Grafik Kontrol'!$A$1:$J$8"}</definedName>
    <definedName name="ghhg" hidden="1">{"'Grafik Kontrol'!$A$1:$J$8"}</definedName>
    <definedName name="GoAssetChart">[0]!GoAssetChart</definedName>
    <definedName name="GoBack">[0]!GoBack</definedName>
    <definedName name="GoBalanceSheet">[0]!GoBalanceSheet</definedName>
    <definedName name="GoCashFlow">[0]!GoCashFlow</definedName>
    <definedName name="GoData">[0]!GoData</definedName>
    <definedName name="GoIncomeChart">[0]!GoIncomeChart</definedName>
    <definedName name="goodwill">#REF!</definedName>
    <definedName name="Graph_CoC">OFFSET(#REF!,0,0,1,#REF!)</definedName>
    <definedName name="Graph_Frequency">OFFSET(#REF!,0,MATCH(99.9999,#REF!,-1)-1,1,COUNT(#REF!)-(MATCH(99.9999,#REF!,-1)-1))</definedName>
    <definedName name="Graph_Frequency_Titles">OFFSET(#REF!,-1,MATCH(99.9999,#REF!,-1)-1,1,COUNT(#REF!)-(MATCH(99.9999,#REF!,-1)-1))</definedName>
    <definedName name="Graph_MarginalROE">OFFSET(#REF!,0,0,1,#REF!)</definedName>
    <definedName name="Graph_Phase">OFFSET(#REF!,0,0,1,#REF!)</definedName>
    <definedName name="Graph_PVRI">OFFSET(#REF!,0,0,1,#REF!)</definedName>
    <definedName name="Graph_ROE">OFFSET(#REF!,0,0,1,#REF!)</definedName>
    <definedName name="HArGe_CY">#REF!</definedName>
    <definedName name="HArGe_GY">#REF!</definedName>
    <definedName name="HH" hidden="1">{"'Grafik Kontrol'!$A$1:$J$8"}</definedName>
    <definedName name="hjh">#REF!</definedName>
    <definedName name="HPSDGideri_CY">#REF!</definedName>
    <definedName name="HPSDGideri_GY">#REF!</definedName>
    <definedName name="HTML_CodePage" hidden="1">1254</definedName>
    <definedName name="HTML_Control" hidden="1">{"'Grafik Kontrol'!$A$1:$J$8"}</definedName>
    <definedName name="HTML_Description" hidden="1">""</definedName>
    <definedName name="HTML_Email" hidden="1">""</definedName>
    <definedName name="HTML_Header" hidden="1">"Grafik"</definedName>
    <definedName name="HTML_LastUpdate" hidden="1">"30.12.1999"</definedName>
    <definedName name="HTML_LineAfter" hidden="1">FALSE</definedName>
    <definedName name="HTML_LineBefore" hidden="1">FALSE</definedName>
    <definedName name="HTML_Name" hidden="1">"EREĞLİ DEMİR ÇELİK FAB. T.A.Ş"</definedName>
    <definedName name="HTML_OBDlg2" hidden="1">TRUE</definedName>
    <definedName name="HTML_OBDlg4" hidden="1">TRUE</definedName>
    <definedName name="HTML_OS" hidden="1">0</definedName>
    <definedName name="HTML_PathFile" hidden="1">"C:\Belgelerim\RAPOR.HTML"</definedName>
    <definedName name="HTML_Title" hidden="1">""</definedName>
    <definedName name="Img_ML_2v6s9i5c" hidden="1">"IMG_11"</definedName>
    <definedName name="Img_ML_2x8r4a2e" hidden="1">"IMG_11"</definedName>
    <definedName name="Img_ML_3b3j3x9k" hidden="1">"IMG_10"</definedName>
    <definedName name="Img_ML_3c6e9c4g" hidden="1">"IMG_11"</definedName>
    <definedName name="Img_ML_3e2q4k7i" hidden="1">"IMG_11"</definedName>
    <definedName name="Img_ML_4m3p5r8j" hidden="1">"IMG_11"</definedName>
    <definedName name="Img_ML_5d3i8b5s" hidden="1">"IMG_11"</definedName>
    <definedName name="Img_ML_5f9d1i5x" hidden="1">"IMG_11"</definedName>
    <definedName name="Img_ML_5k1g6v5e" hidden="1">"IMG_11"</definedName>
    <definedName name="Img_ML_6f2p1m9g" hidden="1">"IMG_11"</definedName>
    <definedName name="Img_ML_6k9c9p4d" hidden="1">"IMG_11"</definedName>
    <definedName name="Img_ML_6r9u1n9k" hidden="1">"IMG_11"</definedName>
    <definedName name="Img_ML_8h3m3i1m" hidden="1">"IMG_11"</definedName>
    <definedName name="Img_ML_8i9u7w8k" hidden="1">"IMG_11"</definedName>
    <definedName name="Img_ML_8j3w6p4c" hidden="1">"IMG_11"</definedName>
    <definedName name="Img_ML_8s3q3c1i" hidden="1">"IMG_11"</definedName>
    <definedName name="INC">#REF!</definedName>
    <definedName name="INIT">#REF!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BR_1"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2_1"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AMES_REVISION_DATE_" hidden="1">40255.3255671296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i" hidden="1">{"Qtr Op Mgd Q3",#N/A,FALSE,"Qtr-Op (Mng)";"Qtr Op Rpt Q3",#N/A,FALSE,"Qtr-Op (Rpt)";"Operating Vs Reported",#N/A,FALSE,"Rpt-Op Inc"}</definedName>
    <definedName name="interest_01">#REF!</definedName>
    <definedName name="interest_02">#REF!</definedName>
    <definedName name="interest_03">#REF!</definedName>
    <definedName name="interest_97">#REF!</definedName>
    <definedName name="iQShowHideColumns" hidden="1">"iQShowAnnual"</definedName>
    <definedName name="is_holdbin">#REF!</definedName>
    <definedName name="İŞİŞ" hidden="1">{"'BİLANÇO KULLANILAN '!$A$1:$E$165"}</definedName>
    <definedName name="İŞŞL" hidden="1">{"'Grafik Kontrol'!$A$1:$J$8"}</definedName>
    <definedName name="K" hidden="1">{"'Grafik Kontrol'!$A$1:$J$8"}</definedName>
    <definedName name="K6K10005">#REF!</definedName>
    <definedName name="KKK">#REF!</definedName>
    <definedName name="KOTALAR">#REF!</definedName>
    <definedName name="Label1">OFFSET(#REF!,0,0,COUNT(#REF!),1)</definedName>
    <definedName name="Label2">OFFSET(#REF!,0,0,COUNT(#REF!),1)</definedName>
    <definedName name="lastdate">#REF!</definedName>
    <definedName name="LastListUpdate">0</definedName>
    <definedName name="lastmcap">#REF!</definedName>
    <definedName name="lastrelative">#REF!</definedName>
    <definedName name="lastTLprice">#REF!</definedName>
    <definedName name="lastusd">#REF!</definedName>
    <definedName name="LEAP">#REF!</definedName>
    <definedName name="Libor_Rate_12">#REF!</definedName>
    <definedName name="Libor_Rate_3">#REF!</definedName>
    <definedName name="Libor_Rate_6">#REF!</definedName>
    <definedName name="limcount" hidden="1">1</definedName>
    <definedName name="lkj" hidden="1">{"print95",#N/A,FALSE,"1995E.XLS";"print96",#N/A,FALSE,"1996E.XLS"}</definedName>
    <definedName name="LOOKUPMTH">#REF!</definedName>
    <definedName name="LTG">#REF!</definedName>
    <definedName name="LTR">#REF!</definedName>
    <definedName name="margins">#REF!</definedName>
    <definedName name="MATURITY">#REF!</definedName>
    <definedName name="MCAP">#REF!</definedName>
    <definedName name="Mexico1">#REF!</definedName>
    <definedName name="Mexico2">#REF!</definedName>
    <definedName name="mgmt">#REF!</definedName>
    <definedName name="ML_1t5s6u1f">#REF!</definedName>
    <definedName name="ML_3c6e9c4g">#REF!</definedName>
    <definedName name="ML_3p5d9q5j">#REF!</definedName>
    <definedName name="ML_5e9m1k3s">#REF!</definedName>
    <definedName name="ML_7n6h3t1t">#REF!</definedName>
    <definedName name="ML_8b9j5t1p">#REF!</definedName>
    <definedName name="ML_8r1k8t4y">#REF!</definedName>
    <definedName name="ML_9n1s4m5f">#REF!</definedName>
    <definedName name="Model_Name">#REF!</definedName>
    <definedName name="Month">#REF!</definedName>
    <definedName name="name">#REF!</definedName>
    <definedName name="net_profit_1997">#REF!</definedName>
    <definedName name="Net_Profit_97">#REF!</definedName>
    <definedName name="net_profit_98">#REF!</definedName>
    <definedName name="Net_Profit_growth_1997">#REF!</definedName>
    <definedName name="Net_Profit_growth_97">#REF!</definedName>
    <definedName name="NetDebt_02">#REF!</definedName>
    <definedName name="NetDebt_95">#REF!</definedName>
    <definedName name="NetDebt_96">#REF!</definedName>
    <definedName name="NetIncome_00">#REF!</definedName>
    <definedName name="NetIncome_01">#REF!</definedName>
    <definedName name="NetIncome_02">#REF!</definedName>
    <definedName name="NetIncome_03">#REF!</definedName>
    <definedName name="NetIncome_04">#REF!</definedName>
    <definedName name="NetIncome_05">#REF!</definedName>
    <definedName name="NetIncome_06">#REF!</definedName>
    <definedName name="NetIncome_07">#REF!</definedName>
    <definedName name="NetIncome_08">#REF!</definedName>
    <definedName name="NetIncome_96">#REF!</definedName>
    <definedName name="NetIncome_97">#REF!</definedName>
    <definedName name="NetIncome_98">#REF!</definedName>
    <definedName name="NetIncome_99">#REF!</definedName>
    <definedName name="NetProfit_00">#REF!</definedName>
    <definedName name="NetProfit_01">#REF!</definedName>
    <definedName name="NetProfit_92">#REF!</definedName>
    <definedName name="NetProfit_93">#REF!</definedName>
    <definedName name="NetProfit_94">#REF!</definedName>
    <definedName name="NetProfit_95">#REF!</definedName>
    <definedName name="NetProfit_96">#REF!</definedName>
    <definedName name="NetProfit_97">#REF!</definedName>
    <definedName name="NetProfit_98">#REF!</definedName>
    <definedName name="NetProfit_99">#REF!</definedName>
    <definedName name="NONLEAP">#REF!</definedName>
    <definedName name="OI" hidden="1">{"'Grafik Kontrol'!$A$1:$J$8"}</definedName>
    <definedName name="Other1">#REF!</definedName>
    <definedName name="Page1">#REF!</definedName>
    <definedName name="Page12">#REF!</definedName>
    <definedName name="Page2">#REF!</definedName>
    <definedName name="pik">#REF!</definedName>
    <definedName name="PP" hidden="1">{"'Grafik Kontrol'!$A$1:$J$8"}</definedName>
    <definedName name="Premium">#REF!</definedName>
    <definedName name="price">#REF!:INDIRECT("'üretim'!$d"&amp;(MAX(ROW(#REF!)*(#REF!&lt;&gt;""))))</definedName>
    <definedName name="pricedata">#REF!</definedName>
    <definedName name="PriceDate">OFFSET(#REF!,1,,COUNTA(#REF!)-1,)</definedName>
    <definedName name="PriceRelative">OFFSET(#REF!,1,,COUNT(#REF!),)</definedName>
    <definedName name="prices">#REF!</definedName>
    <definedName name="Print_Area_MI">#REF!</definedName>
    <definedName name="Print1">#REF!</definedName>
    <definedName name="production">#REF!</definedName>
    <definedName name="ProjectName">{"Client Name or Project Name"}</definedName>
    <definedName name="q" hidden="1">{"Qtr Op Mgd Q2",#N/A,FALSE,"Qtr-Op (Mng)";"Qtr Op Rpt Q2",#N/A,FALSE,"Qtr-Op (Rpt)";"Operating Vs Reported",#N/A,FALSE,"Rpt-Op Inc"}</definedName>
    <definedName name="qefasdf">#REF!</definedName>
    <definedName name="qerqd">#REF!</definedName>
    <definedName name="QQQWQ" hidden="1">{"'Grafik Kontrol'!$A$1:$J$8"}</definedName>
    <definedName name="QRQER" hidden="1">{"'Grafik Kontrol'!$A$1:$J$8"}</definedName>
    <definedName name="qwe">#REF!</definedName>
    <definedName name="qwefasdf">#REF!</definedName>
    <definedName name="qwer">#REF!</definedName>
    <definedName name="QWEW" hidden="1">{"'Grafik Kontrol'!$A$1:$J$8"}</definedName>
    <definedName name="QWQW" hidden="1">{"'Grafik Kontrol'!$A$1:$J$8"}</definedName>
    <definedName name="Range_Names">#REF!</definedName>
    <definedName name="RATIOS">#REF!</definedName>
    <definedName name="recap">#REF!</definedName>
    <definedName name="RelativePrice">#REF!</definedName>
    <definedName name="rep" hidden="1">{#N/A,#N/A,FALSE,"COVER";#N/A,#N/A,FALSE,"VALUATION";#N/A,#N/A,FALSE,"FORECAST";#N/A,#N/A,FALSE,"FY ANALYSIS ";#N/A,#N/A,FALSE," HY ANALYSIS"}</definedName>
    <definedName name="resincome">#REF!</definedName>
    <definedName name="RestatedSales_01">#REF!</definedName>
    <definedName name="ResultTypes">#REF!</definedName>
    <definedName name="roce01">#REF!</definedName>
    <definedName name="roce02">#REF!</definedName>
    <definedName name="roce03">#REF!</definedName>
    <definedName name="roce04">#REF!</definedName>
    <definedName name="Roic">#REF!</definedName>
    <definedName name="RR" hidden="1">{"'Grafik Kontrol'!$A$1:$J$8"}</definedName>
    <definedName name="SALES">#REF!</definedName>
    <definedName name="Sales_00">#REF!</definedName>
    <definedName name="Sales_01">#REF!</definedName>
    <definedName name="Sales_02">#REF!</definedName>
    <definedName name="Sales_03">#REF!</definedName>
    <definedName name="Sales_04">#REF!</definedName>
    <definedName name="Sales_05">#REF!</definedName>
    <definedName name="Sales_06">#REF!</definedName>
    <definedName name="Sales_07">#REF!</definedName>
    <definedName name="Sales_08">#REF!</definedName>
    <definedName name="sales_1997">#REF!</definedName>
    <definedName name="sales_2001">#REF!</definedName>
    <definedName name="sales_2002">#REF!</definedName>
    <definedName name="sales_2003">#REF!</definedName>
    <definedName name="sales_2004">#REF!</definedName>
    <definedName name="Sales_92">#REF!</definedName>
    <definedName name="Sales_93">#REF!</definedName>
    <definedName name="Sales_94">#REF!</definedName>
    <definedName name="Sales_95">#REF!</definedName>
    <definedName name="Sales_96">#REF!</definedName>
    <definedName name="Sales_97">#REF!</definedName>
    <definedName name="Sales_98">#REF!</definedName>
    <definedName name="Sales_99">#REF!</definedName>
    <definedName name="sales_eu_01">#REF!</definedName>
    <definedName name="sales_eu_02">#REF!</definedName>
    <definedName name="sales_eu_03">#REF!</definedName>
    <definedName name="sales_eu_04">#REF!</definedName>
    <definedName name="sales_growth_1997">#REF!</definedName>
    <definedName name="sales_growth_97">#REF!</definedName>
    <definedName name="sales01">#REF!</definedName>
    <definedName name="sales02">#REF!</definedName>
    <definedName name="sales03">#REF!</definedName>
    <definedName name="sales04">#REF!</definedName>
    <definedName name="SAPFuncF4Help" hidden="1">Main.SAPF4Help()</definedName>
    <definedName name="seller">#REF!</definedName>
    <definedName name="sencount" hidden="1">1</definedName>
    <definedName name="Share_price">#REF!</definedName>
    <definedName name="Shares">#REF!</definedName>
    <definedName name="shares_01">#REF!</definedName>
    <definedName name="shares_02">#REF!</definedName>
    <definedName name="shares_03">#REF!</definedName>
    <definedName name="shares_04">#REF!</definedName>
    <definedName name="Shares_Out">#REF!</definedName>
    <definedName name="shares_plc_00">#REF!</definedName>
    <definedName name="Short_Flow_Data">#REF!</definedName>
    <definedName name="SoftCurrency">#REF!</definedName>
    <definedName name="SpreadsheetBuilder_1" hidden="1">#REF!</definedName>
    <definedName name="SpreadsheetBuilder_4" hidden="1">#REF!</definedName>
    <definedName name="SpreadsheetBuilder_5" hidden="1">#REF!</definedName>
    <definedName name="SpreadsheetBuilder_6" hidden="1">#REF!</definedName>
    <definedName name="SpreadsheetBuilder_7" hidden="1">#REF!</definedName>
    <definedName name="start">#REF!</definedName>
    <definedName name="Start_Year_JCF">#REF!</definedName>
    <definedName name="STG">#REF!</definedName>
    <definedName name="STR">#REF!</definedName>
    <definedName name="subdisc">#REF!</definedName>
    <definedName name="Summary_Date">#REF!</definedName>
    <definedName name="Superonline">#REF!</definedName>
    <definedName name="table_name">#REF!</definedName>
    <definedName name="tabledata">#REF!</definedName>
    <definedName name="Taxrate_00">#REF!</definedName>
    <definedName name="Taxrate_97">#REF!</definedName>
    <definedName name="Taxrate_98">#REF!</definedName>
    <definedName name="Taxrate_99">#REF!</definedName>
    <definedName name="TCMB_CY">#REF!</definedName>
    <definedName name="TCMB_GY">#REF!</definedName>
    <definedName name="TCMBGY">#REF!</definedName>
    <definedName name="test">#REF!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0">#REF!</definedName>
    <definedName name="TextRefCopy31">#REF!</definedName>
    <definedName name="TextRefCopy32">#REF!</definedName>
    <definedName name="TextRefCopy33">#REF!</definedName>
    <definedName name="TextRefCopy34">#REF!</definedName>
    <definedName name="TextRefCopyRangeCount" hidden="1">34</definedName>
    <definedName name="Ticker">[1]Start!$D$3</definedName>
    <definedName name="TRTRR" hidden="1">{"'Grafik Kontrol'!$A$1:$J$8"}</definedName>
    <definedName name="TTT" hidden="1">{"'Grafik Kontrol'!$A$1:$J$8"}</definedName>
    <definedName name="turkcedcf">#REF!</definedName>
    <definedName name="TurkcellTurkey">#REF!</definedName>
    <definedName name="turkceuluslar">#REF!</definedName>
    <definedName name="Turnover">#REF!</definedName>
    <definedName name="turtoplam">#REF!</definedName>
    <definedName name="U" hidden="1">{"'Grafik Kontrol'!$A$1:$J$8"}</definedName>
    <definedName name="USD_BS_PL">#REF!</definedName>
    <definedName name="USD_CASH_FLOW">#REF!</definedName>
    <definedName name="USDPrice">#REF!</definedName>
    <definedName name="USDVOL">#REF!</definedName>
    <definedName name="UYUY" hidden="1">{"'Grafik Kontrol'!$A$1:$J$8"}</definedName>
    <definedName name="_xlnm.Database">#REF!</definedName>
    <definedName name="WC">#REF!</definedName>
    <definedName name="WE" hidden="1">{"'Grafik Kontrol'!$A$1:$J$8"}</definedName>
    <definedName name="wrn.2._.pagers." hidden="1">{"Cover",#N/A,FALSE,"Cover";"Summary",#N/A,FALSE,"Summarpage"}</definedName>
    <definedName name="wrn.Aging._.and._.Trend._.Analysis." hidden="1">{#N/A,#N/A,FALSE,"Aging Summary";#N/A,#N/A,FALSE,"Ratio Analysis";#N/A,#N/A,FALSE,"Test 120 Day Accts";#N/A,#N/A,FALSE,"Tickmarks"}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pages." hidden="1">{#N/A,#N/A,TRUE,"Historicals";#N/A,#N/A,TRUE,"Charts";#N/A,#N/A,TRUE,"Forecasts"}</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Back._.Page." hidden="1">{"Back Page",#N/A,FALSE,"Front and Back"}</definedName>
    <definedName name="wrn.Back._.Page.2" hidden="1">{"Back Page",#N/A,FALSE,"Front and Back"}</definedName>
    <definedName name="wrn.BasicModel." hidden="1">{"MacroCo",#N/A,FALSE,"masmode";"IncomeS",#N/A,FALSE,"masmode";"BalanceS",#N/A,FALSE,"masmode";"CashF",#N/A,FALSE,"masmode";"Ratios",#N/A,FALSE,"masmode";"DebtFC",#N/A,FALSE,"masmode"}</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Detailed._.P._.and._.L." hidden="1">{"P and L Detail Page 1",#N/A,FALSE,"Data";"P and L Detail Page 2",#N/A,FALSE,"Data"}</definedName>
    <definedName name="wrn.Detailed._.P._.and._.L.2" hidden="1">{"P and L Detail Page 1",#N/A,FALSE,"Data";"P and L Detail Page 2",#N/A,FALSE,"Data"}</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inancial._.Output." hidden="1">{"P and L",#N/A,FALSE,"Financial Output";"Cashflow",#N/A,FALSE,"Financial Output";"Balance Sheet",#N/A,FALSE,"Financial Output"}</definedName>
    <definedName name="wrn.Financial._.Output.2" hidden="1">{"P and L",#N/A,FALSE,"Financial Output";"Cashflow",#N/A,FALSE,"Financial Output";"Balance Sheet",#N/A,FALSE,"Financial Output"}</definedName>
    <definedName name="wrn.Five._.Year._.Record." hidden="1">{"Five Year Record",#N/A,FALSE,"Front and Back"}</definedName>
    <definedName name="wrn.Five._.Year._.Record.2" hidden="1">{"Five Year Record",#N/A,FALSE,"Front and Back"}</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ront._.Page." hidden="1">{"Front Page",#N/A,FALSE,"Front and Back"}</definedName>
    <definedName name="wrn.Front._.Page.2" hidden="1">{"Front Page",#N/A,FALSE,"Front and Back"}</definedName>
    <definedName name="wrn.Full._.Report." hidden="1">{#N/A,#N/A,FALSE,"COVER";#N/A,#N/A,FALSE,"VALUATION";#N/A,#N/A,FALSE,"FORECAST";#N/A,#N/A,FALSE,"FY ANALYSIS ";#N/A,#N/A,FALSE," HY ANALYSIS"}</definedName>
    <definedName name="wrn.Geographic._.Trends." hidden="1">{"Geographic P1",#N/A,FALSE,"Division &amp; Geog"}</definedName>
    <definedName name="wrn.Geographic._.Trends.2" hidden="1">{"Geographic P1",#N/A,FALSE,"Division &amp; Geog"}</definedName>
    <definedName name="wrn.Industry.xls." hidden="1">{#N/A,#N/A,FALSE,"Earnings";#N/A,#N/A,FALSE,"Overview";#N/A,#N/A,FALSE,"Summary";#N/A,#N/A,FALSE,"Summary II";#N/A,#N/A,FALSE,"R&amp;D";#N/A,#N/A,FALSE,"R&amp;D Forecast";#N/A,#N/A,FALSE,"Tax Adj";#N/A,#N/A,FALSE,"Goodwill";#N/A,#N/A,FALSE,"FX ";#N/A,#N/A,FALSE,"Consolidation";#N/A,#N/A,FALSE,"Provisions"}</definedName>
    <definedName name="wrn.mobile." hidden="1">{#N/A,#N/A,FALSE,"Denmark";#N/A,#N/A,FALSE,"Denmark"}</definedName>
    <definedName name="wrn.print95and96." hidden="1">{"print95",#N/A,FALSE,"1995E.XLS";"print96",#N/A,FALSE,"1996E.XLS"}</definedName>
    <definedName name="wrn.Pulp." hidden="1">{"Pulp Production",#N/A,FALSE,"Pulp";"Pulp Earnings",#N/A,FALSE,"Pulp"}</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Report." hidden="1">{#N/A,#N/A,FALSE,"COVER";#N/A,#N/A,FALSE,"FORECAST";#N/A,#N/A,FALSE,"VALUATION";#N/A,#N/A,FALSE,"FY ANALYSIS ";#N/A,#N/A,FALSE," HY ANALYSIS"}</definedName>
    <definedName name="wrn.Robuster." hidden="1">{#N/A,#N/A,FALSE,"Descr";#N/A,#N/A,FALSE,"Inputs";#N/A,#N/A,FALSE,"Op Margin";#N/A,#N/A,FALSE,"Depn";#N/A,#N/A,FALSE,"Finance";#N/A,#N/A,FALSE,"Tax";#N/A,#N/A,FALSE,"P &amp; L";#N/A,#N/A,FALSE,"CFS";#N/A,#N/A,FALSE,"BS";#N/A,#N/A,FALSE,"DCF";#N/A,#N/A,FALSE,"Ratios"}</definedName>
    <definedName name="wrn.Short._.Report." hidden="1">{"short1",#N/A,FALSE,"masmode";"short2",#N/A,FALSE,"masmode";"qtrres",#N/A,FALSE,"QTR. RES.";"sales",#N/A,FALSE,"Sales &amp; Market Share"}</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xxx" hidden="1">{"MacroCo",#N/A,FALSE,"masmode";"IncomeS",#N/A,FALSE,"masmode";"BalanceS",#N/A,FALSE,"masmode";"CashF",#N/A,FALSE,"masmode";"Ratios",#N/A,FALSE,"masmode";"DebtFC",#N/A,FALSE,"masmode"}</definedName>
    <definedName name="YYY" hidden="1">{"'Grafik Kontrol'!$A$1:$J$8"}</definedName>
    <definedName name="z">#REF!</definedName>
    <definedName name="ллл" hidden="1">{"print95",#N/A,FALSE,"1995E.XLS";"print96",#N/A,FALSE,"1996E.XLS"}</definedName>
    <definedName name="о61005" hidden="1">{"print95",#N/A,FALSE,"1995E.XLS";"print96",#N/A,FALSE,"1996E.XLS"}</definedName>
    <definedName name="ххх" hidden="1">{"print95",#N/A,FALSE,"1995E.XLS";"print96",#N/A,FALSE,"1996E.XLS"}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8" l="1"/>
  <c r="I10" i="8"/>
  <c r="J10" i="8"/>
  <c r="K10" i="8"/>
  <c r="L10" i="8"/>
  <c r="M10" i="8"/>
  <c r="N10" i="8"/>
  <c r="O10" i="8"/>
  <c r="P10" i="8"/>
  <c r="Q10" i="8"/>
  <c r="R10" i="8"/>
  <c r="S10" i="8"/>
  <c r="T10" i="8"/>
  <c r="U10" i="8"/>
  <c r="V10" i="8"/>
  <c r="W10" i="8"/>
  <c r="X10" i="8"/>
  <c r="G10" i="8"/>
  <c r="A34" i="1"/>
  <c r="A35" i="1"/>
  <c r="H28" i="26"/>
  <c r="I28" i="26"/>
  <c r="J28" i="26"/>
  <c r="K28" i="26"/>
  <c r="L28" i="26"/>
  <c r="M28" i="26"/>
  <c r="N28" i="26"/>
  <c r="O28" i="26"/>
  <c r="P28" i="26"/>
  <c r="Q28" i="26"/>
  <c r="R28" i="26"/>
  <c r="G28" i="26"/>
  <c r="B12" i="5"/>
  <c r="H30" i="26"/>
  <c r="I30" i="26"/>
  <c r="J30" i="26"/>
  <c r="K30" i="26"/>
  <c r="L30" i="26"/>
  <c r="M30" i="26"/>
  <c r="N30" i="26"/>
  <c r="O30" i="26"/>
  <c r="P30" i="26"/>
  <c r="Q30" i="26"/>
  <c r="R30" i="26"/>
  <c r="S30" i="26"/>
  <c r="T30" i="26"/>
  <c r="U30" i="26"/>
  <c r="V30" i="26"/>
  <c r="W30" i="26"/>
  <c r="X30" i="26"/>
  <c r="L18" i="13"/>
  <c r="K18" i="13"/>
  <c r="J18" i="13"/>
  <c r="F29" i="1"/>
  <c r="C2" i="1"/>
  <c r="D48" i="1"/>
  <c r="D47" i="1"/>
  <c r="D46" i="1"/>
  <c r="D45" i="1"/>
  <c r="D43" i="1"/>
  <c r="B49" i="1"/>
  <c r="B47" i="1"/>
  <c r="B46" i="1"/>
  <c r="B45" i="1"/>
  <c r="B44" i="1"/>
  <c r="B43" i="1"/>
  <c r="B42" i="1"/>
  <c r="B41" i="1"/>
  <c r="B39" i="1"/>
  <c r="B38" i="1"/>
  <c r="E57" i="1"/>
  <c r="I59" i="1"/>
  <c r="C54" i="1"/>
  <c r="I58" i="1"/>
  <c r="I46" i="1"/>
  <c r="D49" i="1"/>
  <c r="E42" i="1"/>
  <c r="I55" i="1"/>
  <c r="D52" i="1"/>
  <c r="E56" i="1"/>
  <c r="I43" i="1"/>
  <c r="E45" i="1"/>
  <c r="E44" i="1"/>
  <c r="D50" i="1"/>
  <c r="C41" i="1"/>
  <c r="I45" i="1"/>
  <c r="D42" i="1"/>
  <c r="D59" i="1"/>
  <c r="C39" i="1"/>
  <c r="G44" i="1"/>
  <c r="C49" i="1"/>
  <c r="G49" i="1"/>
  <c r="D14" i="1"/>
  <c r="G60" i="1"/>
  <c r="C48" i="1"/>
  <c r="G57" i="1"/>
  <c r="G54" i="1"/>
  <c r="E53" i="1"/>
  <c r="I39" i="1"/>
  <c r="B58" i="1"/>
  <c r="C47" i="1"/>
  <c r="E55" i="1"/>
  <c r="I44" i="1"/>
  <c r="E43" i="1"/>
  <c r="D55" i="1"/>
  <c r="D41" i="1"/>
  <c r="C56" i="1"/>
  <c r="G47" i="1"/>
  <c r="E38" i="1"/>
  <c r="I38" i="1"/>
  <c r="C50" i="1"/>
  <c r="G46" i="1"/>
  <c r="D57" i="1"/>
  <c r="D56" i="1"/>
  <c r="E39" i="1"/>
  <c r="G42" i="1"/>
  <c r="C45" i="1"/>
  <c r="C40" i="1"/>
  <c r="C51" i="1"/>
  <c r="I54" i="1"/>
  <c r="I60" i="1"/>
  <c r="C60" i="1"/>
  <c r="G45" i="1"/>
  <c r="B57" i="1"/>
  <c r="D53" i="1"/>
  <c r="B56" i="1"/>
  <c r="C57" i="1"/>
  <c r="I42" i="1"/>
  <c r="I49" i="1"/>
  <c r="D54" i="1"/>
  <c r="G59" i="1"/>
  <c r="C53" i="1"/>
  <c r="G40" i="1"/>
  <c r="E40" i="1"/>
  <c r="C38" i="1"/>
  <c r="B59" i="1"/>
  <c r="G48" i="1"/>
  <c r="E49" i="1"/>
  <c r="B51" i="1"/>
  <c r="E41" i="1"/>
  <c r="C42" i="1"/>
  <c r="D60" i="1"/>
  <c r="D51" i="1"/>
  <c r="D40" i="1"/>
  <c r="B40" i="1"/>
  <c r="E50" i="1"/>
  <c r="I41" i="1"/>
  <c r="G53" i="1"/>
  <c r="G43" i="1"/>
  <c r="I52" i="1"/>
  <c r="E51" i="1"/>
  <c r="G52" i="1"/>
  <c r="G41" i="1"/>
  <c r="C44" i="1"/>
  <c r="E48" i="1"/>
  <c r="E58" i="1"/>
  <c r="I56" i="1"/>
  <c r="G50" i="1"/>
  <c r="E47" i="1"/>
  <c r="B48" i="1"/>
  <c r="C55" i="1"/>
  <c r="D44" i="1"/>
  <c r="I50" i="1"/>
  <c r="D38" i="1"/>
  <c r="C43" i="1"/>
  <c r="C58" i="1"/>
  <c r="G55" i="1"/>
  <c r="D2" i="1"/>
  <c r="B55" i="1"/>
  <c r="E52" i="1"/>
  <c r="B60" i="1"/>
  <c r="I48" i="1"/>
  <c r="B52" i="1"/>
  <c r="C59" i="1"/>
  <c r="C46" i="1"/>
  <c r="G56" i="1"/>
  <c r="G58" i="1"/>
  <c r="I40" i="1"/>
  <c r="G39" i="1"/>
  <c r="I53" i="1"/>
  <c r="B54" i="1"/>
  <c r="E54" i="1"/>
  <c r="I57" i="1"/>
  <c r="E46" i="1"/>
  <c r="G51" i="1"/>
  <c r="I51" i="1"/>
  <c r="B50" i="1"/>
  <c r="G38" i="1"/>
  <c r="D58" i="1"/>
  <c r="C52" i="1"/>
  <c r="E60" i="1"/>
  <c r="E59" i="1"/>
  <c r="I47" i="1"/>
  <c r="D39" i="1"/>
  <c r="B53" i="1"/>
  <c r="C3" i="1"/>
  <c r="B34" i="1"/>
  <c r="H42" i="1" l="1"/>
  <c r="E2" i="1"/>
  <c r="H60" i="1"/>
  <c r="H52" i="1"/>
  <c r="I2" i="1"/>
  <c r="H57" i="1"/>
  <c r="H58" i="1"/>
  <c r="H44" i="1"/>
  <c r="H46" i="1"/>
  <c r="H48" i="1"/>
  <c r="H40" i="1"/>
  <c r="H55" i="1"/>
  <c r="H39" i="1"/>
  <c r="H45" i="1"/>
  <c r="H47" i="1"/>
  <c r="H50" i="1"/>
  <c r="H51" i="1"/>
  <c r="H54" i="1"/>
  <c r="H56" i="1"/>
  <c r="H41" i="1"/>
  <c r="H59" i="1"/>
  <c r="H43" i="1"/>
  <c r="H38" i="1"/>
  <c r="H49" i="1"/>
  <c r="H53" i="1"/>
  <c r="I25" i="1"/>
  <c r="I9" i="1"/>
  <c r="I15" i="1"/>
  <c r="I23" i="1"/>
  <c r="I28" i="1"/>
  <c r="I7" i="1"/>
  <c r="I5" i="1"/>
  <c r="I20" i="1"/>
  <c r="I3" i="1"/>
  <c r="I22" i="1"/>
  <c r="I29" i="1"/>
  <c r="I8" i="1"/>
  <c r="I18" i="1"/>
  <c r="I4" i="1"/>
  <c r="I21" i="1"/>
  <c r="I6" i="1"/>
  <c r="I10" i="1"/>
  <c r="I27" i="1"/>
  <c r="I24" i="1"/>
  <c r="I19" i="1"/>
  <c r="I16" i="1"/>
  <c r="I12" i="1"/>
  <c r="I17" i="1"/>
  <c r="I14" i="1"/>
  <c r="I13" i="1"/>
  <c r="I26" i="1"/>
  <c r="I11" i="1"/>
  <c r="B14" i="18"/>
  <c r="B13" i="18"/>
  <c r="B12" i="18"/>
  <c r="B11" i="18"/>
  <c r="B10" i="18"/>
  <c r="B9" i="18"/>
  <c r="B8" i="18"/>
  <c r="B7" i="18"/>
  <c r="B6" i="18"/>
  <c r="B5" i="18"/>
  <c r="B4" i="18"/>
  <c r="B3" i="18"/>
  <c r="B2" i="18"/>
  <c r="C235" i="59"/>
  <c r="C230" i="59"/>
  <c r="B19" i="20"/>
  <c r="B18" i="20"/>
  <c r="B17" i="20"/>
  <c r="B16" i="20"/>
  <c r="B15" i="20"/>
  <c r="B14" i="20"/>
  <c r="B13" i="20"/>
  <c r="B12" i="20"/>
  <c r="B11" i="20"/>
  <c r="B10" i="20"/>
  <c r="B9" i="20"/>
  <c r="B8" i="20"/>
  <c r="B7" i="20"/>
  <c r="B6" i="20"/>
  <c r="B5" i="20"/>
  <c r="B4" i="20"/>
  <c r="B3" i="20"/>
  <c r="B2" i="20"/>
  <c r="C208" i="59"/>
  <c r="C201" i="59"/>
  <c r="C12" i="1"/>
  <c r="J2" i="1" l="1"/>
  <c r="B15" i="18"/>
  <c r="C95" i="59"/>
  <c r="B16" i="59"/>
  <c r="B17" i="59"/>
  <c r="B18" i="59"/>
  <c r="B19" i="59"/>
  <c r="B20" i="59"/>
  <c r="B21" i="59"/>
  <c r="B22" i="59"/>
  <c r="B23" i="59"/>
  <c r="B24" i="59"/>
  <c r="B25" i="59"/>
  <c r="C13" i="59"/>
  <c r="K78" i="22"/>
  <c r="L78" i="22"/>
  <c r="M78" i="22"/>
  <c r="N78" i="22"/>
  <c r="O78" i="22"/>
  <c r="P78" i="22"/>
  <c r="Q78" i="22"/>
  <c r="R78" i="22"/>
  <c r="S78" i="22"/>
  <c r="T78" i="22"/>
  <c r="U78" i="22"/>
  <c r="K77" i="22"/>
  <c r="L77" i="22"/>
  <c r="M77" i="22"/>
  <c r="N77" i="22"/>
  <c r="O77" i="22"/>
  <c r="P77" i="22"/>
  <c r="Q77" i="22"/>
  <c r="R77" i="22"/>
  <c r="S77" i="22"/>
  <c r="T77" i="22"/>
  <c r="T79" i="22" s="1"/>
  <c r="U77" i="22"/>
  <c r="U79" i="22" s="1"/>
  <c r="V77" i="22"/>
  <c r="W77" i="22"/>
  <c r="X77" i="22"/>
  <c r="Y77" i="22"/>
  <c r="Z77" i="22"/>
  <c r="AA77" i="22"/>
  <c r="K76" i="22"/>
  <c r="L76" i="22"/>
  <c r="M76" i="22"/>
  <c r="N76" i="22"/>
  <c r="O76" i="22"/>
  <c r="P76" i="22"/>
  <c r="Q76" i="22"/>
  <c r="R76" i="22"/>
  <c r="S76" i="22"/>
  <c r="T76" i="22"/>
  <c r="U76" i="22"/>
  <c r="V76" i="22"/>
  <c r="W76" i="22"/>
  <c r="X76" i="22"/>
  <c r="Y76" i="22"/>
  <c r="Z76" i="22"/>
  <c r="AA76" i="22"/>
  <c r="J78" i="22"/>
  <c r="J85" i="22" s="1"/>
  <c r="J77" i="22"/>
  <c r="J76" i="22"/>
  <c r="K58" i="9"/>
  <c r="L58" i="9"/>
  <c r="M58" i="9"/>
  <c r="N58" i="9"/>
  <c r="O58" i="9"/>
  <c r="P58" i="9"/>
  <c r="Q58" i="9"/>
  <c r="R58" i="9"/>
  <c r="S58" i="9"/>
  <c r="T58" i="9"/>
  <c r="T60" i="9" s="1"/>
  <c r="U58" i="9"/>
  <c r="U60" i="9" s="1"/>
  <c r="V58" i="9"/>
  <c r="W58" i="9"/>
  <c r="X58" i="9"/>
  <c r="Y58" i="9"/>
  <c r="Z58" i="9"/>
  <c r="AA58" i="9"/>
  <c r="K59" i="9"/>
  <c r="L59" i="9"/>
  <c r="M59" i="9"/>
  <c r="N59" i="9"/>
  <c r="O59" i="9"/>
  <c r="K65" i="9" s="1"/>
  <c r="P59" i="9"/>
  <c r="Q59" i="9"/>
  <c r="R59" i="9"/>
  <c r="S59" i="9"/>
  <c r="T59" i="9"/>
  <c r="U59" i="9"/>
  <c r="V59" i="9"/>
  <c r="W59" i="9"/>
  <c r="X59" i="9"/>
  <c r="Y59" i="9"/>
  <c r="Z59" i="9"/>
  <c r="AA59" i="9"/>
  <c r="J59" i="9"/>
  <c r="J58" i="9"/>
  <c r="K91" i="20"/>
  <c r="L91" i="20"/>
  <c r="M91" i="20"/>
  <c r="N91" i="20"/>
  <c r="O91" i="20"/>
  <c r="P91" i="20"/>
  <c r="Q91" i="20"/>
  <c r="R91" i="20"/>
  <c r="R94" i="20" s="1"/>
  <c r="S91" i="20"/>
  <c r="S94" i="20" s="1"/>
  <c r="T91" i="20"/>
  <c r="U91" i="20"/>
  <c r="V91" i="20"/>
  <c r="W91" i="20"/>
  <c r="X91" i="20"/>
  <c r="Y91" i="20"/>
  <c r="Z91" i="20"/>
  <c r="AA91" i="20"/>
  <c r="K92" i="20"/>
  <c r="L92" i="20"/>
  <c r="M92" i="20"/>
  <c r="N92" i="20"/>
  <c r="O92" i="20"/>
  <c r="P92" i="20"/>
  <c r="Q92" i="20"/>
  <c r="R92" i="20"/>
  <c r="S92" i="20"/>
  <c r="T92" i="20"/>
  <c r="U92" i="20"/>
  <c r="V92" i="20"/>
  <c r="W92" i="20"/>
  <c r="W94" i="20" s="1"/>
  <c r="X92" i="20"/>
  <c r="Y92" i="20"/>
  <c r="Z92" i="20"/>
  <c r="AA92" i="20"/>
  <c r="K93" i="20"/>
  <c r="L93" i="20"/>
  <c r="M93" i="20"/>
  <c r="N93" i="20"/>
  <c r="O93" i="20"/>
  <c r="P93" i="20"/>
  <c r="Q93" i="20"/>
  <c r="R93" i="20"/>
  <c r="S93" i="20"/>
  <c r="T93" i="20"/>
  <c r="U93" i="20"/>
  <c r="V93" i="20"/>
  <c r="W93" i="20"/>
  <c r="X93" i="20"/>
  <c r="Y93" i="20"/>
  <c r="Z93" i="20"/>
  <c r="AA93" i="20"/>
  <c r="J93" i="20"/>
  <c r="J92" i="20"/>
  <c r="J91" i="20"/>
  <c r="J47" i="13"/>
  <c r="J48" i="13" s="1"/>
  <c r="K47" i="13"/>
  <c r="K48" i="13" s="1"/>
  <c r="L47" i="13"/>
  <c r="L48" i="13" s="1"/>
  <c r="M47" i="13"/>
  <c r="M48" i="13" s="1"/>
  <c r="N47" i="13"/>
  <c r="O47" i="13"/>
  <c r="O48" i="13" s="1"/>
  <c r="P47" i="13"/>
  <c r="P48" i="13" s="1"/>
  <c r="Q47" i="13"/>
  <c r="Q48" i="13" s="1"/>
  <c r="R47" i="13"/>
  <c r="R48" i="13" s="1"/>
  <c r="S47" i="13"/>
  <c r="S48" i="13" s="1"/>
  <c r="T47" i="13"/>
  <c r="T48" i="13" s="1"/>
  <c r="U47" i="13"/>
  <c r="U48" i="13" s="1"/>
  <c r="V47" i="13"/>
  <c r="V48" i="13" s="1"/>
  <c r="W47" i="13"/>
  <c r="W48" i="13" s="1"/>
  <c r="X47" i="13"/>
  <c r="X48" i="13" s="1"/>
  <c r="Y47" i="13"/>
  <c r="Y48" i="13" s="1"/>
  <c r="Z47" i="13"/>
  <c r="Z48" i="13" s="1"/>
  <c r="N48" i="13"/>
  <c r="I47" i="13"/>
  <c r="I56" i="17"/>
  <c r="I57" i="17" s="1"/>
  <c r="J56" i="17"/>
  <c r="J57" i="17" s="1"/>
  <c r="K56" i="17"/>
  <c r="K57" i="17" s="1"/>
  <c r="L56" i="17"/>
  <c r="M56" i="17"/>
  <c r="M57" i="17" s="1"/>
  <c r="N56" i="17"/>
  <c r="N57" i="17" s="1"/>
  <c r="O56" i="17"/>
  <c r="O57" i="17" s="1"/>
  <c r="P56" i="17"/>
  <c r="P57" i="17" s="1"/>
  <c r="Q56" i="17"/>
  <c r="R56" i="17"/>
  <c r="R57" i="17" s="1"/>
  <c r="S56" i="17"/>
  <c r="S57" i="17" s="1"/>
  <c r="T56" i="17"/>
  <c r="U56" i="17"/>
  <c r="U57" i="17" s="1"/>
  <c r="V56" i="17"/>
  <c r="V57" i="17" s="1"/>
  <c r="W56" i="17"/>
  <c r="W57" i="17" s="1"/>
  <c r="X56" i="17"/>
  <c r="X57" i="17" s="1"/>
  <c r="Y56" i="17"/>
  <c r="Y57" i="17" s="1"/>
  <c r="H56" i="17"/>
  <c r="I69" i="18"/>
  <c r="J69" i="18"/>
  <c r="K69" i="18"/>
  <c r="L69" i="18"/>
  <c r="M69" i="18"/>
  <c r="N69" i="18"/>
  <c r="O69" i="18"/>
  <c r="P69" i="18"/>
  <c r="Q69" i="18"/>
  <c r="R69" i="18"/>
  <c r="S69" i="18"/>
  <c r="T69" i="18"/>
  <c r="U69" i="18"/>
  <c r="V69" i="18"/>
  <c r="W69" i="18"/>
  <c r="X69" i="18"/>
  <c r="Y69" i="18"/>
  <c r="H69" i="18"/>
  <c r="I68" i="18"/>
  <c r="J68" i="18"/>
  <c r="K68" i="18"/>
  <c r="L68" i="18"/>
  <c r="M68" i="18"/>
  <c r="N68" i="18"/>
  <c r="O68" i="18"/>
  <c r="P68" i="18"/>
  <c r="Q68" i="18"/>
  <c r="R68" i="18"/>
  <c r="S68" i="18"/>
  <c r="T68" i="18"/>
  <c r="U68" i="18"/>
  <c r="V68" i="18"/>
  <c r="W68" i="18"/>
  <c r="X68" i="18"/>
  <c r="Y68" i="18"/>
  <c r="H68" i="18"/>
  <c r="I67" i="18"/>
  <c r="J67" i="18"/>
  <c r="K67" i="18"/>
  <c r="L67" i="18"/>
  <c r="M67" i="18"/>
  <c r="N67" i="18"/>
  <c r="O67" i="18"/>
  <c r="P67" i="18"/>
  <c r="Q67" i="18"/>
  <c r="R67" i="18"/>
  <c r="S67" i="18"/>
  <c r="T67" i="18"/>
  <c r="U67" i="18"/>
  <c r="V67" i="18"/>
  <c r="W67" i="18"/>
  <c r="X67" i="18"/>
  <c r="Y67" i="18"/>
  <c r="H67" i="18"/>
  <c r="I33" i="8"/>
  <c r="J33" i="8"/>
  <c r="J34" i="8" s="1"/>
  <c r="K33" i="8"/>
  <c r="K34" i="8" s="1"/>
  <c r="L33" i="8"/>
  <c r="L34" i="8" s="1"/>
  <c r="M33" i="8"/>
  <c r="M34" i="8" s="1"/>
  <c r="N33" i="8"/>
  <c r="N34" i="8" s="1"/>
  <c r="O33" i="8"/>
  <c r="O34" i="8" s="1"/>
  <c r="P33" i="8"/>
  <c r="P34" i="8" s="1"/>
  <c r="Q33" i="8"/>
  <c r="Q34" i="8" s="1"/>
  <c r="R33" i="8"/>
  <c r="R34" i="8" s="1"/>
  <c r="S33" i="8"/>
  <c r="S34" i="8" s="1"/>
  <c r="T33" i="8"/>
  <c r="U33" i="8"/>
  <c r="U34" i="8" s="1"/>
  <c r="V33" i="8"/>
  <c r="V34" i="8" s="1"/>
  <c r="W33" i="8"/>
  <c r="W34" i="8" s="1"/>
  <c r="X33" i="8"/>
  <c r="X34" i="8" s="1"/>
  <c r="Y33" i="8"/>
  <c r="Y34" i="8" s="1"/>
  <c r="H33" i="8"/>
  <c r="H34" i="8" s="1"/>
  <c r="S33" i="7"/>
  <c r="M32" i="7"/>
  <c r="M33" i="7" s="1"/>
  <c r="N32" i="7"/>
  <c r="N33" i="7" s="1"/>
  <c r="O32" i="7"/>
  <c r="P32" i="7"/>
  <c r="P33" i="7" s="1"/>
  <c r="Q32" i="7"/>
  <c r="Q33" i="7" s="1"/>
  <c r="R32" i="7"/>
  <c r="S32" i="7"/>
  <c r="T32" i="7"/>
  <c r="T33" i="7" s="1"/>
  <c r="U32" i="7"/>
  <c r="U33" i="7" s="1"/>
  <c r="V32" i="7"/>
  <c r="V33" i="7" s="1"/>
  <c r="W32" i="7"/>
  <c r="W33" i="7" s="1"/>
  <c r="X32" i="7"/>
  <c r="X33" i="7" s="1"/>
  <c r="Y32" i="7"/>
  <c r="Y33" i="7" s="1"/>
  <c r="Z32" i="7"/>
  <c r="Z33" i="7" s="1"/>
  <c r="AA32" i="7"/>
  <c r="AA33" i="7" s="1"/>
  <c r="AB32" i="7"/>
  <c r="AB33" i="7" s="1"/>
  <c r="AC32" i="7"/>
  <c r="AC33" i="7" s="1"/>
  <c r="L32" i="7"/>
  <c r="L33" i="7" s="1"/>
  <c r="O64" i="26"/>
  <c r="O65" i="26" s="1"/>
  <c r="P64" i="26"/>
  <c r="P65" i="26" s="1"/>
  <c r="Q64" i="26"/>
  <c r="R64" i="26"/>
  <c r="R65" i="26" s="1"/>
  <c r="S64" i="26"/>
  <c r="S65" i="26" s="1"/>
  <c r="T64" i="26"/>
  <c r="T65" i="26" s="1"/>
  <c r="U64" i="26"/>
  <c r="U65" i="26" s="1"/>
  <c r="V64" i="26"/>
  <c r="W64" i="26"/>
  <c r="X64" i="26"/>
  <c r="X65" i="26" s="1"/>
  <c r="Y64" i="26"/>
  <c r="Y65" i="26" s="1"/>
  <c r="Z64" i="26"/>
  <c r="Z65" i="26" s="1"/>
  <c r="AA64" i="26"/>
  <c r="AA65" i="26" s="1"/>
  <c r="AB64" i="26"/>
  <c r="AC64" i="26"/>
  <c r="AC65" i="26" s="1"/>
  <c r="AD64" i="26"/>
  <c r="AD65" i="26" s="1"/>
  <c r="AE64" i="26"/>
  <c r="AE65" i="26" s="1"/>
  <c r="N64" i="26"/>
  <c r="N65" i="26" s="1"/>
  <c r="I64" i="25"/>
  <c r="I65" i="25" s="1"/>
  <c r="J64" i="25"/>
  <c r="J65" i="25" s="1"/>
  <c r="K64" i="25"/>
  <c r="L64" i="25"/>
  <c r="L65" i="25" s="1"/>
  <c r="M64" i="25"/>
  <c r="M65" i="25" s="1"/>
  <c r="N64" i="25"/>
  <c r="O64" i="25"/>
  <c r="O65" i="25" s="1"/>
  <c r="P64" i="25"/>
  <c r="P65" i="25" s="1"/>
  <c r="Q64" i="25"/>
  <c r="R64" i="25"/>
  <c r="R65" i="25" s="1"/>
  <c r="S64" i="25"/>
  <c r="S65" i="25" s="1"/>
  <c r="T64" i="25"/>
  <c r="T65" i="25" s="1"/>
  <c r="U64" i="25"/>
  <c r="U65" i="25" s="1"/>
  <c r="V64" i="25"/>
  <c r="V65" i="25" s="1"/>
  <c r="W64" i="25"/>
  <c r="W65" i="25" s="1"/>
  <c r="X64" i="25"/>
  <c r="X65" i="25" s="1"/>
  <c r="Y64" i="25"/>
  <c r="Y65" i="25" s="1"/>
  <c r="H64" i="25"/>
  <c r="H65" i="25" s="1"/>
  <c r="K92" i="23"/>
  <c r="L92" i="23"/>
  <c r="M92" i="23"/>
  <c r="N92" i="23"/>
  <c r="O92" i="23"/>
  <c r="P92" i="23"/>
  <c r="Q92" i="23"/>
  <c r="R92" i="23"/>
  <c r="S92" i="23"/>
  <c r="T92" i="23"/>
  <c r="U92" i="23"/>
  <c r="V92" i="23"/>
  <c r="W92" i="23"/>
  <c r="X92" i="23"/>
  <c r="Y92" i="23"/>
  <c r="Z92" i="23"/>
  <c r="AA92" i="23"/>
  <c r="K91" i="23"/>
  <c r="L91" i="23"/>
  <c r="M91" i="23"/>
  <c r="N91" i="23"/>
  <c r="O91" i="23"/>
  <c r="P91" i="23"/>
  <c r="Q91" i="23"/>
  <c r="R91" i="23"/>
  <c r="S91" i="23"/>
  <c r="T91" i="23"/>
  <c r="U91" i="23"/>
  <c r="V91" i="23"/>
  <c r="W91" i="23"/>
  <c r="X91" i="23"/>
  <c r="Y91" i="23"/>
  <c r="Z91" i="23"/>
  <c r="AA91" i="23"/>
  <c r="K90" i="23"/>
  <c r="L90" i="23"/>
  <c r="M90" i="23"/>
  <c r="N90" i="23"/>
  <c r="O90" i="23"/>
  <c r="P90" i="23"/>
  <c r="Q90" i="23"/>
  <c r="R90" i="23"/>
  <c r="S90" i="23"/>
  <c r="T90" i="23"/>
  <c r="U90" i="23"/>
  <c r="V90" i="23"/>
  <c r="W90" i="23"/>
  <c r="X90" i="23"/>
  <c r="Y90" i="23"/>
  <c r="Z90" i="23"/>
  <c r="AA90" i="23"/>
  <c r="J92" i="23"/>
  <c r="J91" i="23"/>
  <c r="J90" i="23"/>
  <c r="J117" i="4"/>
  <c r="K117" i="4"/>
  <c r="L117" i="4"/>
  <c r="M117" i="4"/>
  <c r="N117" i="4"/>
  <c r="O117" i="4"/>
  <c r="P117" i="4"/>
  <c r="Q117" i="4"/>
  <c r="R117" i="4"/>
  <c r="L124" i="4" s="1"/>
  <c r="S117" i="4"/>
  <c r="T117" i="4"/>
  <c r="U117" i="4"/>
  <c r="V117" i="4"/>
  <c r="W117" i="4"/>
  <c r="X117" i="4"/>
  <c r="Y117" i="4"/>
  <c r="Z117" i="4"/>
  <c r="J116" i="4"/>
  <c r="K116" i="4"/>
  <c r="L116" i="4"/>
  <c r="M116" i="4"/>
  <c r="N116" i="4"/>
  <c r="O116" i="4"/>
  <c r="P116" i="4"/>
  <c r="Q116" i="4"/>
  <c r="R116" i="4"/>
  <c r="S116" i="4"/>
  <c r="T116" i="4"/>
  <c r="U116" i="4"/>
  <c r="V116" i="4"/>
  <c r="W116" i="4"/>
  <c r="M123" i="4" s="1"/>
  <c r="X116" i="4"/>
  <c r="Y116" i="4"/>
  <c r="Z116" i="4"/>
  <c r="J115" i="4"/>
  <c r="K115" i="4"/>
  <c r="L115" i="4"/>
  <c r="M115" i="4"/>
  <c r="N115" i="4"/>
  <c r="O115" i="4"/>
  <c r="P115" i="4"/>
  <c r="Q115" i="4"/>
  <c r="R115" i="4"/>
  <c r="S115" i="4"/>
  <c r="T115" i="4"/>
  <c r="U115" i="4"/>
  <c r="V115" i="4"/>
  <c r="W115" i="4"/>
  <c r="X115" i="4"/>
  <c r="Y115" i="4"/>
  <c r="Z115" i="4"/>
  <c r="I117" i="4"/>
  <c r="I116" i="4"/>
  <c r="I115" i="4"/>
  <c r="C68" i="3"/>
  <c r="D68" i="3"/>
  <c r="E68" i="3"/>
  <c r="F68" i="3"/>
  <c r="G68" i="3"/>
  <c r="H68" i="3"/>
  <c r="I68" i="3"/>
  <c r="J68" i="3"/>
  <c r="K68" i="3"/>
  <c r="L68" i="3"/>
  <c r="M68" i="3"/>
  <c r="N68" i="3"/>
  <c r="O68" i="3"/>
  <c r="P68" i="3"/>
  <c r="Q68" i="3"/>
  <c r="R68" i="3"/>
  <c r="S68" i="3"/>
  <c r="B68" i="3"/>
  <c r="C67" i="3"/>
  <c r="D67" i="3"/>
  <c r="E67" i="3"/>
  <c r="F67" i="3"/>
  <c r="G67" i="3"/>
  <c r="H67" i="3"/>
  <c r="I67" i="3"/>
  <c r="J67" i="3"/>
  <c r="K67" i="3"/>
  <c r="L67" i="3"/>
  <c r="M67" i="3"/>
  <c r="N67" i="3"/>
  <c r="O67" i="3"/>
  <c r="P67" i="3"/>
  <c r="Q67" i="3"/>
  <c r="R67" i="3"/>
  <c r="S67" i="3"/>
  <c r="B67" i="3"/>
  <c r="C66" i="3"/>
  <c r="D66" i="3"/>
  <c r="E66" i="3"/>
  <c r="F66" i="3"/>
  <c r="G66" i="3"/>
  <c r="H66" i="3"/>
  <c r="I66" i="3"/>
  <c r="J66" i="3"/>
  <c r="K66" i="3"/>
  <c r="L66" i="3"/>
  <c r="M66" i="3"/>
  <c r="N66" i="3"/>
  <c r="O66" i="3"/>
  <c r="P66" i="3"/>
  <c r="Q66" i="3"/>
  <c r="R66" i="3"/>
  <c r="S66" i="3"/>
  <c r="B66" i="3"/>
  <c r="V31" i="22"/>
  <c r="W31" i="22"/>
  <c r="X31" i="22"/>
  <c r="V25" i="22"/>
  <c r="W25" i="22"/>
  <c r="X25" i="22"/>
  <c r="X24" i="22"/>
  <c r="W24" i="22"/>
  <c r="V24" i="22"/>
  <c r="V23" i="22"/>
  <c r="W23" i="22"/>
  <c r="X23" i="22"/>
  <c r="X22" i="22"/>
  <c r="W22" i="22"/>
  <c r="V22" i="22"/>
  <c r="X21" i="22"/>
  <c r="V21" i="22"/>
  <c r="W21" i="22"/>
  <c r="X9" i="33"/>
  <c r="W9" i="33"/>
  <c r="V9" i="33"/>
  <c r="V8" i="33"/>
  <c r="W8" i="33"/>
  <c r="X8" i="33"/>
  <c r="V20" i="33"/>
  <c r="V13" i="33" s="1"/>
  <c r="W20" i="33"/>
  <c r="W13" i="33" s="1"/>
  <c r="X20" i="33"/>
  <c r="X13" i="33" s="1"/>
  <c r="V30" i="33"/>
  <c r="W30" i="33"/>
  <c r="X30" i="33"/>
  <c r="X23" i="9"/>
  <c r="X22" i="9"/>
  <c r="X21" i="9"/>
  <c r="X20" i="9"/>
  <c r="X24" i="9" s="1"/>
  <c r="X16" i="9"/>
  <c r="X15" i="9"/>
  <c r="X14" i="9"/>
  <c r="X13" i="9"/>
  <c r="X12" i="9"/>
  <c r="X11" i="9"/>
  <c r="V42" i="9"/>
  <c r="W42" i="9"/>
  <c r="X42" i="9"/>
  <c r="V16" i="16"/>
  <c r="W16" i="16"/>
  <c r="X16" i="16"/>
  <c r="V15" i="16"/>
  <c r="V17" i="16" s="1"/>
  <c r="W15" i="16"/>
  <c r="W17" i="16" s="1"/>
  <c r="X15" i="16"/>
  <c r="X12" i="16"/>
  <c r="W12" i="16"/>
  <c r="V12" i="16"/>
  <c r="V11" i="16"/>
  <c r="W11" i="16"/>
  <c r="X11" i="16"/>
  <c r="X10" i="16"/>
  <c r="W10" i="16"/>
  <c r="V10" i="16"/>
  <c r="V9" i="16"/>
  <c r="W9" i="16"/>
  <c r="X9" i="16"/>
  <c r="X8" i="16"/>
  <c r="W8" i="16"/>
  <c r="V8" i="16"/>
  <c r="V7" i="16"/>
  <c r="W7" i="16"/>
  <c r="X7" i="16"/>
  <c r="V34" i="16"/>
  <c r="W34" i="16"/>
  <c r="W25" i="16" s="1"/>
  <c r="X34" i="16"/>
  <c r="X25" i="16" s="1"/>
  <c r="V50" i="20"/>
  <c r="W50" i="20"/>
  <c r="X50" i="20"/>
  <c r="V49" i="20"/>
  <c r="W49" i="20"/>
  <c r="X49" i="20"/>
  <c r="V48" i="20"/>
  <c r="W48" i="20"/>
  <c r="X48" i="20"/>
  <c r="V47" i="20"/>
  <c r="W47" i="20"/>
  <c r="X47" i="20"/>
  <c r="V38" i="20"/>
  <c r="W38" i="20"/>
  <c r="X38" i="20"/>
  <c r="V37" i="20"/>
  <c r="W37" i="20"/>
  <c r="X37" i="20"/>
  <c r="V36" i="20"/>
  <c r="W36" i="20"/>
  <c r="X36" i="20"/>
  <c r="X31" i="20"/>
  <c r="W31" i="20"/>
  <c r="V31" i="20"/>
  <c r="X29" i="20"/>
  <c r="W29" i="20"/>
  <c r="V29" i="20"/>
  <c r="X27" i="20"/>
  <c r="W27" i="20"/>
  <c r="V27" i="20"/>
  <c r="X25" i="20"/>
  <c r="W25" i="20"/>
  <c r="V25" i="20"/>
  <c r="V30" i="20"/>
  <c r="W30" i="20"/>
  <c r="X30" i="20"/>
  <c r="V28" i="20"/>
  <c r="W28" i="20"/>
  <c r="X28" i="20"/>
  <c r="V26" i="20"/>
  <c r="W26" i="20"/>
  <c r="X26" i="20"/>
  <c r="V24" i="20"/>
  <c r="W24" i="20"/>
  <c r="X24" i="20"/>
  <c r="V60" i="20"/>
  <c r="V43" i="20" s="1"/>
  <c r="W60" i="20"/>
  <c r="W43" i="20" s="1"/>
  <c r="X60" i="20"/>
  <c r="X43" i="20" s="1"/>
  <c r="V87" i="20"/>
  <c r="W87" i="20"/>
  <c r="X87" i="20"/>
  <c r="V18" i="13"/>
  <c r="W18" i="13"/>
  <c r="X18" i="13"/>
  <c r="X13" i="13"/>
  <c r="W13" i="13"/>
  <c r="V13" i="13"/>
  <c r="V12" i="13"/>
  <c r="W12" i="13"/>
  <c r="X12" i="13"/>
  <c r="V41" i="13"/>
  <c r="W41" i="13"/>
  <c r="X41" i="13"/>
  <c r="V28" i="13"/>
  <c r="V19" i="13" s="1"/>
  <c r="W28" i="13"/>
  <c r="W19" i="13" s="1"/>
  <c r="X28" i="13"/>
  <c r="X17" i="13" s="1"/>
  <c r="X15" i="17"/>
  <c r="W15" i="17"/>
  <c r="V15" i="17"/>
  <c r="V14" i="17"/>
  <c r="W14" i="17"/>
  <c r="X14" i="17"/>
  <c r="V34" i="17"/>
  <c r="V25" i="17" s="1"/>
  <c r="W34" i="17"/>
  <c r="W25" i="17" s="1"/>
  <c r="X34" i="17"/>
  <c r="X21" i="17" s="1"/>
  <c r="V34" i="18"/>
  <c r="W34" i="18"/>
  <c r="X34" i="18"/>
  <c r="V33" i="18"/>
  <c r="W33" i="18"/>
  <c r="X33" i="18"/>
  <c r="V32" i="18"/>
  <c r="W32" i="18"/>
  <c r="X32" i="18"/>
  <c r="V31" i="18"/>
  <c r="W31" i="18"/>
  <c r="X31" i="18"/>
  <c r="V63" i="18"/>
  <c r="W63" i="18"/>
  <c r="X63" i="18"/>
  <c r="V44" i="18"/>
  <c r="V27" i="18" s="1"/>
  <c r="W44" i="18"/>
  <c r="W28" i="18" s="1"/>
  <c r="X44" i="18"/>
  <c r="X27" i="18" s="1"/>
  <c r="X24" i="18"/>
  <c r="W24" i="18"/>
  <c r="V24" i="18"/>
  <c r="X22" i="18"/>
  <c r="W22" i="18"/>
  <c r="V22" i="18"/>
  <c r="X20" i="18"/>
  <c r="W20" i="18"/>
  <c r="V20" i="18"/>
  <c r="X18" i="18"/>
  <c r="W18" i="18"/>
  <c r="V18" i="18"/>
  <c r="V23" i="18"/>
  <c r="W23" i="18"/>
  <c r="X23" i="18"/>
  <c r="V21" i="18"/>
  <c r="W21" i="18"/>
  <c r="X21" i="18"/>
  <c r="V19" i="18"/>
  <c r="W19" i="18"/>
  <c r="X19" i="18"/>
  <c r="V17" i="18"/>
  <c r="W17" i="18"/>
  <c r="X17" i="18"/>
  <c r="V20" i="21"/>
  <c r="W20" i="21"/>
  <c r="X20" i="21"/>
  <c r="X17" i="21"/>
  <c r="W17" i="21"/>
  <c r="V17" i="21"/>
  <c r="V16" i="21"/>
  <c r="W16" i="21"/>
  <c r="X16" i="21"/>
  <c r="V34" i="21"/>
  <c r="W34" i="21"/>
  <c r="X34" i="21"/>
  <c r="X7" i="8"/>
  <c r="W7" i="8"/>
  <c r="V7" i="8"/>
  <c r="X7" i="7"/>
  <c r="W7" i="7"/>
  <c r="V7" i="7"/>
  <c r="V6" i="7"/>
  <c r="W6" i="7"/>
  <c r="X6" i="7"/>
  <c r="V6" i="8"/>
  <c r="W6" i="8"/>
  <c r="X6" i="8"/>
  <c r="V49" i="22"/>
  <c r="V32" i="22" s="1"/>
  <c r="W49" i="22"/>
  <c r="X49" i="22"/>
  <c r="X37" i="22" s="1"/>
  <c r="V72" i="22"/>
  <c r="W72" i="22"/>
  <c r="X72" i="22"/>
  <c r="V28" i="8"/>
  <c r="W28" i="8"/>
  <c r="X28" i="8"/>
  <c r="V18" i="8"/>
  <c r="W18" i="8"/>
  <c r="X18" i="8"/>
  <c r="V27" i="7"/>
  <c r="W27" i="7"/>
  <c r="X27" i="7"/>
  <c r="V17" i="7"/>
  <c r="V10" i="7" s="1"/>
  <c r="W17" i="7"/>
  <c r="W10" i="7" s="1"/>
  <c r="X17" i="7"/>
  <c r="X10" i="7" s="1"/>
  <c r="X13" i="12"/>
  <c r="W13" i="12"/>
  <c r="X11" i="12"/>
  <c r="W11" i="12"/>
  <c r="X9" i="12"/>
  <c r="W9" i="12"/>
  <c r="W12" i="12"/>
  <c r="X12" i="12"/>
  <c r="W10" i="12"/>
  <c r="X10" i="12"/>
  <c r="W8" i="12"/>
  <c r="X8" i="12"/>
  <c r="V17" i="12"/>
  <c r="W17" i="12"/>
  <c r="X17" i="12"/>
  <c r="V16" i="12"/>
  <c r="W16" i="12"/>
  <c r="X16" i="12"/>
  <c r="W34" i="12"/>
  <c r="X34" i="12"/>
  <c r="W58" i="26"/>
  <c r="X58" i="26"/>
  <c r="W38" i="26"/>
  <c r="X38" i="26"/>
  <c r="X29" i="26" s="1"/>
  <c r="V27" i="26"/>
  <c r="W27" i="26"/>
  <c r="X27" i="26"/>
  <c r="V26" i="26"/>
  <c r="W26" i="26"/>
  <c r="X26" i="26"/>
  <c r="X46" i="26" s="1"/>
  <c r="V25" i="26"/>
  <c r="W25" i="26"/>
  <c r="X25" i="26"/>
  <c r="V24" i="26"/>
  <c r="W24" i="26"/>
  <c r="X24" i="26"/>
  <c r="V23" i="26"/>
  <c r="W23" i="26"/>
  <c r="X23" i="26"/>
  <c r="V22" i="26"/>
  <c r="W22" i="26"/>
  <c r="X22" i="26"/>
  <c r="V21" i="26"/>
  <c r="W21" i="26"/>
  <c r="X21" i="26"/>
  <c r="X18" i="26"/>
  <c r="W18" i="26"/>
  <c r="V18" i="26"/>
  <c r="X17" i="26"/>
  <c r="V17" i="26"/>
  <c r="W17" i="26"/>
  <c r="W52" i="38"/>
  <c r="X52" i="38"/>
  <c r="W39" i="38"/>
  <c r="W30" i="38" s="1"/>
  <c r="X39" i="38"/>
  <c r="X30" i="38" s="1"/>
  <c r="V29" i="38"/>
  <c r="W29" i="38"/>
  <c r="X29" i="38"/>
  <c r="V28" i="38"/>
  <c r="W28" i="38"/>
  <c r="X28" i="38"/>
  <c r="X24" i="38"/>
  <c r="W24" i="38"/>
  <c r="W23" i="38"/>
  <c r="X23" i="38"/>
  <c r="X22" i="38"/>
  <c r="W22" i="38"/>
  <c r="W21" i="38"/>
  <c r="X21" i="38"/>
  <c r="X20" i="38"/>
  <c r="W20" i="38"/>
  <c r="W19" i="38"/>
  <c r="X19" i="38"/>
  <c r="X20" i="25"/>
  <c r="W20" i="25"/>
  <c r="W19" i="25"/>
  <c r="X19" i="25"/>
  <c r="X18" i="25"/>
  <c r="W18" i="25"/>
  <c r="W17" i="25"/>
  <c r="X17" i="25"/>
  <c r="X16" i="25"/>
  <c r="W16" i="25"/>
  <c r="W15" i="25"/>
  <c r="X15" i="25"/>
  <c r="V28" i="25"/>
  <c r="W28" i="25"/>
  <c r="X28" i="25"/>
  <c r="W38" i="25"/>
  <c r="W24" i="25" s="1"/>
  <c r="X38" i="25"/>
  <c r="X24" i="25" s="1"/>
  <c r="W55" i="25"/>
  <c r="X55" i="25"/>
  <c r="AD44" i="23"/>
  <c r="AB44" i="23"/>
  <c r="AC44" i="23"/>
  <c r="AB43" i="23"/>
  <c r="AC43" i="23"/>
  <c r="AD43" i="23"/>
  <c r="AB31" i="23"/>
  <c r="AC31" i="23"/>
  <c r="AD31" i="23"/>
  <c r="AD27" i="23"/>
  <c r="AC27" i="23"/>
  <c r="AC26" i="23"/>
  <c r="AD26" i="23"/>
  <c r="AD25" i="23"/>
  <c r="AC25" i="23"/>
  <c r="AC23" i="23"/>
  <c r="AD23" i="23"/>
  <c r="AC24" i="23"/>
  <c r="AD24" i="23"/>
  <c r="AC22" i="23"/>
  <c r="AD22" i="23"/>
  <c r="AC56" i="23"/>
  <c r="AD56" i="23"/>
  <c r="AD47" i="23" s="1"/>
  <c r="AC86" i="23"/>
  <c r="AD86" i="23"/>
  <c r="X20" i="31"/>
  <c r="W20" i="31"/>
  <c r="X18" i="31"/>
  <c r="W18" i="31"/>
  <c r="W19" i="31"/>
  <c r="X19" i="31"/>
  <c r="W17" i="31"/>
  <c r="X17" i="31"/>
  <c r="V23" i="31"/>
  <c r="W23" i="31"/>
  <c r="X23" i="31"/>
  <c r="W46" i="31"/>
  <c r="X46" i="31"/>
  <c r="W33" i="31"/>
  <c r="X33" i="31"/>
  <c r="V23" i="5"/>
  <c r="W23" i="5"/>
  <c r="X23" i="5"/>
  <c r="W19" i="5"/>
  <c r="X19" i="5"/>
  <c r="X17" i="5"/>
  <c r="X18" i="5"/>
  <c r="W17" i="5"/>
  <c r="W18" i="5"/>
  <c r="W16" i="5"/>
  <c r="X16" i="5"/>
  <c r="X15" i="5"/>
  <c r="W15" i="5"/>
  <c r="W14" i="5"/>
  <c r="X14" i="5"/>
  <c r="W43" i="5"/>
  <c r="X43" i="5"/>
  <c r="W31" i="5"/>
  <c r="W22" i="5" s="1"/>
  <c r="X31" i="5"/>
  <c r="X22" i="5" s="1"/>
  <c r="AC65" i="4"/>
  <c r="AD65" i="4"/>
  <c r="AE65" i="4"/>
  <c r="AC64" i="4"/>
  <c r="AD64" i="4"/>
  <c r="AE64" i="4"/>
  <c r="AC63" i="4"/>
  <c r="AD63" i="4"/>
  <c r="AE63" i="4"/>
  <c r="AC62" i="4"/>
  <c r="AD62" i="4"/>
  <c r="AE62" i="4"/>
  <c r="AC61" i="4"/>
  <c r="AD61" i="4"/>
  <c r="AE61" i="4"/>
  <c r="AC60" i="4"/>
  <c r="AD60" i="4"/>
  <c r="AE60" i="4"/>
  <c r="AC59" i="4"/>
  <c r="AD59" i="4"/>
  <c r="AE59" i="4"/>
  <c r="AC58" i="4"/>
  <c r="AD58" i="4"/>
  <c r="AE58" i="4"/>
  <c r="AC57" i="4"/>
  <c r="AD57" i="4"/>
  <c r="AE57" i="4"/>
  <c r="AC56" i="4"/>
  <c r="AD56" i="4"/>
  <c r="AE56" i="4"/>
  <c r="AC55" i="4"/>
  <c r="AD55" i="4"/>
  <c r="AE55" i="4"/>
  <c r="AC54" i="4"/>
  <c r="AD54" i="4"/>
  <c r="AE54" i="4"/>
  <c r="AC53" i="4"/>
  <c r="AD53" i="4"/>
  <c r="AE53" i="4"/>
  <c r="AC52" i="4"/>
  <c r="AD52" i="4"/>
  <c r="AE52" i="4"/>
  <c r="AC51" i="4"/>
  <c r="AD51" i="4"/>
  <c r="AE51" i="4"/>
  <c r="AE37" i="4"/>
  <c r="AD37" i="4"/>
  <c r="AD36" i="4"/>
  <c r="AE36" i="4"/>
  <c r="AE35" i="4"/>
  <c r="AD35" i="4"/>
  <c r="AD34" i="4"/>
  <c r="AE34" i="4"/>
  <c r="AD30" i="4"/>
  <c r="AE33" i="4"/>
  <c r="AD33" i="4"/>
  <c r="AD32" i="4"/>
  <c r="AE32" i="4"/>
  <c r="AE31" i="4"/>
  <c r="AD31" i="4"/>
  <c r="AE30" i="4"/>
  <c r="AD111" i="4"/>
  <c r="AE111" i="4"/>
  <c r="AD75" i="4"/>
  <c r="AD44" i="4" s="1"/>
  <c r="AE75" i="4"/>
  <c r="AE42" i="4" s="1"/>
  <c r="W60" i="3"/>
  <c r="X60" i="3"/>
  <c r="X41" i="3"/>
  <c r="W41" i="3"/>
  <c r="X21" i="3"/>
  <c r="W21" i="3"/>
  <c r="W20" i="3"/>
  <c r="X20" i="3"/>
  <c r="X19" i="3"/>
  <c r="W19" i="3"/>
  <c r="W18" i="3"/>
  <c r="X18" i="3"/>
  <c r="X17" i="3"/>
  <c r="W17" i="3"/>
  <c r="W16" i="3"/>
  <c r="X16" i="3"/>
  <c r="X15" i="3"/>
  <c r="W15" i="3"/>
  <c r="W14" i="3"/>
  <c r="X14" i="3"/>
  <c r="V20" i="9"/>
  <c r="V23" i="9"/>
  <c r="W23" i="9"/>
  <c r="V22" i="9"/>
  <c r="W22" i="9"/>
  <c r="V21" i="9"/>
  <c r="W21" i="9"/>
  <c r="W20" i="9"/>
  <c r="W16" i="9"/>
  <c r="V16" i="9"/>
  <c r="W14" i="9"/>
  <c r="V14" i="9"/>
  <c r="V12" i="9"/>
  <c r="W12" i="9"/>
  <c r="V15" i="9"/>
  <c r="W15" i="9"/>
  <c r="V13" i="9"/>
  <c r="W13" i="9"/>
  <c r="V11" i="9"/>
  <c r="W11" i="9"/>
  <c r="V13" i="12"/>
  <c r="V12" i="12"/>
  <c r="V11" i="12"/>
  <c r="V10" i="12"/>
  <c r="V9" i="12"/>
  <c r="V8" i="12"/>
  <c r="V34" i="12"/>
  <c r="V58" i="26"/>
  <c r="U58" i="26"/>
  <c r="X41" i="26" s="1"/>
  <c r="V52" i="38"/>
  <c r="V55" i="25"/>
  <c r="AB86" i="23"/>
  <c r="V46" i="31"/>
  <c r="V43" i="5"/>
  <c r="AC111" i="4"/>
  <c r="V60" i="3"/>
  <c r="V38" i="26"/>
  <c r="V29" i="26" s="1"/>
  <c r="V24" i="38"/>
  <c r="V22" i="38"/>
  <c r="V20" i="38"/>
  <c r="V23" i="38"/>
  <c r="V21" i="38"/>
  <c r="V19" i="38"/>
  <c r="V20" i="25"/>
  <c r="V18" i="25"/>
  <c r="V16" i="25"/>
  <c r="U16" i="25"/>
  <c r="U20" i="25"/>
  <c r="U18" i="25"/>
  <c r="V19" i="25"/>
  <c r="V17" i="25"/>
  <c r="V15" i="25"/>
  <c r="AB27" i="23"/>
  <c r="AB25" i="23"/>
  <c r="AB23" i="23"/>
  <c r="AB26" i="23"/>
  <c r="AB24" i="23"/>
  <c r="AB22" i="23"/>
  <c r="V20" i="31"/>
  <c r="V18" i="31"/>
  <c r="V19" i="31"/>
  <c r="V17" i="31"/>
  <c r="V19" i="5"/>
  <c r="V17" i="5"/>
  <c r="V15" i="5"/>
  <c r="V18" i="5"/>
  <c r="V16" i="5"/>
  <c r="U16" i="5"/>
  <c r="V14" i="5"/>
  <c r="AC37" i="4"/>
  <c r="AC35" i="4"/>
  <c r="AC33" i="4"/>
  <c r="AC31" i="4"/>
  <c r="AC36" i="4"/>
  <c r="AC34" i="4"/>
  <c r="AC32" i="4"/>
  <c r="AC30" i="4"/>
  <c r="V21" i="3"/>
  <c r="V19" i="3"/>
  <c r="V17" i="3"/>
  <c r="V15" i="3"/>
  <c r="V20" i="3"/>
  <c r="U20" i="3"/>
  <c r="V18" i="3"/>
  <c r="V16" i="3"/>
  <c r="V14" i="3"/>
  <c r="U15" i="3"/>
  <c r="T113" i="56"/>
  <c r="T125" i="56"/>
  <c r="T122" i="56"/>
  <c r="T119" i="56"/>
  <c r="T116" i="56"/>
  <c r="Y125" i="56"/>
  <c r="Y124" i="56"/>
  <c r="Y123" i="56"/>
  <c r="Y122" i="56"/>
  <c r="Y121" i="56"/>
  <c r="Y120" i="56"/>
  <c r="Y119" i="56"/>
  <c r="Y118" i="56"/>
  <c r="Y117" i="56"/>
  <c r="Y116" i="56"/>
  <c r="Y115" i="56"/>
  <c r="Y114" i="56"/>
  <c r="Y113" i="56"/>
  <c r="Y112" i="56"/>
  <c r="Y111" i="56"/>
  <c r="U50" i="20"/>
  <c r="T50" i="20"/>
  <c r="S50" i="20"/>
  <c r="R50" i="20"/>
  <c r="Q50" i="20"/>
  <c r="P50" i="20"/>
  <c r="O50" i="20"/>
  <c r="N50" i="20"/>
  <c r="M50" i="20"/>
  <c r="L50" i="20"/>
  <c r="K50" i="20"/>
  <c r="J50" i="20"/>
  <c r="I50" i="20"/>
  <c r="H50" i="20"/>
  <c r="G50" i="20"/>
  <c r="G38" i="20"/>
  <c r="G37" i="20"/>
  <c r="G36" i="20"/>
  <c r="Z107" i="56"/>
  <c r="Z106" i="56"/>
  <c r="Z105" i="56"/>
  <c r="Z104" i="56"/>
  <c r="Z103" i="56"/>
  <c r="Z102" i="56"/>
  <c r="Z101" i="56"/>
  <c r="Z100" i="56"/>
  <c r="Z99" i="56"/>
  <c r="Z98" i="56"/>
  <c r="Z97" i="56"/>
  <c r="Z96" i="56"/>
  <c r="Z95" i="56"/>
  <c r="Z94" i="56"/>
  <c r="Z93" i="56"/>
  <c r="U107" i="56"/>
  <c r="U104" i="56"/>
  <c r="U101" i="56"/>
  <c r="U98" i="56"/>
  <c r="U95" i="56"/>
  <c r="K89" i="56"/>
  <c r="K88" i="56"/>
  <c r="K87" i="56"/>
  <c r="K86" i="56"/>
  <c r="K85" i="56"/>
  <c r="K84" i="56"/>
  <c r="K83" i="56"/>
  <c r="K82" i="56"/>
  <c r="K81" i="56"/>
  <c r="K80" i="56"/>
  <c r="K79" i="56"/>
  <c r="K78" i="56"/>
  <c r="K77" i="56"/>
  <c r="K76" i="56"/>
  <c r="K75" i="56"/>
  <c r="F89" i="56"/>
  <c r="F86" i="56"/>
  <c r="F83" i="56"/>
  <c r="F80" i="56"/>
  <c r="F77" i="56"/>
  <c r="AH71" i="56"/>
  <c r="AH70" i="56"/>
  <c r="AH69" i="56"/>
  <c r="AH68" i="56"/>
  <c r="AH67" i="56"/>
  <c r="AH66" i="56"/>
  <c r="AH65" i="56"/>
  <c r="AH64" i="56"/>
  <c r="AH63" i="56"/>
  <c r="AH62" i="56"/>
  <c r="AH61" i="56"/>
  <c r="AH60" i="56"/>
  <c r="AH59" i="56"/>
  <c r="AH58" i="56"/>
  <c r="AH57" i="56"/>
  <c r="AD68" i="56"/>
  <c r="AC71" i="56"/>
  <c r="AC68" i="56"/>
  <c r="AC65" i="56"/>
  <c r="AC62" i="56"/>
  <c r="AC59" i="56"/>
  <c r="N83" i="56"/>
  <c r="T44" i="56"/>
  <c r="N86" i="56"/>
  <c r="AE95" i="56"/>
  <c r="AB113" i="56"/>
  <c r="AB116" i="56"/>
  <c r="N80" i="56"/>
  <c r="AC104" i="56"/>
  <c r="T47" i="56"/>
  <c r="AK59" i="56"/>
  <c r="P77" i="56"/>
  <c r="T50" i="56"/>
  <c r="AB122" i="56"/>
  <c r="AD113" i="56"/>
  <c r="AB119" i="56"/>
  <c r="AM59" i="56"/>
  <c r="V41" i="56"/>
  <c r="AK62" i="56"/>
  <c r="AK68" i="56"/>
  <c r="T41" i="56"/>
  <c r="AC98" i="56"/>
  <c r="U23" i="56"/>
  <c r="N77" i="56"/>
  <c r="AC101" i="56"/>
  <c r="AC95" i="56"/>
  <c r="AK65" i="56"/>
  <c r="B35" i="1"/>
  <c r="J79" i="22" l="1"/>
  <c r="J86" i="22" s="1"/>
  <c r="L85" i="22"/>
  <c r="M85" i="22"/>
  <c r="J60" i="9"/>
  <c r="AA93" i="23"/>
  <c r="Z93" i="23"/>
  <c r="R69" i="3"/>
  <c r="X24" i="16"/>
  <c r="X26" i="16" s="1"/>
  <c r="H86" i="56"/>
  <c r="K3" i="1"/>
  <c r="K4" i="1"/>
  <c r="K2" i="1"/>
  <c r="K79" i="22"/>
  <c r="AA79" i="22"/>
  <c r="Z79" i="22"/>
  <c r="R60" i="9"/>
  <c r="Q60" i="9"/>
  <c r="L65" i="9"/>
  <c r="P60" i="9"/>
  <c r="M65" i="9"/>
  <c r="H60" i="17"/>
  <c r="H61" i="17" s="1"/>
  <c r="H70" i="18"/>
  <c r="Y70" i="18"/>
  <c r="X70" i="18"/>
  <c r="X93" i="23"/>
  <c r="N98" i="23"/>
  <c r="X118" i="4"/>
  <c r="L123" i="4"/>
  <c r="V118" i="4"/>
  <c r="S118" i="4"/>
  <c r="B72" i="3"/>
  <c r="C72" i="3"/>
  <c r="B69" i="3"/>
  <c r="X23" i="33"/>
  <c r="L79" i="22"/>
  <c r="O83" i="22"/>
  <c r="X79" i="22"/>
  <c r="L84" i="22"/>
  <c r="Y79" i="22"/>
  <c r="W79" i="22"/>
  <c r="V79" i="22"/>
  <c r="N86" i="22" s="1"/>
  <c r="N79" i="22"/>
  <c r="N84" i="22"/>
  <c r="M84" i="22"/>
  <c r="S60" i="9"/>
  <c r="M66" i="9" s="1"/>
  <c r="Y60" i="9"/>
  <c r="L66" i="9"/>
  <c r="O60" i="9"/>
  <c r="L60" i="9"/>
  <c r="V25" i="16"/>
  <c r="M100" i="20"/>
  <c r="K99" i="20"/>
  <c r="L100" i="20"/>
  <c r="L99" i="20"/>
  <c r="J98" i="20"/>
  <c r="AA94" i="20"/>
  <c r="V94" i="20"/>
  <c r="Z94" i="20"/>
  <c r="U94" i="20"/>
  <c r="J100" i="20"/>
  <c r="T94" i="20"/>
  <c r="M101" i="20" s="1"/>
  <c r="K60" i="17"/>
  <c r="K61" i="17" s="1"/>
  <c r="I60" i="17"/>
  <c r="I61" i="17" s="1"/>
  <c r="L73" i="18"/>
  <c r="V70" i="18"/>
  <c r="U70" i="18"/>
  <c r="I73" i="18"/>
  <c r="M74" i="18"/>
  <c r="M73" i="18"/>
  <c r="J75" i="18"/>
  <c r="K38" i="8"/>
  <c r="K39" i="8" s="1"/>
  <c r="M38" i="8"/>
  <c r="M39" i="8" s="1"/>
  <c r="L38" i="8"/>
  <c r="L39" i="8" s="1"/>
  <c r="O36" i="7"/>
  <c r="O37" i="7" s="1"/>
  <c r="V18" i="12"/>
  <c r="X20" i="12" s="1"/>
  <c r="W18" i="12"/>
  <c r="P69" i="26"/>
  <c r="P70" i="26" s="1"/>
  <c r="K69" i="25"/>
  <c r="K70" i="25" s="1"/>
  <c r="K97" i="23"/>
  <c r="O99" i="23"/>
  <c r="J97" i="23"/>
  <c r="O98" i="23"/>
  <c r="M99" i="23"/>
  <c r="J98" i="23"/>
  <c r="AD36" i="23"/>
  <c r="AD42" i="23"/>
  <c r="L99" i="23"/>
  <c r="V93" i="23"/>
  <c r="U93" i="23"/>
  <c r="T93" i="23"/>
  <c r="O97" i="23"/>
  <c r="M98" i="23"/>
  <c r="S93" i="23"/>
  <c r="R93" i="23"/>
  <c r="M122" i="4"/>
  <c r="R118" i="4"/>
  <c r="Q118" i="4"/>
  <c r="K123" i="4"/>
  <c r="J118" i="4"/>
  <c r="N118" i="4"/>
  <c r="I118" i="4"/>
  <c r="N123" i="4"/>
  <c r="M118" i="4"/>
  <c r="C69" i="3"/>
  <c r="G74" i="3"/>
  <c r="F74" i="3"/>
  <c r="G73" i="3"/>
  <c r="S69" i="3"/>
  <c r="P69" i="3"/>
  <c r="E69" i="3"/>
  <c r="F69" i="3"/>
  <c r="W33" i="9"/>
  <c r="V19" i="17"/>
  <c r="X32" i="9"/>
  <c r="X34" i="9"/>
  <c r="X35" i="9"/>
  <c r="R79" i="22"/>
  <c r="K84" i="22"/>
  <c r="Q79" i="22"/>
  <c r="P79" i="22"/>
  <c r="L86" i="22" s="1"/>
  <c r="O79" i="22"/>
  <c r="K83" i="22"/>
  <c r="O84" i="22"/>
  <c r="N83" i="22"/>
  <c r="S79" i="22"/>
  <c r="M86" i="22" s="1"/>
  <c r="J84" i="22"/>
  <c r="K85" i="22"/>
  <c r="X33" i="9"/>
  <c r="J65" i="9"/>
  <c r="O64" i="9"/>
  <c r="X60" i="9"/>
  <c r="N65" i="9"/>
  <c r="K64" i="9"/>
  <c r="J64" i="9"/>
  <c r="K60" i="9"/>
  <c r="W60" i="9"/>
  <c r="V60" i="9"/>
  <c r="M98" i="20"/>
  <c r="L98" i="20"/>
  <c r="N100" i="20"/>
  <c r="K98" i="20"/>
  <c r="O99" i="20"/>
  <c r="J94" i="20"/>
  <c r="N99" i="20"/>
  <c r="M99" i="20"/>
  <c r="K100" i="20"/>
  <c r="O100" i="20"/>
  <c r="O98" i="20"/>
  <c r="N52" i="13"/>
  <c r="N53" i="13" s="1"/>
  <c r="I52" i="13"/>
  <c r="I53" i="13" s="1"/>
  <c r="M60" i="17"/>
  <c r="M61" i="17" s="1"/>
  <c r="L60" i="17"/>
  <c r="L61" i="17" s="1"/>
  <c r="J60" i="17"/>
  <c r="J61" i="17" s="1"/>
  <c r="X24" i="17"/>
  <c r="N70" i="18"/>
  <c r="S70" i="18"/>
  <c r="J74" i="18"/>
  <c r="K70" i="18"/>
  <c r="W70" i="18"/>
  <c r="J70" i="18"/>
  <c r="M75" i="18"/>
  <c r="K74" i="18"/>
  <c r="K73" i="18"/>
  <c r="L70" i="18"/>
  <c r="I70" i="18"/>
  <c r="J73" i="18"/>
  <c r="L75" i="18"/>
  <c r="I75" i="18"/>
  <c r="H75" i="18"/>
  <c r="P70" i="18"/>
  <c r="M70" i="18"/>
  <c r="K75" i="18"/>
  <c r="Q70" i="18"/>
  <c r="O70" i="18"/>
  <c r="H73" i="18"/>
  <c r="L74" i="18"/>
  <c r="X27" i="21"/>
  <c r="H38" i="8"/>
  <c r="H39" i="8" s="1"/>
  <c r="T34" i="8"/>
  <c r="I34" i="8"/>
  <c r="J38" i="8"/>
  <c r="J39" i="8" s="1"/>
  <c r="L36" i="7"/>
  <c r="L37" i="7" s="1"/>
  <c r="P36" i="7"/>
  <c r="P37" i="7" s="1"/>
  <c r="Q36" i="7"/>
  <c r="Q37" i="7" s="1"/>
  <c r="N36" i="7"/>
  <c r="N37" i="7" s="1"/>
  <c r="X18" i="12"/>
  <c r="Q69" i="26"/>
  <c r="Q70" i="26" s="1"/>
  <c r="X42" i="26"/>
  <c r="W42" i="26"/>
  <c r="X43" i="26"/>
  <c r="W45" i="26"/>
  <c r="V65" i="26"/>
  <c r="N69" i="26"/>
  <c r="N70" i="26" s="1"/>
  <c r="I69" i="25"/>
  <c r="I70" i="25" s="1"/>
  <c r="Q65" i="25"/>
  <c r="L69" i="25"/>
  <c r="L70" i="25" s="1"/>
  <c r="K65" i="25"/>
  <c r="J69" i="25"/>
  <c r="J70" i="25" s="1"/>
  <c r="N65" i="25"/>
  <c r="Y93" i="23"/>
  <c r="O100" i="23" s="1"/>
  <c r="K98" i="23"/>
  <c r="Q93" i="23"/>
  <c r="P93" i="23"/>
  <c r="L97" i="23"/>
  <c r="O93" i="23"/>
  <c r="M97" i="23"/>
  <c r="J99" i="23"/>
  <c r="N93" i="23"/>
  <c r="L93" i="23"/>
  <c r="K93" i="23"/>
  <c r="L98" i="23"/>
  <c r="N99" i="23"/>
  <c r="W93" i="23"/>
  <c r="K99" i="23"/>
  <c r="W36" i="31"/>
  <c r="W118" i="4"/>
  <c r="J124" i="4"/>
  <c r="J123" i="4"/>
  <c r="K122" i="4"/>
  <c r="P118" i="4"/>
  <c r="L122" i="4"/>
  <c r="J122" i="4"/>
  <c r="K118" i="4"/>
  <c r="I122" i="4"/>
  <c r="M124" i="4"/>
  <c r="AD82" i="4"/>
  <c r="Z118" i="4"/>
  <c r="U118" i="4"/>
  <c r="N124" i="4"/>
  <c r="I123" i="4"/>
  <c r="I124" i="4"/>
  <c r="Y118" i="4"/>
  <c r="T118" i="4"/>
  <c r="O118" i="4"/>
  <c r="G72" i="3"/>
  <c r="D74" i="3"/>
  <c r="O69" i="3"/>
  <c r="C74" i="3"/>
  <c r="L69" i="3"/>
  <c r="B74" i="3"/>
  <c r="I69" i="3"/>
  <c r="H69" i="3"/>
  <c r="G69" i="3"/>
  <c r="D69" i="3"/>
  <c r="B75" i="3" s="1"/>
  <c r="E73" i="3"/>
  <c r="F72" i="3"/>
  <c r="M69" i="3"/>
  <c r="D73" i="3"/>
  <c r="J69" i="3"/>
  <c r="F73" i="3"/>
  <c r="K69" i="3"/>
  <c r="C73" i="3"/>
  <c r="B73" i="3"/>
  <c r="D72" i="3"/>
  <c r="E74" i="3"/>
  <c r="V21" i="8"/>
  <c r="V36" i="31"/>
  <c r="V23" i="33"/>
  <c r="K29" i="1"/>
  <c r="K28" i="1"/>
  <c r="M83" i="22"/>
  <c r="J83" i="22"/>
  <c r="M79" i="22"/>
  <c r="L83" i="22"/>
  <c r="W23" i="33"/>
  <c r="V33" i="9"/>
  <c r="O65" i="9"/>
  <c r="N60" i="9"/>
  <c r="M60" i="9"/>
  <c r="L64" i="9"/>
  <c r="M64" i="9"/>
  <c r="V31" i="9"/>
  <c r="AA60" i="9"/>
  <c r="V32" i="9"/>
  <c r="V34" i="9"/>
  <c r="W31" i="9"/>
  <c r="Z60" i="9"/>
  <c r="N64" i="9"/>
  <c r="W32" i="9"/>
  <c r="X17" i="16"/>
  <c r="X19" i="16" s="1"/>
  <c r="V24" i="16"/>
  <c r="J99" i="20"/>
  <c r="Q94" i="20"/>
  <c r="P94" i="20"/>
  <c r="V51" i="20"/>
  <c r="O94" i="20"/>
  <c r="V41" i="20"/>
  <c r="N94" i="20"/>
  <c r="W44" i="20"/>
  <c r="M94" i="20"/>
  <c r="W51" i="20"/>
  <c r="W45" i="20"/>
  <c r="L94" i="20"/>
  <c r="K94" i="20"/>
  <c r="Y94" i="20"/>
  <c r="X94" i="20"/>
  <c r="V45" i="20"/>
  <c r="N98" i="20"/>
  <c r="I48" i="13"/>
  <c r="K52" i="13"/>
  <c r="K53" i="13" s="1"/>
  <c r="L52" i="13"/>
  <c r="L53" i="13" s="1"/>
  <c r="J52" i="13"/>
  <c r="J53" i="13" s="1"/>
  <c r="M52" i="13"/>
  <c r="M53" i="13" s="1"/>
  <c r="V17" i="13"/>
  <c r="V20" i="13" s="1"/>
  <c r="H57" i="17"/>
  <c r="Q57" i="17"/>
  <c r="T57" i="17"/>
  <c r="L57" i="17"/>
  <c r="V20" i="17"/>
  <c r="H74" i="18"/>
  <c r="T70" i="18"/>
  <c r="I74" i="18"/>
  <c r="R70" i="18"/>
  <c r="I38" i="8"/>
  <c r="I39" i="8" s="1"/>
  <c r="R33" i="7"/>
  <c r="M36" i="7"/>
  <c r="M37" i="7" s="1"/>
  <c r="O33" i="7"/>
  <c r="V42" i="26"/>
  <c r="V45" i="26"/>
  <c r="W65" i="26"/>
  <c r="V43" i="26"/>
  <c r="R69" i="26"/>
  <c r="R70" i="26" s="1"/>
  <c r="O69" i="26"/>
  <c r="O70" i="26" s="1"/>
  <c r="H69" i="25"/>
  <c r="H70" i="25" s="1"/>
  <c r="M69" i="25"/>
  <c r="M70" i="25" s="1"/>
  <c r="N97" i="23"/>
  <c r="J93" i="23"/>
  <c r="M93" i="23"/>
  <c r="X36" i="31"/>
  <c r="W24" i="5"/>
  <c r="K124" i="4"/>
  <c r="AE45" i="4"/>
  <c r="AE83" i="4" s="1"/>
  <c r="L118" i="4"/>
  <c r="N122" i="4"/>
  <c r="Q69" i="3"/>
  <c r="N69" i="3"/>
  <c r="E72" i="3"/>
  <c r="V26" i="17"/>
  <c r="W34" i="9"/>
  <c r="AE80" i="4"/>
  <c r="X47" i="26"/>
  <c r="X40" i="22"/>
  <c r="X32" i="22"/>
  <c r="W47" i="26"/>
  <c r="W37" i="22"/>
  <c r="W32" i="22"/>
  <c r="W24" i="16"/>
  <c r="W26" i="16" s="1"/>
  <c r="W24" i="3"/>
  <c r="W44" i="3" s="1"/>
  <c r="W30" i="3"/>
  <c r="W50" i="3" s="1"/>
  <c r="W26" i="3"/>
  <c r="W46" i="3" s="1"/>
  <c r="W29" i="3"/>
  <c r="W49" i="3" s="1"/>
  <c r="W25" i="3"/>
  <c r="W45" i="3" s="1"/>
  <c r="W31" i="3"/>
  <c r="W51" i="3" s="1"/>
  <c r="W27" i="3"/>
  <c r="W47" i="3" s="1"/>
  <c r="W32" i="3"/>
  <c r="W52" i="3" s="1"/>
  <c r="W28" i="3"/>
  <c r="W48" i="3" s="1"/>
  <c r="V47" i="26"/>
  <c r="X24" i="3"/>
  <c r="X30" i="3"/>
  <c r="X50" i="3" s="1"/>
  <c r="X26" i="3"/>
  <c r="X46" i="3" s="1"/>
  <c r="X29" i="3"/>
  <c r="X49" i="3" s="1"/>
  <c r="X25" i="3"/>
  <c r="X45" i="3" s="1"/>
  <c r="X28" i="3"/>
  <c r="X48" i="3" s="1"/>
  <c r="X31" i="3"/>
  <c r="X51" i="3" s="1"/>
  <c r="X27" i="3"/>
  <c r="X47" i="3" s="1"/>
  <c r="X32" i="3"/>
  <c r="X52" i="3" s="1"/>
  <c r="W26" i="17"/>
  <c r="W46" i="26"/>
  <c r="V46" i="26"/>
  <c r="W27" i="21"/>
  <c r="AC39" i="23"/>
  <c r="AC47" i="23"/>
  <c r="W28" i="26"/>
  <c r="W48" i="26" s="1"/>
  <c r="W29" i="26"/>
  <c r="V27" i="21"/>
  <c r="W19" i="17"/>
  <c r="X31" i="9"/>
  <c r="W22" i="17"/>
  <c r="W43" i="26"/>
  <c r="V22" i="17"/>
  <c r="X22" i="21"/>
  <c r="W44" i="26"/>
  <c r="AB65" i="26"/>
  <c r="V44" i="26"/>
  <c r="W50" i="26"/>
  <c r="W41" i="26"/>
  <c r="X45" i="26"/>
  <c r="V50" i="26"/>
  <c r="S69" i="26"/>
  <c r="S70" i="26" s="1"/>
  <c r="X28" i="26"/>
  <c r="X48" i="26" s="1"/>
  <c r="X44" i="26"/>
  <c r="Q65" i="26"/>
  <c r="X50" i="26"/>
  <c r="V49" i="26"/>
  <c r="V28" i="26"/>
  <c r="V48" i="26" s="1"/>
  <c r="V41" i="26"/>
  <c r="X19" i="17"/>
  <c r="X25" i="17"/>
  <c r="X44" i="20"/>
  <c r="X19" i="13"/>
  <c r="X20" i="13" s="1"/>
  <c r="X51" i="20"/>
  <c r="X20" i="17"/>
  <c r="X29" i="22"/>
  <c r="AE44" i="4"/>
  <c r="AE82" i="4" s="1"/>
  <c r="AD40" i="4"/>
  <c r="AD78" i="4" s="1"/>
  <c r="AC37" i="23"/>
  <c r="W21" i="8"/>
  <c r="W23" i="17"/>
  <c r="AC42" i="23"/>
  <c r="AC36" i="23"/>
  <c r="W18" i="17"/>
  <c r="W24" i="17"/>
  <c r="AD50" i="4"/>
  <c r="AD88" i="4" s="1"/>
  <c r="AC35" i="23"/>
  <c r="AD43" i="4"/>
  <c r="AD81" i="4" s="1"/>
  <c r="AC32" i="23"/>
  <c r="AD42" i="4"/>
  <c r="AD80" i="4" s="1"/>
  <c r="AC38" i="23"/>
  <c r="W17" i="13"/>
  <c r="W20" i="13" s="1"/>
  <c r="AD41" i="4"/>
  <c r="AD79" i="4" s="1"/>
  <c r="W42" i="20"/>
  <c r="W20" i="17"/>
  <c r="V28" i="18"/>
  <c r="V23" i="17"/>
  <c r="V18" i="17"/>
  <c r="V44" i="20"/>
  <c r="V24" i="17"/>
  <c r="W31" i="38"/>
  <c r="W25" i="31"/>
  <c r="W38" i="31" s="1"/>
  <c r="W24" i="31"/>
  <c r="X27" i="25"/>
  <c r="X25" i="25"/>
  <c r="X26" i="25"/>
  <c r="W27" i="25"/>
  <c r="W25" i="25"/>
  <c r="W26" i="25"/>
  <c r="W34" i="5"/>
  <c r="V40" i="22"/>
  <c r="V38" i="22"/>
  <c r="V29" i="22"/>
  <c r="V37" i="22"/>
  <c r="X12" i="7"/>
  <c r="X25" i="31"/>
  <c r="X38" i="31" s="1"/>
  <c r="X24" i="31"/>
  <c r="X37" i="31" s="1"/>
  <c r="AD45" i="23"/>
  <c r="AD37" i="23"/>
  <c r="AD41" i="23"/>
  <c r="AD33" i="23"/>
  <c r="AC41" i="23"/>
  <c r="AC33" i="23"/>
  <c r="AC46" i="23"/>
  <c r="AC30" i="23"/>
  <c r="AC34" i="23"/>
  <c r="AC40" i="23"/>
  <c r="X26" i="17"/>
  <c r="X22" i="17"/>
  <c r="X18" i="17"/>
  <c r="X15" i="33"/>
  <c r="AC45" i="23"/>
  <c r="AD32" i="23"/>
  <c r="W40" i="22"/>
  <c r="W38" i="22"/>
  <c r="W29" i="22"/>
  <c r="X23" i="17"/>
  <c r="X38" i="22"/>
  <c r="V21" i="17"/>
  <c r="V40" i="20"/>
  <c r="X40" i="20"/>
  <c r="AD47" i="4"/>
  <c r="AD85" i="4" s="1"/>
  <c r="W21" i="17"/>
  <c r="W40" i="20"/>
  <c r="AD46" i="4"/>
  <c r="AD84" i="4" s="1"/>
  <c r="AD45" i="4"/>
  <c r="AD83" i="4" s="1"/>
  <c r="W41" i="20"/>
  <c r="X34" i="22"/>
  <c r="W34" i="22"/>
  <c r="V34" i="22"/>
  <c r="X30" i="22"/>
  <c r="X35" i="22"/>
  <c r="X39" i="22"/>
  <c r="W30" i="22"/>
  <c r="W35" i="22"/>
  <c r="W39" i="22"/>
  <c r="V30" i="22"/>
  <c r="V35" i="22"/>
  <c r="V39" i="22"/>
  <c r="X36" i="22"/>
  <c r="W36" i="22"/>
  <c r="V36" i="22"/>
  <c r="W24" i="9"/>
  <c r="W35" i="9" s="1"/>
  <c r="V24" i="9"/>
  <c r="X41" i="20"/>
  <c r="X45" i="20"/>
  <c r="X42" i="20"/>
  <c r="X46" i="20"/>
  <c r="W46" i="20"/>
  <c r="V46" i="20"/>
  <c r="X35" i="20"/>
  <c r="X39" i="20"/>
  <c r="V42" i="20"/>
  <c r="W35" i="20"/>
  <c r="W39" i="20"/>
  <c r="V35" i="20"/>
  <c r="V39" i="20"/>
  <c r="X29" i="18"/>
  <c r="W29" i="18"/>
  <c r="W27" i="18"/>
  <c r="V29" i="18"/>
  <c r="X30" i="18"/>
  <c r="W30" i="18"/>
  <c r="V30" i="18"/>
  <c r="X35" i="18"/>
  <c r="W35" i="18"/>
  <c r="V35" i="18"/>
  <c r="X28" i="18"/>
  <c r="X31" i="38"/>
  <c r="X34" i="5"/>
  <c r="X24" i="5"/>
  <c r="X12" i="8"/>
  <c r="X21" i="8"/>
  <c r="AD30" i="23"/>
  <c r="AD35" i="23"/>
  <c r="AD38" i="23"/>
  <c r="AD40" i="23"/>
  <c r="AD46" i="23"/>
  <c r="AE50" i="4"/>
  <c r="AE88" i="4" s="1"/>
  <c r="AD34" i="23"/>
  <c r="AD39" i="23"/>
  <c r="AE41" i="4"/>
  <c r="AE79" i="4" s="1"/>
  <c r="AE40" i="4"/>
  <c r="AE78" i="4" s="1"/>
  <c r="AE49" i="4"/>
  <c r="AE87" i="4" s="1"/>
  <c r="X23" i="25"/>
  <c r="W23" i="25"/>
  <c r="AE48" i="4"/>
  <c r="AE86" i="4" s="1"/>
  <c r="AD49" i="4"/>
  <c r="AD87" i="4" s="1"/>
  <c r="AE47" i="4"/>
  <c r="AE85" i="4" s="1"/>
  <c r="AD48" i="4"/>
  <c r="AD86" i="4" s="1"/>
  <c r="AE46" i="4"/>
  <c r="AE84" i="4" s="1"/>
  <c r="AE43" i="4"/>
  <c r="AE81" i="4" s="1"/>
  <c r="AE68" i="56"/>
  <c r="V33" i="31"/>
  <c r="V41" i="3"/>
  <c r="AC75" i="4"/>
  <c r="V31" i="5"/>
  <c r="V22" i="5" s="1"/>
  <c r="AB56" i="23"/>
  <c r="AB47" i="23" s="1"/>
  <c r="V39" i="38"/>
  <c r="V30" i="38" s="1"/>
  <c r="V38" i="25"/>
  <c r="V24" i="25" s="1"/>
  <c r="V122" i="56"/>
  <c r="W104" i="56"/>
  <c r="Q39" i="56"/>
  <c r="Q40" i="56"/>
  <c r="Q41" i="56"/>
  <c r="Q42" i="56"/>
  <c r="Q43" i="56"/>
  <c r="Q44" i="56"/>
  <c r="Q45" i="56"/>
  <c r="Q46" i="56"/>
  <c r="Q47" i="56"/>
  <c r="Q48" i="56"/>
  <c r="Q49" i="56"/>
  <c r="Q50" i="56"/>
  <c r="Q51" i="56"/>
  <c r="Q52" i="56"/>
  <c r="Q53" i="56"/>
  <c r="L41" i="56"/>
  <c r="L44" i="56"/>
  <c r="L47" i="56"/>
  <c r="L50" i="56"/>
  <c r="L53" i="56"/>
  <c r="J21" i="56"/>
  <c r="D5" i="56"/>
  <c r="AM62" i="56"/>
  <c r="AD116" i="56"/>
  <c r="AE98" i="56"/>
  <c r="P80" i="56"/>
  <c r="V44" i="56"/>
  <c r="U5" i="56"/>
  <c r="T32" i="56"/>
  <c r="N23" i="56"/>
  <c r="T5" i="56"/>
  <c r="T11" i="56"/>
  <c r="N32" i="56"/>
  <c r="T8" i="56"/>
  <c r="L8" i="56"/>
  <c r="L23" i="56"/>
  <c r="N14" i="56"/>
  <c r="T14" i="56"/>
  <c r="T23" i="56"/>
  <c r="L26" i="56"/>
  <c r="U32" i="56"/>
  <c r="T29" i="56"/>
  <c r="U14" i="56"/>
  <c r="N5" i="56"/>
  <c r="L5" i="56"/>
  <c r="L32" i="56"/>
  <c r="L29" i="56"/>
  <c r="T26" i="56"/>
  <c r="K66" i="9" l="1"/>
  <c r="N66" i="9"/>
  <c r="N101" i="20"/>
  <c r="J101" i="20"/>
  <c r="H76" i="18"/>
  <c r="M76" i="18"/>
  <c r="L76" i="18"/>
  <c r="N100" i="23"/>
  <c r="M125" i="4"/>
  <c r="L125" i="4"/>
  <c r="N125" i="4"/>
  <c r="I125" i="4"/>
  <c r="K86" i="22"/>
  <c r="O86" i="22"/>
  <c r="V26" i="16"/>
  <c r="X28" i="16" s="1"/>
  <c r="O101" i="20"/>
  <c r="L100" i="23"/>
  <c r="K100" i="23"/>
  <c r="J100" i="23"/>
  <c r="M100" i="23"/>
  <c r="J125" i="4"/>
  <c r="C75" i="3"/>
  <c r="E75" i="3"/>
  <c r="X25" i="33"/>
  <c r="J66" i="9"/>
  <c r="K101" i="20"/>
  <c r="J76" i="18"/>
  <c r="V31" i="26"/>
  <c r="K125" i="4"/>
  <c r="D75" i="3"/>
  <c r="F75" i="3"/>
  <c r="G75" i="3"/>
  <c r="O66" i="9"/>
  <c r="K76" i="18"/>
  <c r="I76" i="18"/>
  <c r="X39" i="31"/>
  <c r="V35" i="9"/>
  <c r="X37" i="9" s="1"/>
  <c r="X26" i="9"/>
  <c r="L101" i="20"/>
  <c r="V51" i="26"/>
  <c r="W33" i="3"/>
  <c r="W53" i="3" s="1"/>
  <c r="X33" i="3"/>
  <c r="X53" i="3" s="1"/>
  <c r="X29" i="21"/>
  <c r="X26" i="31"/>
  <c r="X44" i="3"/>
  <c r="X23" i="8"/>
  <c r="V24" i="3"/>
  <c r="V44" i="3" s="1"/>
  <c r="V30" i="3"/>
  <c r="V50" i="3" s="1"/>
  <c r="V26" i="3"/>
  <c r="V46" i="3" s="1"/>
  <c r="V29" i="3"/>
  <c r="V49" i="3" s="1"/>
  <c r="V25" i="3"/>
  <c r="V45" i="3" s="1"/>
  <c r="V31" i="3"/>
  <c r="V51" i="3" s="1"/>
  <c r="V32" i="3"/>
  <c r="V52" i="3" s="1"/>
  <c r="V27" i="3"/>
  <c r="V47" i="3" s="1"/>
  <c r="V28" i="3"/>
  <c r="V48" i="3" s="1"/>
  <c r="X29" i="25"/>
  <c r="X22" i="13"/>
  <c r="AD66" i="4"/>
  <c r="V27" i="17"/>
  <c r="V25" i="31"/>
  <c r="V38" i="31" s="1"/>
  <c r="V24" i="31"/>
  <c r="X27" i="17"/>
  <c r="X36" i="18"/>
  <c r="V52" i="20"/>
  <c r="W26" i="31"/>
  <c r="W37" i="31"/>
  <c r="W39" i="31" s="1"/>
  <c r="W52" i="20"/>
  <c r="AC48" i="23"/>
  <c r="W27" i="17"/>
  <c r="V31" i="38"/>
  <c r="X33" i="38" s="1"/>
  <c r="X52" i="20"/>
  <c r="W29" i="25"/>
  <c r="AB33" i="23"/>
  <c r="AB42" i="23"/>
  <c r="AB38" i="23"/>
  <c r="AB37" i="23"/>
  <c r="AB45" i="23"/>
  <c r="AB40" i="23"/>
  <c r="AB34" i="23"/>
  <c r="AB30" i="23"/>
  <c r="AB46" i="23"/>
  <c r="AB41" i="23"/>
  <c r="AB35" i="23"/>
  <c r="AB32" i="23"/>
  <c r="AB36" i="23"/>
  <c r="AB39" i="23"/>
  <c r="V34" i="5"/>
  <c r="V24" i="5"/>
  <c r="X26" i="5" s="1"/>
  <c r="V36" i="18"/>
  <c r="W49" i="26"/>
  <c r="W51" i="26" s="1"/>
  <c r="W31" i="26"/>
  <c r="X41" i="22"/>
  <c r="V41" i="22"/>
  <c r="W41" i="22"/>
  <c r="W36" i="18"/>
  <c r="AE66" i="4"/>
  <c r="AD48" i="23"/>
  <c r="X31" i="26"/>
  <c r="X49" i="26"/>
  <c r="X51" i="26" s="1"/>
  <c r="V27" i="25"/>
  <c r="V23" i="25"/>
  <c r="V26" i="25"/>
  <c r="V25" i="25"/>
  <c r="AC45" i="4"/>
  <c r="AC83" i="4" s="1"/>
  <c r="AC46" i="4"/>
  <c r="AC84" i="4" s="1"/>
  <c r="AC47" i="4"/>
  <c r="AC85" i="4" s="1"/>
  <c r="AC48" i="4"/>
  <c r="AC86" i="4" s="1"/>
  <c r="AC40" i="4"/>
  <c r="AC44" i="4"/>
  <c r="AC82" i="4" s="1"/>
  <c r="AC49" i="4"/>
  <c r="AC87" i="4" s="1"/>
  <c r="AC50" i="4"/>
  <c r="AC88" i="4" s="1"/>
  <c r="AC41" i="4"/>
  <c r="AC79" i="4" s="1"/>
  <c r="AC42" i="4"/>
  <c r="AC80" i="4" s="1"/>
  <c r="AC43" i="4"/>
  <c r="AC81" i="4" s="1"/>
  <c r="V23" i="56"/>
  <c r="W23" i="56"/>
  <c r="N50" i="56"/>
  <c r="AD119" i="56"/>
  <c r="V47" i="56"/>
  <c r="P83" i="56"/>
  <c r="AM65" i="56"/>
  <c r="AE101" i="56"/>
  <c r="N8" i="56"/>
  <c r="U26" i="56"/>
  <c r="N26" i="56"/>
  <c r="U8" i="56"/>
  <c r="L11" i="56"/>
  <c r="L14" i="56"/>
  <c r="V33" i="3" l="1"/>
  <c r="V53" i="3" s="1"/>
  <c r="X55" i="3" s="1"/>
  <c r="X54" i="20"/>
  <c r="X53" i="26"/>
  <c r="X33" i="26"/>
  <c r="X29" i="17"/>
  <c r="X38" i="18"/>
  <c r="AB48" i="23"/>
  <c r="AD50" i="23" s="1"/>
  <c r="V37" i="31"/>
  <c r="V39" i="31" s="1"/>
  <c r="X41" i="31" s="1"/>
  <c r="V26" i="31"/>
  <c r="X28" i="31" s="1"/>
  <c r="X44" i="22"/>
  <c r="V29" i="25"/>
  <c r="X31" i="25" s="1"/>
  <c r="AC66" i="4"/>
  <c r="AC78" i="4"/>
  <c r="J35" i="56"/>
  <c r="I35" i="56"/>
  <c r="D35" i="56"/>
  <c r="J34" i="56"/>
  <c r="I34" i="56"/>
  <c r="J33" i="56"/>
  <c r="I33" i="56"/>
  <c r="J32" i="56"/>
  <c r="I32" i="56"/>
  <c r="D32" i="56"/>
  <c r="J31" i="56"/>
  <c r="I31" i="56"/>
  <c r="J30" i="56"/>
  <c r="I30" i="56"/>
  <c r="J29" i="56"/>
  <c r="I29" i="56"/>
  <c r="D29" i="56"/>
  <c r="J28" i="56"/>
  <c r="I28" i="56"/>
  <c r="J27" i="56"/>
  <c r="I27" i="56"/>
  <c r="J26" i="56"/>
  <c r="I26" i="56"/>
  <c r="D26" i="56"/>
  <c r="J25" i="56"/>
  <c r="I25" i="56"/>
  <c r="J24" i="56"/>
  <c r="I24" i="56"/>
  <c r="J23" i="56"/>
  <c r="I23" i="56"/>
  <c r="D23" i="56"/>
  <c r="J22" i="56"/>
  <c r="I22" i="56"/>
  <c r="I21" i="56"/>
  <c r="I3" i="56"/>
  <c r="J3" i="56"/>
  <c r="I4" i="56"/>
  <c r="J4" i="56"/>
  <c r="I5" i="56"/>
  <c r="J5" i="56"/>
  <c r="I6" i="56"/>
  <c r="J6" i="56"/>
  <c r="I7" i="56"/>
  <c r="J7" i="56"/>
  <c r="D8" i="56"/>
  <c r="I8" i="56"/>
  <c r="J8" i="56"/>
  <c r="I9" i="56"/>
  <c r="J9" i="56"/>
  <c r="I10" i="56"/>
  <c r="J10" i="56"/>
  <c r="D11" i="56"/>
  <c r="I11" i="56"/>
  <c r="J11" i="56"/>
  <c r="I12" i="56"/>
  <c r="J12" i="56"/>
  <c r="I13" i="56"/>
  <c r="J13" i="56"/>
  <c r="D14" i="56"/>
  <c r="I14" i="56"/>
  <c r="J14" i="56"/>
  <c r="I15" i="56"/>
  <c r="J15" i="56"/>
  <c r="I16" i="56"/>
  <c r="J16" i="56"/>
  <c r="D17" i="56"/>
  <c r="I17" i="56"/>
  <c r="J17" i="56"/>
  <c r="U31" i="5"/>
  <c r="U22" i="5" s="1"/>
  <c r="AH14" i="1"/>
  <c r="AH27" i="1"/>
  <c r="H34" i="16"/>
  <c r="I34" i="16"/>
  <c r="J34" i="16"/>
  <c r="K34" i="16"/>
  <c r="L34" i="16"/>
  <c r="M34" i="16"/>
  <c r="N34" i="16"/>
  <c r="O34" i="16"/>
  <c r="P34" i="16"/>
  <c r="Q34" i="16"/>
  <c r="R34" i="16"/>
  <c r="S34" i="16"/>
  <c r="T34" i="16"/>
  <c r="U34" i="16"/>
  <c r="G34" i="16"/>
  <c r="H42" i="9"/>
  <c r="I42" i="9"/>
  <c r="J42" i="9"/>
  <c r="K42" i="9"/>
  <c r="L42" i="9"/>
  <c r="M42" i="9"/>
  <c r="N42" i="9"/>
  <c r="O42" i="9"/>
  <c r="P42" i="9"/>
  <c r="Q42" i="9"/>
  <c r="R42" i="9"/>
  <c r="S42" i="9"/>
  <c r="T42" i="9"/>
  <c r="U42" i="9"/>
  <c r="G42" i="9"/>
  <c r="H30" i="33"/>
  <c r="I30" i="33"/>
  <c r="J30" i="33"/>
  <c r="K30" i="33"/>
  <c r="L30" i="33"/>
  <c r="M30" i="33"/>
  <c r="N30" i="33"/>
  <c r="O30" i="33"/>
  <c r="P30" i="33"/>
  <c r="Q30" i="33"/>
  <c r="R30" i="33"/>
  <c r="S30" i="33"/>
  <c r="T30" i="33"/>
  <c r="U30" i="33"/>
  <c r="G30" i="33"/>
  <c r="H72" i="22"/>
  <c r="I72" i="22"/>
  <c r="J72" i="22"/>
  <c r="K72" i="22"/>
  <c r="L72" i="22"/>
  <c r="M72" i="22"/>
  <c r="N72" i="22"/>
  <c r="O72" i="22"/>
  <c r="P72" i="22"/>
  <c r="Q72" i="22"/>
  <c r="R72" i="22"/>
  <c r="S72" i="22"/>
  <c r="T72" i="22"/>
  <c r="T57" i="22" s="1"/>
  <c r="U72" i="22"/>
  <c r="G72" i="22"/>
  <c r="H87" i="20"/>
  <c r="I87" i="20"/>
  <c r="J87" i="20"/>
  <c r="K87" i="20"/>
  <c r="L87" i="20"/>
  <c r="M87" i="20"/>
  <c r="N87" i="20"/>
  <c r="O87" i="20"/>
  <c r="P87" i="20"/>
  <c r="Q87" i="20"/>
  <c r="R87" i="20"/>
  <c r="S87" i="20"/>
  <c r="T87" i="20"/>
  <c r="U87" i="20"/>
  <c r="G87" i="20"/>
  <c r="H41" i="13"/>
  <c r="I41" i="13"/>
  <c r="J41" i="13"/>
  <c r="K41" i="13"/>
  <c r="L41" i="13"/>
  <c r="M41" i="13"/>
  <c r="N41" i="13"/>
  <c r="O41" i="13"/>
  <c r="P41" i="13"/>
  <c r="Q41" i="13"/>
  <c r="R41" i="13"/>
  <c r="S41" i="13"/>
  <c r="T41" i="13"/>
  <c r="U41" i="13"/>
  <c r="G41" i="13"/>
  <c r="H53" i="17"/>
  <c r="I53" i="17"/>
  <c r="J53" i="17"/>
  <c r="K53" i="17"/>
  <c r="L53" i="17"/>
  <c r="M53" i="17"/>
  <c r="N53" i="17"/>
  <c r="O53" i="17"/>
  <c r="P53" i="17"/>
  <c r="Q53" i="17"/>
  <c r="R53" i="17"/>
  <c r="S53" i="17"/>
  <c r="T53" i="17"/>
  <c r="U53" i="17"/>
  <c r="G53" i="17"/>
  <c r="H63" i="18"/>
  <c r="I63" i="18"/>
  <c r="J63" i="18"/>
  <c r="K63" i="18"/>
  <c r="L63" i="18"/>
  <c r="M63" i="18"/>
  <c r="N63" i="18"/>
  <c r="O63" i="18"/>
  <c r="P63" i="18"/>
  <c r="Q63" i="18"/>
  <c r="R63" i="18"/>
  <c r="S63" i="18"/>
  <c r="T63" i="18"/>
  <c r="U63" i="18"/>
  <c r="G63" i="18"/>
  <c r="H34" i="21"/>
  <c r="I34" i="21"/>
  <c r="J34" i="21"/>
  <c r="K34" i="21"/>
  <c r="L34" i="21"/>
  <c r="M34" i="21"/>
  <c r="N34" i="21"/>
  <c r="O34" i="21"/>
  <c r="P34" i="21"/>
  <c r="Q34" i="21"/>
  <c r="R34" i="21"/>
  <c r="S34" i="21"/>
  <c r="T34" i="21"/>
  <c r="U34" i="21"/>
  <c r="G34" i="21"/>
  <c r="H28" i="8"/>
  <c r="I28" i="8"/>
  <c r="J28" i="8"/>
  <c r="K28" i="8"/>
  <c r="L28" i="8"/>
  <c r="M28" i="8"/>
  <c r="N28" i="8"/>
  <c r="O28" i="8"/>
  <c r="P28" i="8"/>
  <c r="Q28" i="8"/>
  <c r="R28" i="8"/>
  <c r="S28" i="8"/>
  <c r="T28" i="8"/>
  <c r="U28" i="8"/>
  <c r="G28" i="8"/>
  <c r="H27" i="7"/>
  <c r="I27" i="7"/>
  <c r="J27" i="7"/>
  <c r="K27" i="7"/>
  <c r="L27" i="7"/>
  <c r="M27" i="7"/>
  <c r="N27" i="7"/>
  <c r="O27" i="7"/>
  <c r="P27" i="7"/>
  <c r="Q27" i="7"/>
  <c r="R27" i="7"/>
  <c r="S27" i="7"/>
  <c r="T27" i="7"/>
  <c r="U27" i="7"/>
  <c r="G27" i="7"/>
  <c r="H34" i="12"/>
  <c r="I34" i="12"/>
  <c r="J34" i="12"/>
  <c r="K34" i="12"/>
  <c r="L34" i="12"/>
  <c r="M34" i="12"/>
  <c r="N34" i="12"/>
  <c r="O34" i="12"/>
  <c r="P34" i="12"/>
  <c r="Q34" i="12"/>
  <c r="R34" i="12"/>
  <c r="S34" i="12"/>
  <c r="T34" i="12"/>
  <c r="U34" i="12"/>
  <c r="G34" i="12"/>
  <c r="H58" i="26"/>
  <c r="I58" i="26"/>
  <c r="J58" i="26"/>
  <c r="K58" i="26"/>
  <c r="L58" i="26"/>
  <c r="M58" i="26"/>
  <c r="N58" i="26"/>
  <c r="O58" i="26"/>
  <c r="P58" i="26"/>
  <c r="Q58" i="26"/>
  <c r="R58" i="26"/>
  <c r="S58" i="26"/>
  <c r="T58" i="26"/>
  <c r="G58" i="26"/>
  <c r="H52" i="38"/>
  <c r="I52" i="38"/>
  <c r="J52" i="38"/>
  <c r="K52" i="38"/>
  <c r="L52" i="38"/>
  <c r="M52" i="38"/>
  <c r="N52" i="38"/>
  <c r="O52" i="38"/>
  <c r="P52" i="38"/>
  <c r="Q52" i="38"/>
  <c r="R52" i="38"/>
  <c r="S52" i="38"/>
  <c r="T52" i="38"/>
  <c r="U52" i="38"/>
  <c r="G52" i="38"/>
  <c r="H55" i="25"/>
  <c r="I55" i="25"/>
  <c r="J55" i="25"/>
  <c r="K55" i="25"/>
  <c r="L55" i="25"/>
  <c r="M55" i="25"/>
  <c r="N55" i="25"/>
  <c r="O55" i="25"/>
  <c r="P55" i="25"/>
  <c r="Q55" i="25"/>
  <c r="R55" i="25"/>
  <c r="S55" i="25"/>
  <c r="T55" i="25"/>
  <c r="U55" i="25"/>
  <c r="G55" i="25"/>
  <c r="N86" i="23"/>
  <c r="O86" i="23"/>
  <c r="P86" i="23"/>
  <c r="Q86" i="23"/>
  <c r="R86" i="23"/>
  <c r="S86" i="23"/>
  <c r="T86" i="23"/>
  <c r="U86" i="23"/>
  <c r="V86" i="23"/>
  <c r="W86" i="23"/>
  <c r="X86" i="23"/>
  <c r="Y86" i="23"/>
  <c r="Z86" i="23"/>
  <c r="AA86" i="23"/>
  <c r="AB65" i="23" s="1"/>
  <c r="M86" i="23"/>
  <c r="H46" i="31"/>
  <c r="I46" i="31"/>
  <c r="J46" i="31"/>
  <c r="K46" i="31"/>
  <c r="L46" i="31"/>
  <c r="M46" i="31"/>
  <c r="N46" i="31"/>
  <c r="O46" i="31"/>
  <c r="P46" i="31"/>
  <c r="Q46" i="31"/>
  <c r="R46" i="31"/>
  <c r="S46" i="31"/>
  <c r="T46" i="31"/>
  <c r="U46" i="31"/>
  <c r="G46" i="31"/>
  <c r="H43" i="5"/>
  <c r="I43" i="5"/>
  <c r="J43" i="5"/>
  <c r="K43" i="5"/>
  <c r="L43" i="5"/>
  <c r="M43" i="5"/>
  <c r="N43" i="5"/>
  <c r="O43" i="5"/>
  <c r="P43" i="5"/>
  <c r="Q43" i="5"/>
  <c r="R43" i="5"/>
  <c r="S43" i="5"/>
  <c r="T43" i="5"/>
  <c r="U43" i="5"/>
  <c r="G43" i="5"/>
  <c r="O111" i="4"/>
  <c r="P111" i="4"/>
  <c r="Q111" i="4"/>
  <c r="R111" i="4"/>
  <c r="S111" i="4"/>
  <c r="T111" i="4"/>
  <c r="U111" i="4"/>
  <c r="V111" i="4"/>
  <c r="W111" i="4"/>
  <c r="X111" i="4"/>
  <c r="Y111" i="4"/>
  <c r="Z111" i="4"/>
  <c r="AA111" i="4"/>
  <c r="AB111" i="4"/>
  <c r="N111" i="4"/>
  <c r="N51" i="4"/>
  <c r="O51" i="4"/>
  <c r="P51" i="4"/>
  <c r="Q51" i="4"/>
  <c r="R51" i="4"/>
  <c r="S51" i="4"/>
  <c r="T51" i="4"/>
  <c r="U51" i="4"/>
  <c r="V51" i="4"/>
  <c r="W51" i="4"/>
  <c r="X51" i="4"/>
  <c r="Y51" i="4"/>
  <c r="Z51" i="4"/>
  <c r="AA51" i="4"/>
  <c r="AB51" i="4"/>
  <c r="N52" i="4"/>
  <c r="O52" i="4"/>
  <c r="P52" i="4"/>
  <c r="Q52" i="4"/>
  <c r="R52" i="4"/>
  <c r="S52" i="4"/>
  <c r="T52" i="4"/>
  <c r="U52" i="4"/>
  <c r="V52" i="4"/>
  <c r="W52" i="4"/>
  <c r="X52" i="4"/>
  <c r="Y52" i="4"/>
  <c r="Z52" i="4"/>
  <c r="AA52" i="4"/>
  <c r="AB52" i="4"/>
  <c r="N53" i="4"/>
  <c r="O53" i="4"/>
  <c r="P53" i="4"/>
  <c r="Q53" i="4"/>
  <c r="R53" i="4"/>
  <c r="S53" i="4"/>
  <c r="T53" i="4"/>
  <c r="U53" i="4"/>
  <c r="V53" i="4"/>
  <c r="W53" i="4"/>
  <c r="X53" i="4"/>
  <c r="Y53" i="4"/>
  <c r="Z53" i="4"/>
  <c r="AA53" i="4"/>
  <c r="AB53" i="4"/>
  <c r="N54" i="4"/>
  <c r="O54" i="4"/>
  <c r="P54" i="4"/>
  <c r="Q54" i="4"/>
  <c r="R54" i="4"/>
  <c r="S54" i="4"/>
  <c r="T54" i="4"/>
  <c r="U54" i="4"/>
  <c r="V54" i="4"/>
  <c r="W54" i="4"/>
  <c r="X54" i="4"/>
  <c r="Y54" i="4"/>
  <c r="Z54" i="4"/>
  <c r="AA54" i="4"/>
  <c r="AB54" i="4"/>
  <c r="N55" i="4"/>
  <c r="O55" i="4"/>
  <c r="P55" i="4"/>
  <c r="Q55" i="4"/>
  <c r="R55" i="4"/>
  <c r="S55" i="4"/>
  <c r="T55" i="4"/>
  <c r="U55" i="4"/>
  <c r="V55" i="4"/>
  <c r="W55" i="4"/>
  <c r="X55" i="4"/>
  <c r="Y55" i="4"/>
  <c r="Z55" i="4"/>
  <c r="AA55" i="4"/>
  <c r="AB55" i="4"/>
  <c r="N56" i="4"/>
  <c r="O56" i="4"/>
  <c r="P56" i="4"/>
  <c r="Q56" i="4"/>
  <c r="R56" i="4"/>
  <c r="S56" i="4"/>
  <c r="T56" i="4"/>
  <c r="U56" i="4"/>
  <c r="V56" i="4"/>
  <c r="W56" i="4"/>
  <c r="X56" i="4"/>
  <c r="Y56" i="4"/>
  <c r="Z56" i="4"/>
  <c r="AA56" i="4"/>
  <c r="AB56" i="4"/>
  <c r="N57" i="4"/>
  <c r="O57" i="4"/>
  <c r="P57" i="4"/>
  <c r="Q57" i="4"/>
  <c r="R57" i="4"/>
  <c r="S57" i="4"/>
  <c r="T57" i="4"/>
  <c r="U57" i="4"/>
  <c r="V57" i="4"/>
  <c r="W57" i="4"/>
  <c r="X57" i="4"/>
  <c r="Y57" i="4"/>
  <c r="Z57" i="4"/>
  <c r="AA57" i="4"/>
  <c r="AB57" i="4"/>
  <c r="N58" i="4"/>
  <c r="O58" i="4"/>
  <c r="P58" i="4"/>
  <c r="Q58" i="4"/>
  <c r="R58" i="4"/>
  <c r="S58" i="4"/>
  <c r="T58" i="4"/>
  <c r="U58" i="4"/>
  <c r="V58" i="4"/>
  <c r="W58" i="4"/>
  <c r="X58" i="4"/>
  <c r="Y58" i="4"/>
  <c r="Z58" i="4"/>
  <c r="AA58" i="4"/>
  <c r="AB58" i="4"/>
  <c r="N59" i="4"/>
  <c r="O59" i="4"/>
  <c r="P59" i="4"/>
  <c r="Q59" i="4"/>
  <c r="R59" i="4"/>
  <c r="S59" i="4"/>
  <c r="T59" i="4"/>
  <c r="U59" i="4"/>
  <c r="V59" i="4"/>
  <c r="W59" i="4"/>
  <c r="X59" i="4"/>
  <c r="Y59" i="4"/>
  <c r="Z59" i="4"/>
  <c r="AA59" i="4"/>
  <c r="AB59" i="4"/>
  <c r="N60" i="4"/>
  <c r="O60" i="4"/>
  <c r="P60" i="4"/>
  <c r="Q60" i="4"/>
  <c r="R60" i="4"/>
  <c r="S60" i="4"/>
  <c r="T60" i="4"/>
  <c r="U60" i="4"/>
  <c r="V60" i="4"/>
  <c r="W60" i="4"/>
  <c r="X60" i="4"/>
  <c r="Y60" i="4"/>
  <c r="Z60" i="4"/>
  <c r="AA60" i="4"/>
  <c r="AB60" i="4"/>
  <c r="N61" i="4"/>
  <c r="O61" i="4"/>
  <c r="P61" i="4"/>
  <c r="Q61" i="4"/>
  <c r="R61" i="4"/>
  <c r="S61" i="4"/>
  <c r="T61" i="4"/>
  <c r="U61" i="4"/>
  <c r="V61" i="4"/>
  <c r="W61" i="4"/>
  <c r="X61" i="4"/>
  <c r="Y61" i="4"/>
  <c r="Z61" i="4"/>
  <c r="AA61" i="4"/>
  <c r="AB61" i="4"/>
  <c r="N62" i="4"/>
  <c r="O62" i="4"/>
  <c r="P62" i="4"/>
  <c r="Q62" i="4"/>
  <c r="R62" i="4"/>
  <c r="S62" i="4"/>
  <c r="T62" i="4"/>
  <c r="U62" i="4"/>
  <c r="V62" i="4"/>
  <c r="W62" i="4"/>
  <c r="X62" i="4"/>
  <c r="Y62" i="4"/>
  <c r="Z62" i="4"/>
  <c r="AA62" i="4"/>
  <c r="AB62" i="4"/>
  <c r="N63" i="4"/>
  <c r="O63" i="4"/>
  <c r="P63" i="4"/>
  <c r="Q63" i="4"/>
  <c r="R63" i="4"/>
  <c r="S63" i="4"/>
  <c r="T63" i="4"/>
  <c r="U63" i="4"/>
  <c r="V63" i="4"/>
  <c r="W63" i="4"/>
  <c r="X63" i="4"/>
  <c r="Y63" i="4"/>
  <c r="Z63" i="4"/>
  <c r="AA63" i="4"/>
  <c r="AB63" i="4"/>
  <c r="N64" i="4"/>
  <c r="O64" i="4"/>
  <c r="P64" i="4"/>
  <c r="Q64" i="4"/>
  <c r="R64" i="4"/>
  <c r="S64" i="4"/>
  <c r="T64" i="4"/>
  <c r="U64" i="4"/>
  <c r="V64" i="4"/>
  <c r="W64" i="4"/>
  <c r="X64" i="4"/>
  <c r="Y64" i="4"/>
  <c r="Z64" i="4"/>
  <c r="AA64" i="4"/>
  <c r="AB64" i="4"/>
  <c r="N65" i="4"/>
  <c r="O65" i="4"/>
  <c r="P65" i="4"/>
  <c r="Q65" i="4"/>
  <c r="R65" i="4"/>
  <c r="S65" i="4"/>
  <c r="T65" i="4"/>
  <c r="U65" i="4"/>
  <c r="V65" i="4"/>
  <c r="W65" i="4"/>
  <c r="X65" i="4"/>
  <c r="Y65" i="4"/>
  <c r="Z65" i="4"/>
  <c r="AA65" i="4"/>
  <c r="AB65" i="4"/>
  <c r="S14" i="3"/>
  <c r="T14" i="3"/>
  <c r="U14" i="3"/>
  <c r="T15" i="3"/>
  <c r="S16" i="3"/>
  <c r="T16" i="3"/>
  <c r="U16" i="3"/>
  <c r="T17" i="3"/>
  <c r="U17" i="3"/>
  <c r="S18" i="3"/>
  <c r="T18" i="3"/>
  <c r="U18" i="3"/>
  <c r="T19" i="3"/>
  <c r="U19" i="3"/>
  <c r="S20" i="3"/>
  <c r="T20" i="3"/>
  <c r="T21" i="3"/>
  <c r="U21" i="3"/>
  <c r="H60" i="3"/>
  <c r="I60" i="3"/>
  <c r="J60" i="3"/>
  <c r="K60" i="3"/>
  <c r="L60" i="3"/>
  <c r="M60" i="3"/>
  <c r="N60" i="3"/>
  <c r="O60" i="3"/>
  <c r="P60" i="3"/>
  <c r="Q60" i="3"/>
  <c r="R60" i="3"/>
  <c r="S60" i="3"/>
  <c r="T60" i="3"/>
  <c r="U60" i="3"/>
  <c r="G60" i="3"/>
  <c r="H24" i="26"/>
  <c r="U49" i="20"/>
  <c r="T49" i="20"/>
  <c r="S49" i="20"/>
  <c r="R49" i="20"/>
  <c r="Q49" i="20"/>
  <c r="P49" i="20"/>
  <c r="O49" i="20"/>
  <c r="N49" i="20"/>
  <c r="M49" i="20"/>
  <c r="L49" i="20"/>
  <c r="U48" i="20"/>
  <c r="T48" i="20"/>
  <c r="S48" i="20"/>
  <c r="R48" i="20"/>
  <c r="Q48" i="20"/>
  <c r="P48" i="20"/>
  <c r="O48" i="20"/>
  <c r="N48" i="20"/>
  <c r="M48" i="20"/>
  <c r="L48" i="20"/>
  <c r="U47" i="20"/>
  <c r="T47" i="20"/>
  <c r="S47" i="20"/>
  <c r="R47" i="20"/>
  <c r="Q47" i="20"/>
  <c r="P47" i="20"/>
  <c r="O47" i="20"/>
  <c r="N47" i="20"/>
  <c r="M47" i="20"/>
  <c r="L47" i="20"/>
  <c r="R46" i="20"/>
  <c r="Q46" i="20"/>
  <c r="P46" i="20"/>
  <c r="O46" i="20"/>
  <c r="N46" i="20"/>
  <c r="M46" i="20"/>
  <c r="L46" i="20"/>
  <c r="U38" i="20"/>
  <c r="T38" i="20"/>
  <c r="S38" i="20"/>
  <c r="R38" i="20"/>
  <c r="Q38" i="20"/>
  <c r="P38" i="20"/>
  <c r="O38" i="20"/>
  <c r="N38" i="20"/>
  <c r="M38" i="20"/>
  <c r="L38" i="20"/>
  <c r="U37" i="20"/>
  <c r="T37" i="20"/>
  <c r="S37" i="20"/>
  <c r="R37" i="20"/>
  <c r="Q37" i="20"/>
  <c r="P37" i="20"/>
  <c r="O37" i="20"/>
  <c r="N37" i="20"/>
  <c r="M37" i="20"/>
  <c r="L37" i="20"/>
  <c r="U36" i="20"/>
  <c r="T36" i="20"/>
  <c r="S36" i="20"/>
  <c r="R36" i="20"/>
  <c r="Q36" i="20"/>
  <c r="P36" i="20"/>
  <c r="O36" i="20"/>
  <c r="N36" i="20"/>
  <c r="M36" i="20"/>
  <c r="L36" i="20"/>
  <c r="R35" i="20"/>
  <c r="Q35" i="20"/>
  <c r="P35" i="20"/>
  <c r="O35" i="20"/>
  <c r="N35" i="20"/>
  <c r="M35" i="20"/>
  <c r="L35" i="20"/>
  <c r="U13" i="13"/>
  <c r="U12" i="13"/>
  <c r="U7" i="7"/>
  <c r="U6" i="7"/>
  <c r="U17" i="12"/>
  <c r="T17" i="12"/>
  <c r="S17" i="12"/>
  <c r="R17" i="12"/>
  <c r="Q17" i="12"/>
  <c r="P17" i="12"/>
  <c r="O17" i="12"/>
  <c r="N17" i="12"/>
  <c r="M17" i="12"/>
  <c r="L17" i="12"/>
  <c r="U16" i="12"/>
  <c r="T16" i="12"/>
  <c r="S16" i="12"/>
  <c r="R16" i="12"/>
  <c r="Q16" i="12"/>
  <c r="P16" i="12"/>
  <c r="O16" i="12"/>
  <c r="N16" i="12"/>
  <c r="M16" i="12"/>
  <c r="L16" i="12"/>
  <c r="U18" i="26"/>
  <c r="U17" i="26"/>
  <c r="U28" i="25"/>
  <c r="T28" i="25"/>
  <c r="S28" i="25"/>
  <c r="R28" i="25"/>
  <c r="Q28" i="25"/>
  <c r="P28" i="25"/>
  <c r="O28" i="25"/>
  <c r="N28" i="25"/>
  <c r="M28" i="25"/>
  <c r="L28" i="25"/>
  <c r="U31" i="22"/>
  <c r="T15" i="22"/>
  <c r="T25" i="22" s="1"/>
  <c r="U15" i="22"/>
  <c r="U25" i="22" s="1"/>
  <c r="S15" i="22"/>
  <c r="U24" i="22"/>
  <c r="U22" i="22"/>
  <c r="U23" i="22"/>
  <c r="U21" i="22"/>
  <c r="U9" i="33"/>
  <c r="U8" i="33"/>
  <c r="U23" i="9"/>
  <c r="U22" i="9"/>
  <c r="U21" i="9"/>
  <c r="U20" i="9"/>
  <c r="U16" i="9"/>
  <c r="U15" i="9"/>
  <c r="U14" i="9"/>
  <c r="U13" i="9"/>
  <c r="U12" i="9"/>
  <c r="U11" i="9"/>
  <c r="U16" i="16"/>
  <c r="U15" i="16"/>
  <c r="U12" i="16"/>
  <c r="U11" i="16"/>
  <c r="U10" i="16"/>
  <c r="U9" i="16"/>
  <c r="U8" i="16"/>
  <c r="U7" i="16"/>
  <c r="U31" i="20"/>
  <c r="U30" i="20"/>
  <c r="U29" i="20"/>
  <c r="U28" i="20"/>
  <c r="U27" i="20"/>
  <c r="U26" i="20"/>
  <c r="U25" i="20"/>
  <c r="U24" i="20"/>
  <c r="U18" i="13"/>
  <c r="U15" i="17"/>
  <c r="U14" i="17"/>
  <c r="U31" i="18"/>
  <c r="U32" i="18"/>
  <c r="U33" i="18"/>
  <c r="U34" i="18"/>
  <c r="U24" i="18"/>
  <c r="U23" i="18"/>
  <c r="U22" i="18"/>
  <c r="U21" i="18"/>
  <c r="U20" i="18"/>
  <c r="U19" i="18"/>
  <c r="U18" i="18"/>
  <c r="U17" i="18"/>
  <c r="U17" i="21"/>
  <c r="U16" i="21"/>
  <c r="U20" i="21"/>
  <c r="U7" i="8"/>
  <c r="U6" i="8"/>
  <c r="U13" i="12"/>
  <c r="U12" i="12"/>
  <c r="U11" i="12"/>
  <c r="U10" i="12"/>
  <c r="U9" i="12"/>
  <c r="U8" i="12"/>
  <c r="U22" i="26"/>
  <c r="U23" i="26"/>
  <c r="U24" i="26"/>
  <c r="U25" i="26"/>
  <c r="U26" i="26"/>
  <c r="U27" i="26"/>
  <c r="U21" i="26"/>
  <c r="U28" i="38"/>
  <c r="U29" i="38"/>
  <c r="T20" i="38"/>
  <c r="T19" i="38"/>
  <c r="U24" i="38"/>
  <c r="U23" i="38"/>
  <c r="T22" i="38"/>
  <c r="U22" i="38"/>
  <c r="U21" i="38"/>
  <c r="U20" i="38"/>
  <c r="U19" i="38"/>
  <c r="G28" i="25"/>
  <c r="U19" i="25"/>
  <c r="U17" i="25"/>
  <c r="U15" i="25"/>
  <c r="AA43" i="23"/>
  <c r="AA44" i="23"/>
  <c r="AA31" i="23"/>
  <c r="AA27" i="23"/>
  <c r="AA26" i="23"/>
  <c r="AA25" i="23"/>
  <c r="AA24" i="23"/>
  <c r="AA23" i="23"/>
  <c r="AA22" i="23"/>
  <c r="U23" i="31"/>
  <c r="G23" i="31"/>
  <c r="H23" i="31"/>
  <c r="I23" i="31"/>
  <c r="J23" i="31"/>
  <c r="K23" i="31"/>
  <c r="L23" i="31"/>
  <c r="M23" i="31"/>
  <c r="N23" i="31"/>
  <c r="O23" i="31"/>
  <c r="P23" i="31"/>
  <c r="Q23" i="31"/>
  <c r="R23" i="31"/>
  <c r="S23" i="31"/>
  <c r="T23" i="31"/>
  <c r="U20" i="31"/>
  <c r="U19" i="31"/>
  <c r="U18" i="31"/>
  <c r="U17" i="31"/>
  <c r="U23" i="5"/>
  <c r="U19" i="5"/>
  <c r="U18" i="5"/>
  <c r="U17" i="5"/>
  <c r="U15" i="5"/>
  <c r="U14" i="5"/>
  <c r="AB37" i="4"/>
  <c r="AB36" i="4"/>
  <c r="AB35" i="4"/>
  <c r="AB34" i="4"/>
  <c r="AB33" i="4"/>
  <c r="AB32" i="4"/>
  <c r="AB31" i="4"/>
  <c r="AA31" i="4"/>
  <c r="AB30" i="4"/>
  <c r="T21" i="38"/>
  <c r="T4" i="1"/>
  <c r="AH4" i="1" s="1"/>
  <c r="H31" i="22"/>
  <c r="I31" i="22"/>
  <c r="J31" i="22"/>
  <c r="K31" i="22"/>
  <c r="L31" i="22"/>
  <c r="M31" i="22"/>
  <c r="N31" i="22"/>
  <c r="O31" i="22"/>
  <c r="P31" i="22"/>
  <c r="Q31" i="22"/>
  <c r="R31" i="22"/>
  <c r="S31" i="22"/>
  <c r="T31" i="22"/>
  <c r="G31" i="22"/>
  <c r="H23" i="9"/>
  <c r="I23" i="9"/>
  <c r="J23" i="9"/>
  <c r="K23" i="9"/>
  <c r="L23" i="9"/>
  <c r="M23" i="9"/>
  <c r="N23" i="9"/>
  <c r="O23" i="9"/>
  <c r="P23" i="9"/>
  <c r="Q23" i="9"/>
  <c r="R23" i="9"/>
  <c r="S23" i="9"/>
  <c r="T23" i="9"/>
  <c r="G23" i="9"/>
  <c r="H22" i="9"/>
  <c r="I22" i="9"/>
  <c r="J22" i="9"/>
  <c r="K22" i="9"/>
  <c r="L22" i="9"/>
  <c r="M22" i="9"/>
  <c r="N22" i="9"/>
  <c r="O22" i="9"/>
  <c r="P22" i="9"/>
  <c r="Q22" i="9"/>
  <c r="R22" i="9"/>
  <c r="S22" i="9"/>
  <c r="T22" i="9"/>
  <c r="G22" i="9"/>
  <c r="H21" i="9"/>
  <c r="I21" i="9"/>
  <c r="J21" i="9"/>
  <c r="K21" i="9"/>
  <c r="L21" i="9"/>
  <c r="M21" i="9"/>
  <c r="N21" i="9"/>
  <c r="O21" i="9"/>
  <c r="P21" i="9"/>
  <c r="Q21" i="9"/>
  <c r="R21" i="9"/>
  <c r="S21" i="9"/>
  <c r="T21" i="9"/>
  <c r="G21" i="9"/>
  <c r="H20" i="9"/>
  <c r="I20" i="9"/>
  <c r="J20" i="9"/>
  <c r="K20" i="9"/>
  <c r="L20" i="9"/>
  <c r="M20" i="9"/>
  <c r="N20" i="9"/>
  <c r="O20" i="9"/>
  <c r="P20" i="9"/>
  <c r="Q20" i="9"/>
  <c r="R20" i="9"/>
  <c r="S20" i="9"/>
  <c r="T20" i="9"/>
  <c r="G20" i="9"/>
  <c r="H16" i="16"/>
  <c r="I16" i="16"/>
  <c r="J16" i="16"/>
  <c r="K16" i="16"/>
  <c r="L16" i="16"/>
  <c r="M16" i="16"/>
  <c r="N16" i="16"/>
  <c r="O16" i="16"/>
  <c r="P16" i="16"/>
  <c r="Q16" i="16"/>
  <c r="R16" i="16"/>
  <c r="S16" i="16"/>
  <c r="T16" i="16"/>
  <c r="G16" i="16"/>
  <c r="H15" i="16"/>
  <c r="I15" i="16"/>
  <c r="J15" i="16"/>
  <c r="K15" i="16"/>
  <c r="L15" i="16"/>
  <c r="M15" i="16"/>
  <c r="N15" i="16"/>
  <c r="O15" i="16"/>
  <c r="P15" i="16"/>
  <c r="Q15" i="16"/>
  <c r="R15" i="16"/>
  <c r="S15" i="16"/>
  <c r="T15" i="16"/>
  <c r="G15" i="16"/>
  <c r="H49" i="20"/>
  <c r="I49" i="20"/>
  <c r="J49" i="20"/>
  <c r="K49" i="20"/>
  <c r="G49" i="20"/>
  <c r="H48" i="20"/>
  <c r="I48" i="20"/>
  <c r="J48" i="20"/>
  <c r="K48" i="20"/>
  <c r="G48" i="20"/>
  <c r="H47" i="20"/>
  <c r="I47" i="20"/>
  <c r="J47" i="20"/>
  <c r="K47" i="20"/>
  <c r="G47" i="20"/>
  <c r="H46" i="20"/>
  <c r="I46" i="20"/>
  <c r="J46" i="20"/>
  <c r="K46" i="20"/>
  <c r="G46" i="20"/>
  <c r="H38" i="20"/>
  <c r="I38" i="20"/>
  <c r="J38" i="20"/>
  <c r="K38" i="20"/>
  <c r="H37" i="20"/>
  <c r="I37" i="20"/>
  <c r="J37" i="20"/>
  <c r="K37" i="20"/>
  <c r="H36" i="20"/>
  <c r="I36" i="20"/>
  <c r="J36" i="20"/>
  <c r="K36" i="20"/>
  <c r="H35" i="20"/>
  <c r="I35" i="20"/>
  <c r="J35" i="20"/>
  <c r="K35" i="20"/>
  <c r="G35" i="20"/>
  <c r="H18" i="13"/>
  <c r="I18" i="13"/>
  <c r="M18" i="13"/>
  <c r="N18" i="13"/>
  <c r="O18" i="13"/>
  <c r="P18" i="13"/>
  <c r="Q18" i="13"/>
  <c r="R18" i="13"/>
  <c r="S18" i="13"/>
  <c r="T18" i="13"/>
  <c r="G18" i="13"/>
  <c r="H22" i="17"/>
  <c r="I22" i="17"/>
  <c r="J22" i="17"/>
  <c r="K22" i="17"/>
  <c r="L22" i="17"/>
  <c r="M22" i="17"/>
  <c r="N22" i="17"/>
  <c r="O22" i="17"/>
  <c r="P22" i="17"/>
  <c r="Q22" i="17"/>
  <c r="R22" i="17"/>
  <c r="G22" i="17"/>
  <c r="H18" i="17"/>
  <c r="I18" i="17"/>
  <c r="J18" i="17"/>
  <c r="K18" i="17"/>
  <c r="L18" i="17"/>
  <c r="M18" i="17"/>
  <c r="N18" i="17"/>
  <c r="O18" i="17"/>
  <c r="P18" i="17"/>
  <c r="Q18" i="17"/>
  <c r="R18" i="17"/>
  <c r="G18" i="17"/>
  <c r="H34" i="18"/>
  <c r="I34" i="18"/>
  <c r="J34" i="18"/>
  <c r="K34" i="18"/>
  <c r="L34" i="18"/>
  <c r="M34" i="18"/>
  <c r="N34" i="18"/>
  <c r="O34" i="18"/>
  <c r="P34" i="18"/>
  <c r="Q34" i="18"/>
  <c r="R34" i="18"/>
  <c r="S34" i="18"/>
  <c r="T34" i="18"/>
  <c r="G34" i="18"/>
  <c r="H33" i="18"/>
  <c r="I33" i="18"/>
  <c r="J33" i="18"/>
  <c r="K33" i="18"/>
  <c r="L33" i="18"/>
  <c r="M33" i="18"/>
  <c r="N33" i="18"/>
  <c r="O33" i="18"/>
  <c r="P33" i="18"/>
  <c r="Q33" i="18"/>
  <c r="R33" i="18"/>
  <c r="S33" i="18"/>
  <c r="T33" i="18"/>
  <c r="G33" i="18"/>
  <c r="H32" i="18"/>
  <c r="I32" i="18"/>
  <c r="J32" i="18"/>
  <c r="K32" i="18"/>
  <c r="L32" i="18"/>
  <c r="M32" i="18"/>
  <c r="N32" i="18"/>
  <c r="O32" i="18"/>
  <c r="P32" i="18"/>
  <c r="Q32" i="18"/>
  <c r="R32" i="18"/>
  <c r="S32" i="18"/>
  <c r="T32" i="18"/>
  <c r="G32" i="18"/>
  <c r="H31" i="18"/>
  <c r="I31" i="18"/>
  <c r="J31" i="18"/>
  <c r="K31" i="18"/>
  <c r="L31" i="18"/>
  <c r="M31" i="18"/>
  <c r="N31" i="18"/>
  <c r="O31" i="18"/>
  <c r="P31" i="18"/>
  <c r="Q31" i="18"/>
  <c r="R31" i="18"/>
  <c r="S31" i="18"/>
  <c r="T31" i="18"/>
  <c r="G31" i="18"/>
  <c r="H20" i="21"/>
  <c r="I20" i="21"/>
  <c r="J20" i="21"/>
  <c r="K20" i="21"/>
  <c r="K27" i="21" s="1"/>
  <c r="L20" i="21"/>
  <c r="M20" i="21"/>
  <c r="N20" i="21"/>
  <c r="O20" i="21"/>
  <c r="P20" i="21"/>
  <c r="Q20" i="21"/>
  <c r="R20" i="21"/>
  <c r="S20" i="21"/>
  <c r="T20" i="21"/>
  <c r="G20" i="21"/>
  <c r="H17" i="12"/>
  <c r="I17" i="12"/>
  <c r="J17" i="12"/>
  <c r="K17" i="12"/>
  <c r="G17" i="12"/>
  <c r="H16" i="12"/>
  <c r="I16" i="12"/>
  <c r="J16" i="12"/>
  <c r="K16" i="12"/>
  <c r="G16" i="12"/>
  <c r="G30" i="26"/>
  <c r="S27" i="26"/>
  <c r="T27" i="26"/>
  <c r="H27" i="26"/>
  <c r="I27" i="26"/>
  <c r="J27" i="26"/>
  <c r="K27" i="26"/>
  <c r="L27" i="26"/>
  <c r="M27" i="26"/>
  <c r="N27" i="26"/>
  <c r="O27" i="26"/>
  <c r="P27" i="26"/>
  <c r="Q27" i="26"/>
  <c r="R27" i="26"/>
  <c r="G27" i="26"/>
  <c r="H26" i="26"/>
  <c r="I26" i="26"/>
  <c r="J26" i="26"/>
  <c r="K26" i="26"/>
  <c r="L26" i="26"/>
  <c r="M26" i="26"/>
  <c r="N26" i="26"/>
  <c r="O26" i="26"/>
  <c r="P26" i="26"/>
  <c r="Q26" i="26"/>
  <c r="R26" i="26"/>
  <c r="S26" i="26"/>
  <c r="T26" i="26"/>
  <c r="G26" i="26"/>
  <c r="H25" i="26"/>
  <c r="I25" i="26"/>
  <c r="J25" i="26"/>
  <c r="K25" i="26"/>
  <c r="L25" i="26"/>
  <c r="M25" i="26"/>
  <c r="N25" i="26"/>
  <c r="O25" i="26"/>
  <c r="P25" i="26"/>
  <c r="Q25" i="26"/>
  <c r="R25" i="26"/>
  <c r="S25" i="26"/>
  <c r="T25" i="26"/>
  <c r="G25" i="26"/>
  <c r="R24" i="26"/>
  <c r="S24" i="26"/>
  <c r="T24" i="26"/>
  <c r="I24" i="26"/>
  <c r="J24" i="26"/>
  <c r="K24" i="26"/>
  <c r="L24" i="26"/>
  <c r="M24" i="26"/>
  <c r="N24" i="26"/>
  <c r="O24" i="26"/>
  <c r="P24" i="26"/>
  <c r="Q24" i="26"/>
  <c r="H23" i="26"/>
  <c r="I23" i="26"/>
  <c r="J23" i="26"/>
  <c r="K23" i="26"/>
  <c r="L23" i="26"/>
  <c r="M23" i="26"/>
  <c r="N23" i="26"/>
  <c r="O23" i="26"/>
  <c r="P23" i="26"/>
  <c r="Q23" i="26"/>
  <c r="R23" i="26"/>
  <c r="S23" i="26"/>
  <c r="T23" i="26"/>
  <c r="G24" i="26"/>
  <c r="G23" i="26"/>
  <c r="H22" i="26"/>
  <c r="I22" i="26"/>
  <c r="J22" i="26"/>
  <c r="K22" i="26"/>
  <c r="L22" i="26"/>
  <c r="M22" i="26"/>
  <c r="N22" i="26"/>
  <c r="O22" i="26"/>
  <c r="P22" i="26"/>
  <c r="Q22" i="26"/>
  <c r="R22" i="26"/>
  <c r="S22" i="26"/>
  <c r="T22" i="26"/>
  <c r="G22" i="26"/>
  <c r="T21" i="26"/>
  <c r="H21" i="26"/>
  <c r="I21" i="26"/>
  <c r="J21" i="26"/>
  <c r="K21" i="26"/>
  <c r="L21" i="26"/>
  <c r="M21" i="26"/>
  <c r="N21" i="26"/>
  <c r="O21" i="26"/>
  <c r="P21" i="26"/>
  <c r="Q21" i="26"/>
  <c r="R21" i="26"/>
  <c r="S21" i="26"/>
  <c r="G21" i="26"/>
  <c r="H29" i="38"/>
  <c r="I29" i="38"/>
  <c r="J29" i="38"/>
  <c r="K29" i="38"/>
  <c r="L29" i="38"/>
  <c r="M29" i="38"/>
  <c r="N29" i="38"/>
  <c r="O29" i="38"/>
  <c r="P29" i="38"/>
  <c r="Q29" i="38"/>
  <c r="R29" i="38"/>
  <c r="S29" i="38"/>
  <c r="T29" i="38"/>
  <c r="G29" i="38"/>
  <c r="H28" i="38"/>
  <c r="I28" i="38"/>
  <c r="J28" i="38"/>
  <c r="K28" i="38"/>
  <c r="L28" i="38"/>
  <c r="M28" i="38"/>
  <c r="N28" i="38"/>
  <c r="O28" i="38"/>
  <c r="P28" i="38"/>
  <c r="Q28" i="38"/>
  <c r="R28" i="38"/>
  <c r="S28" i="38"/>
  <c r="T28" i="38"/>
  <c r="G28" i="38"/>
  <c r="H28" i="25"/>
  <c r="I28" i="25"/>
  <c r="J28" i="25"/>
  <c r="K28" i="25"/>
  <c r="N44" i="23"/>
  <c r="O44" i="23"/>
  <c r="P44" i="23"/>
  <c r="Q44" i="23"/>
  <c r="R44" i="23"/>
  <c r="S44" i="23"/>
  <c r="T44" i="23"/>
  <c r="U44" i="23"/>
  <c r="V44" i="23"/>
  <c r="W44" i="23"/>
  <c r="X44" i="23"/>
  <c r="Y44" i="23"/>
  <c r="Z44" i="23"/>
  <c r="M44" i="23"/>
  <c r="N43" i="23"/>
  <c r="O43" i="23"/>
  <c r="P43" i="23"/>
  <c r="Q43" i="23"/>
  <c r="R43" i="23"/>
  <c r="S43" i="23"/>
  <c r="T43" i="23"/>
  <c r="U43" i="23"/>
  <c r="V43" i="23"/>
  <c r="W43" i="23"/>
  <c r="X43" i="23"/>
  <c r="Y43" i="23"/>
  <c r="Z43" i="23"/>
  <c r="M43" i="23"/>
  <c r="N38" i="23"/>
  <c r="O38" i="23"/>
  <c r="P38" i="23"/>
  <c r="Q38" i="23"/>
  <c r="R38" i="23"/>
  <c r="S38" i="23"/>
  <c r="T38" i="23"/>
  <c r="U38" i="23"/>
  <c r="V38" i="23"/>
  <c r="W38" i="23"/>
  <c r="X38" i="23"/>
  <c r="M38" i="23"/>
  <c r="N31" i="23"/>
  <c r="O31" i="23"/>
  <c r="P31" i="23"/>
  <c r="Q31" i="23"/>
  <c r="R31" i="23"/>
  <c r="S31" i="23"/>
  <c r="T31" i="23"/>
  <c r="U31" i="23"/>
  <c r="V31" i="23"/>
  <c r="W31" i="23"/>
  <c r="X31" i="23"/>
  <c r="Y31" i="23"/>
  <c r="Z31" i="23"/>
  <c r="M31" i="23"/>
  <c r="H23" i="5"/>
  <c r="I23" i="5"/>
  <c r="J23" i="5"/>
  <c r="K23" i="5"/>
  <c r="L23" i="5"/>
  <c r="M23" i="5"/>
  <c r="N23" i="5"/>
  <c r="O23" i="5"/>
  <c r="P23" i="5"/>
  <c r="Q23" i="5"/>
  <c r="R23" i="5"/>
  <c r="S23" i="5"/>
  <c r="T23" i="5"/>
  <c r="G23" i="5"/>
  <c r="M19" i="1"/>
  <c r="AM68" i="56"/>
  <c r="V50" i="56"/>
  <c r="P86" i="56"/>
  <c r="AE104" i="56"/>
  <c r="AD122" i="56"/>
  <c r="N29" i="56"/>
  <c r="N11" i="56"/>
  <c r="U11" i="56"/>
  <c r="U29" i="56"/>
  <c r="D27" i="1"/>
  <c r="D3" i="1"/>
  <c r="D17" i="1"/>
  <c r="D10" i="1"/>
  <c r="D12" i="1"/>
  <c r="D13" i="1"/>
  <c r="D23" i="1"/>
  <c r="D16" i="1"/>
  <c r="D25" i="1"/>
  <c r="D24" i="1"/>
  <c r="D7" i="1"/>
  <c r="D15" i="1"/>
  <c r="D18" i="1"/>
  <c r="D6" i="1"/>
  <c r="D4" i="1"/>
  <c r="D19" i="1"/>
  <c r="D21" i="1"/>
  <c r="D22" i="1"/>
  <c r="D11" i="1"/>
  <c r="D28" i="1"/>
  <c r="D5" i="1"/>
  <c r="D29" i="1"/>
  <c r="D20" i="1"/>
  <c r="D9" i="1"/>
  <c r="D8" i="1"/>
  <c r="D26" i="1"/>
  <c r="C8" i="1"/>
  <c r="C4" i="1"/>
  <c r="C22" i="1"/>
  <c r="C29" i="1"/>
  <c r="C26" i="1"/>
  <c r="C20" i="1"/>
  <c r="C7" i="1"/>
  <c r="C21" i="1"/>
  <c r="C17" i="1"/>
  <c r="C14" i="1"/>
  <c r="C19" i="1"/>
  <c r="C27" i="1"/>
  <c r="C13" i="1"/>
  <c r="C6" i="1"/>
  <c r="C15" i="1"/>
  <c r="C9" i="1"/>
  <c r="C16" i="1"/>
  <c r="C23" i="1"/>
  <c r="C25" i="1"/>
  <c r="C11" i="1"/>
  <c r="C24" i="1"/>
  <c r="C10" i="1"/>
  <c r="C5" i="1"/>
  <c r="C18" i="1"/>
  <c r="C28" i="1"/>
  <c r="AB70" i="23" l="1"/>
  <c r="H76" i="20"/>
  <c r="W20" i="7"/>
  <c r="V20" i="7"/>
  <c r="X20" i="7"/>
  <c r="X25" i="12"/>
  <c r="V26" i="12"/>
  <c r="V25" i="12"/>
  <c r="V27" i="12" s="1"/>
  <c r="W25" i="12"/>
  <c r="W26" i="12"/>
  <c r="X26" i="12"/>
  <c r="AB69" i="23"/>
  <c r="AB63" i="23"/>
  <c r="AB75" i="23"/>
  <c r="AB64" i="23"/>
  <c r="AB66" i="23"/>
  <c r="I35" i="5"/>
  <c r="AB92" i="4"/>
  <c r="N101" i="4"/>
  <c r="AB100" i="4"/>
  <c r="V32" i="13"/>
  <c r="W32" i="13"/>
  <c r="X32" i="13"/>
  <c r="W33" i="13"/>
  <c r="X31" i="13"/>
  <c r="V31" i="13"/>
  <c r="V33" i="13"/>
  <c r="X33" i="13"/>
  <c r="W31" i="13"/>
  <c r="AE98" i="4"/>
  <c r="AC96" i="4"/>
  <c r="AD103" i="4"/>
  <c r="AC103" i="4"/>
  <c r="AD96" i="4"/>
  <c r="AE103" i="4"/>
  <c r="AC95" i="4"/>
  <c r="AD95" i="4"/>
  <c r="AD102" i="4"/>
  <c r="AE95" i="4"/>
  <c r="AC98" i="4"/>
  <c r="AE97" i="4"/>
  <c r="AC102" i="4"/>
  <c r="AD94" i="4"/>
  <c r="AD101" i="4"/>
  <c r="AC93" i="4"/>
  <c r="AC100" i="4"/>
  <c r="AE102" i="4"/>
  <c r="AC94" i="4"/>
  <c r="AC101" i="4"/>
  <c r="AE94" i="4"/>
  <c r="AD93" i="4"/>
  <c r="AD97" i="4"/>
  <c r="AE101" i="4"/>
  <c r="AD100" i="4"/>
  <c r="AE93" i="4"/>
  <c r="AE100" i="4"/>
  <c r="AC99" i="4"/>
  <c r="AD99" i="4"/>
  <c r="AD98" i="4"/>
  <c r="AE99" i="4"/>
  <c r="AC97" i="4"/>
  <c r="AE96" i="4"/>
  <c r="AD72" i="23"/>
  <c r="AB60" i="23"/>
  <c r="AD60" i="23"/>
  <c r="AB76" i="23"/>
  <c r="AC76" i="23"/>
  <c r="AD76" i="23"/>
  <c r="AB72" i="23"/>
  <c r="AC60" i="23"/>
  <c r="AC72" i="23"/>
  <c r="AB73" i="23"/>
  <c r="AC73" i="23"/>
  <c r="AD73" i="23"/>
  <c r="AD71" i="23"/>
  <c r="AD65" i="23"/>
  <c r="AD61" i="23"/>
  <c r="AC69" i="23"/>
  <c r="AD74" i="23"/>
  <c r="AD69" i="23"/>
  <c r="AC63" i="23"/>
  <c r="AC65" i="23"/>
  <c r="AC67" i="23"/>
  <c r="AC74" i="23"/>
  <c r="AD63" i="23"/>
  <c r="AD64" i="23"/>
  <c r="AC64" i="23"/>
  <c r="AC59" i="23"/>
  <c r="AC75" i="23"/>
  <c r="AC61" i="23"/>
  <c r="AD67" i="23"/>
  <c r="AC66" i="23"/>
  <c r="AD59" i="23"/>
  <c r="AC62" i="23"/>
  <c r="AD68" i="23"/>
  <c r="AD62" i="23"/>
  <c r="AC70" i="23"/>
  <c r="AC68" i="23"/>
  <c r="AD70" i="23"/>
  <c r="AD66" i="23"/>
  <c r="AC71" i="23"/>
  <c r="AD75" i="23"/>
  <c r="AB61" i="23"/>
  <c r="AB68" i="23"/>
  <c r="W44" i="17"/>
  <c r="V38" i="17"/>
  <c r="X43" i="17"/>
  <c r="V39" i="17"/>
  <c r="W37" i="17"/>
  <c r="V44" i="17"/>
  <c r="X40" i="17"/>
  <c r="V37" i="17"/>
  <c r="W43" i="17"/>
  <c r="W38" i="17"/>
  <c r="X44" i="17"/>
  <c r="X37" i="17"/>
  <c r="X38" i="17"/>
  <c r="W42" i="17"/>
  <c r="W41" i="17"/>
  <c r="X42" i="17"/>
  <c r="X39" i="17"/>
  <c r="V43" i="17"/>
  <c r="W39" i="17"/>
  <c r="V42" i="17"/>
  <c r="V41" i="17"/>
  <c r="X41" i="17"/>
  <c r="W40" i="17"/>
  <c r="V40" i="17"/>
  <c r="X45" i="17"/>
  <c r="W45" i="17"/>
  <c r="V45" i="17"/>
  <c r="AB62" i="23"/>
  <c r="AB74" i="23"/>
  <c r="AD104" i="4"/>
  <c r="V43" i="38"/>
  <c r="W43" i="38"/>
  <c r="X43" i="38"/>
  <c r="W42" i="38"/>
  <c r="V42" i="38"/>
  <c r="X42" i="38"/>
  <c r="X44" i="38"/>
  <c r="W44" i="38"/>
  <c r="V44" i="38"/>
  <c r="AB59" i="23"/>
  <c r="AB71" i="23"/>
  <c r="X35" i="3"/>
  <c r="AE104" i="4"/>
  <c r="AB96" i="4"/>
  <c r="W64" i="20"/>
  <c r="V78" i="20"/>
  <c r="X64" i="20"/>
  <c r="W78" i="20"/>
  <c r="X78" i="20"/>
  <c r="V77" i="20"/>
  <c r="W77" i="20"/>
  <c r="X77" i="20"/>
  <c r="V76" i="20"/>
  <c r="W71" i="20"/>
  <c r="W76" i="20"/>
  <c r="V71" i="20"/>
  <c r="X76" i="20"/>
  <c r="X65" i="20"/>
  <c r="V75" i="20"/>
  <c r="W75" i="20"/>
  <c r="X75" i="20"/>
  <c r="V66" i="20"/>
  <c r="V65" i="20"/>
  <c r="W66" i="20"/>
  <c r="X66" i="20"/>
  <c r="W65" i="20"/>
  <c r="V64" i="20"/>
  <c r="X71" i="20"/>
  <c r="W79" i="20"/>
  <c r="V79" i="20"/>
  <c r="V69" i="20"/>
  <c r="W73" i="20"/>
  <c r="W72" i="20"/>
  <c r="V73" i="20"/>
  <c r="V68" i="20"/>
  <c r="V63" i="20"/>
  <c r="W67" i="20"/>
  <c r="W63" i="20"/>
  <c r="W69" i="20"/>
  <c r="V67" i="20"/>
  <c r="W70" i="20"/>
  <c r="X79" i="20"/>
  <c r="X74" i="20"/>
  <c r="V70" i="20"/>
  <c r="X69" i="20"/>
  <c r="V74" i="20"/>
  <c r="W74" i="20"/>
  <c r="X63" i="20"/>
  <c r="X70" i="20"/>
  <c r="X73" i="20"/>
  <c r="X67" i="20"/>
  <c r="W68" i="20"/>
  <c r="V72" i="20"/>
  <c r="X72" i="20"/>
  <c r="X68" i="20"/>
  <c r="AB67" i="23"/>
  <c r="E9" i="1"/>
  <c r="V35" i="5"/>
  <c r="V36" i="5" s="1"/>
  <c r="X35" i="5"/>
  <c r="X36" i="5" s="1"/>
  <c r="W35" i="5"/>
  <c r="W36" i="5" s="1"/>
  <c r="E6" i="1"/>
  <c r="AE68" i="4"/>
  <c r="AC104" i="4"/>
  <c r="V64" i="22"/>
  <c r="V60" i="22"/>
  <c r="V56" i="22"/>
  <c r="W64" i="22"/>
  <c r="W60" i="22"/>
  <c r="W56" i="22"/>
  <c r="W57" i="22"/>
  <c r="X61" i="22"/>
  <c r="X64" i="22"/>
  <c r="X60" i="22"/>
  <c r="X56" i="22"/>
  <c r="W59" i="22"/>
  <c r="X63" i="22"/>
  <c r="X55" i="22"/>
  <c r="V58" i="22"/>
  <c r="W62" i="22"/>
  <c r="X58" i="22"/>
  <c r="V57" i="22"/>
  <c r="V63" i="22"/>
  <c r="V59" i="22"/>
  <c r="V55" i="22"/>
  <c r="W63" i="22"/>
  <c r="W55" i="22"/>
  <c r="X59" i="22"/>
  <c r="V62" i="22"/>
  <c r="W58" i="22"/>
  <c r="X62" i="22"/>
  <c r="V61" i="22"/>
  <c r="W61" i="22"/>
  <c r="X57" i="22"/>
  <c r="V54" i="22"/>
  <c r="W54" i="22"/>
  <c r="X54" i="22"/>
  <c r="V53" i="22"/>
  <c r="W53" i="22"/>
  <c r="X53" i="22"/>
  <c r="S25" i="22"/>
  <c r="W26" i="22"/>
  <c r="X26" i="22"/>
  <c r="V26" i="22"/>
  <c r="W53" i="18"/>
  <c r="W49" i="18"/>
  <c r="X53" i="18"/>
  <c r="X49" i="18"/>
  <c r="V52" i="18"/>
  <c r="V48" i="18"/>
  <c r="W52" i="18"/>
  <c r="W48" i="18"/>
  <c r="X52" i="18"/>
  <c r="X48" i="18"/>
  <c r="V55" i="18"/>
  <c r="V51" i="18"/>
  <c r="V47" i="18"/>
  <c r="W55" i="18"/>
  <c r="W51" i="18"/>
  <c r="W47" i="18"/>
  <c r="X55" i="18"/>
  <c r="X51" i="18"/>
  <c r="X47" i="18"/>
  <c r="V49" i="18"/>
  <c r="V54" i="18"/>
  <c r="V50" i="18"/>
  <c r="W54" i="18"/>
  <c r="W50" i="18"/>
  <c r="X54" i="18"/>
  <c r="X50" i="18"/>
  <c r="V53" i="18"/>
  <c r="V46" i="25"/>
  <c r="V42" i="25"/>
  <c r="W42" i="25"/>
  <c r="V45" i="25"/>
  <c r="V41" i="25"/>
  <c r="W45" i="25"/>
  <c r="W41" i="25"/>
  <c r="X45" i="25"/>
  <c r="X41" i="25"/>
  <c r="V44" i="25"/>
  <c r="W44" i="25"/>
  <c r="X44" i="25"/>
  <c r="V43" i="25"/>
  <c r="W43" i="25"/>
  <c r="X43" i="25"/>
  <c r="W46" i="25"/>
  <c r="X46" i="25"/>
  <c r="X42" i="25"/>
  <c r="AE92" i="4"/>
  <c r="AC91" i="4"/>
  <c r="AC89" i="4"/>
  <c r="AE89" i="4"/>
  <c r="AE90" i="4"/>
  <c r="AD90" i="4"/>
  <c r="AC90" i="4"/>
  <c r="AE91" i="4"/>
  <c r="AD92" i="4"/>
  <c r="AC92" i="4"/>
  <c r="AD89" i="4"/>
  <c r="AD91" i="4"/>
  <c r="AB103" i="4"/>
  <c r="AB99" i="4"/>
  <c r="AB95" i="4"/>
  <c r="AB91" i="4"/>
  <c r="AB102" i="4"/>
  <c r="AB94" i="4"/>
  <c r="AB101" i="4"/>
  <c r="V99" i="4"/>
  <c r="AB97" i="4"/>
  <c r="AB93" i="4"/>
  <c r="AB98" i="4"/>
  <c r="Q66" i="20"/>
  <c r="H42" i="26"/>
  <c r="K31" i="9"/>
  <c r="G76" i="20"/>
  <c r="H44" i="26"/>
  <c r="U17" i="16"/>
  <c r="T64" i="20"/>
  <c r="J37" i="17"/>
  <c r="I27" i="21"/>
  <c r="N89" i="4"/>
  <c r="S92" i="4"/>
  <c r="Q25" i="12"/>
  <c r="I26" i="12"/>
  <c r="R50" i="26"/>
  <c r="N60" i="23"/>
  <c r="L35" i="5"/>
  <c r="O100" i="4"/>
  <c r="Q100" i="4"/>
  <c r="S101" i="4"/>
  <c r="S89" i="4"/>
  <c r="U92" i="4"/>
  <c r="N94" i="4"/>
  <c r="U64" i="20"/>
  <c r="U53" i="18"/>
  <c r="L22" i="21"/>
  <c r="X24" i="21" s="1"/>
  <c r="P97" i="4"/>
  <c r="M31" i="9"/>
  <c r="L31" i="9"/>
  <c r="R25" i="16"/>
  <c r="S25" i="16"/>
  <c r="J41" i="17"/>
  <c r="U46" i="26"/>
  <c r="S41" i="26"/>
  <c r="M43" i="38"/>
  <c r="Q72" i="23"/>
  <c r="M72" i="23"/>
  <c r="R101" i="4"/>
  <c r="S93" i="4"/>
  <c r="P98" i="4"/>
  <c r="U55" i="22"/>
  <c r="J32" i="9"/>
  <c r="H25" i="16"/>
  <c r="N17" i="16"/>
  <c r="T25" i="16"/>
  <c r="K78" i="20"/>
  <c r="I66" i="20"/>
  <c r="J78" i="20"/>
  <c r="Q63" i="20"/>
  <c r="R63" i="20"/>
  <c r="K37" i="17"/>
  <c r="T53" i="18"/>
  <c r="K54" i="18"/>
  <c r="H51" i="18"/>
  <c r="T51" i="18"/>
  <c r="N27" i="21"/>
  <c r="L26" i="12"/>
  <c r="K25" i="12"/>
  <c r="K46" i="26"/>
  <c r="K50" i="26"/>
  <c r="T42" i="26"/>
  <c r="K45" i="26"/>
  <c r="R42" i="26"/>
  <c r="K47" i="26"/>
  <c r="O43" i="38"/>
  <c r="N43" i="38"/>
  <c r="N46" i="25"/>
  <c r="O67" i="23"/>
  <c r="N67" i="23"/>
  <c r="S72" i="23"/>
  <c r="H36" i="31"/>
  <c r="T35" i="5"/>
  <c r="Q35" i="5"/>
  <c r="R89" i="4"/>
  <c r="O92" i="4"/>
  <c r="P99" i="4"/>
  <c r="Q96" i="4"/>
  <c r="P96" i="4"/>
  <c r="AA96" i="4"/>
  <c r="N99" i="4"/>
  <c r="P93" i="4"/>
  <c r="Z100" i="4"/>
  <c r="N96" i="4"/>
  <c r="R93" i="4"/>
  <c r="N93" i="4"/>
  <c r="X101" i="4"/>
  <c r="R97" i="4"/>
  <c r="N100" i="4"/>
  <c r="F14" i="56"/>
  <c r="L34" i="9"/>
  <c r="K34" i="9"/>
  <c r="U24" i="9"/>
  <c r="K33" i="9"/>
  <c r="N32" i="9"/>
  <c r="Q25" i="16"/>
  <c r="P17" i="16"/>
  <c r="M17" i="16"/>
  <c r="M76" i="20"/>
  <c r="I74" i="20"/>
  <c r="H74" i="20"/>
  <c r="S78" i="20"/>
  <c r="T66" i="20"/>
  <c r="Q74" i="20"/>
  <c r="O64" i="20"/>
  <c r="Q65" i="20"/>
  <c r="T65" i="20"/>
  <c r="M32" i="13"/>
  <c r="P41" i="17"/>
  <c r="O41" i="17"/>
  <c r="L51" i="18"/>
  <c r="H53" i="18"/>
  <c r="H54" i="18"/>
  <c r="G53" i="18"/>
  <c r="Q51" i="18"/>
  <c r="T54" i="18"/>
  <c r="U27" i="21"/>
  <c r="M18" i="12"/>
  <c r="R47" i="26"/>
  <c r="Q44" i="26"/>
  <c r="J42" i="26"/>
  <c r="I45" i="26"/>
  <c r="H47" i="26"/>
  <c r="P41" i="26"/>
  <c r="R46" i="26"/>
  <c r="H42" i="38"/>
  <c r="Q43" i="38"/>
  <c r="G42" i="38"/>
  <c r="H43" i="38"/>
  <c r="M46" i="25"/>
  <c r="R73" i="23"/>
  <c r="Y60" i="23"/>
  <c r="Z60" i="23"/>
  <c r="O73" i="23"/>
  <c r="N72" i="23"/>
  <c r="Z72" i="23"/>
  <c r="O60" i="23"/>
  <c r="R72" i="23"/>
  <c r="U35" i="5"/>
  <c r="O35" i="5"/>
  <c r="Q102" i="4"/>
  <c r="P102" i="4"/>
  <c r="X100" i="4"/>
  <c r="Q99" i="4"/>
  <c r="AA95" i="4"/>
  <c r="P103" i="4"/>
  <c r="Y98" i="4"/>
  <c r="V91" i="4"/>
  <c r="P100" i="4"/>
  <c r="U94" i="4"/>
  <c r="Q90" i="4"/>
  <c r="P90" i="4"/>
  <c r="X95" i="4"/>
  <c r="P94" i="4"/>
  <c r="X92" i="4"/>
  <c r="Q91" i="4"/>
  <c r="S91" i="4"/>
  <c r="N97" i="4"/>
  <c r="O94" i="4"/>
  <c r="P91" i="4"/>
  <c r="R95" i="4"/>
  <c r="Q101" i="4"/>
  <c r="P101" i="4"/>
  <c r="Q95" i="4"/>
  <c r="O98" i="4"/>
  <c r="P95" i="4"/>
  <c r="Q92" i="4"/>
  <c r="P92" i="4"/>
  <c r="N95" i="4"/>
  <c r="P89" i="4"/>
  <c r="Y99" i="4"/>
  <c r="Y96" i="4"/>
  <c r="X96" i="4"/>
  <c r="N92" i="4"/>
  <c r="AB89" i="4"/>
  <c r="U60" i="20"/>
  <c r="U51" i="20" s="1"/>
  <c r="U79" i="20" s="1"/>
  <c r="U78" i="20"/>
  <c r="U51" i="18"/>
  <c r="W29" i="56"/>
  <c r="W26" i="56"/>
  <c r="W32" i="56"/>
  <c r="W5" i="56"/>
  <c r="I55" i="22"/>
  <c r="T55" i="22"/>
  <c r="S24" i="9"/>
  <c r="G32" i="9"/>
  <c r="R24" i="9"/>
  <c r="J33" i="9"/>
  <c r="U33" i="9"/>
  <c r="Q24" i="9"/>
  <c r="G33" i="9"/>
  <c r="P33" i="9"/>
  <c r="J34" i="9"/>
  <c r="G34" i="9"/>
  <c r="I34" i="9"/>
  <c r="J24" i="16"/>
  <c r="L17" i="16"/>
  <c r="G17" i="16"/>
  <c r="I17" i="16"/>
  <c r="K17" i="16"/>
  <c r="T17" i="16"/>
  <c r="H17" i="16"/>
  <c r="J25" i="16"/>
  <c r="O24" i="16"/>
  <c r="S17" i="16"/>
  <c r="G25" i="16"/>
  <c r="I25" i="16"/>
  <c r="N24" i="16"/>
  <c r="R17" i="16"/>
  <c r="M24" i="16"/>
  <c r="Q17" i="16"/>
  <c r="J77" i="20"/>
  <c r="H75" i="20"/>
  <c r="I65" i="20"/>
  <c r="I63" i="20"/>
  <c r="J75" i="20"/>
  <c r="H77" i="20"/>
  <c r="U77" i="20"/>
  <c r="H63" i="20"/>
  <c r="H66" i="20"/>
  <c r="G77" i="20"/>
  <c r="N75" i="20"/>
  <c r="I64" i="20"/>
  <c r="H78" i="20"/>
  <c r="T75" i="20"/>
  <c r="M63" i="20"/>
  <c r="H64" i="20"/>
  <c r="O78" i="20"/>
  <c r="O32" i="13"/>
  <c r="K32" i="13"/>
  <c r="G32" i="13"/>
  <c r="J32" i="13"/>
  <c r="U32" i="13"/>
  <c r="I32" i="13"/>
  <c r="M37" i="17"/>
  <c r="N37" i="17"/>
  <c r="L37" i="17"/>
  <c r="L41" i="17"/>
  <c r="K41" i="17"/>
  <c r="R41" i="17"/>
  <c r="Q41" i="17"/>
  <c r="K53" i="18"/>
  <c r="G52" i="18"/>
  <c r="T52" i="18"/>
  <c r="H52" i="18"/>
  <c r="L52" i="18"/>
  <c r="L54" i="18"/>
  <c r="I52" i="18"/>
  <c r="I54" i="18"/>
  <c r="P51" i="18"/>
  <c r="G51" i="18"/>
  <c r="N51" i="18"/>
  <c r="I22" i="21"/>
  <c r="G27" i="21"/>
  <c r="M27" i="21"/>
  <c r="L27" i="21"/>
  <c r="M26" i="12"/>
  <c r="N18" i="12"/>
  <c r="J25" i="12"/>
  <c r="P18" i="12"/>
  <c r="J26" i="12"/>
  <c r="U18" i="12"/>
  <c r="L18" i="12"/>
  <c r="N26" i="12"/>
  <c r="S44" i="26"/>
  <c r="S46" i="26"/>
  <c r="Q47" i="26"/>
  <c r="T43" i="26"/>
  <c r="H43" i="26"/>
  <c r="R44" i="26"/>
  <c r="S45" i="26"/>
  <c r="P47" i="26"/>
  <c r="T46" i="26"/>
  <c r="R43" i="26"/>
  <c r="T45" i="26"/>
  <c r="N47" i="26"/>
  <c r="I47" i="26"/>
  <c r="R41" i="26"/>
  <c r="M42" i="26"/>
  <c r="R45" i="26"/>
  <c r="H46" i="26"/>
  <c r="L42" i="26"/>
  <c r="G45" i="26"/>
  <c r="K41" i="26"/>
  <c r="L42" i="38"/>
  <c r="J42" i="38"/>
  <c r="G46" i="25"/>
  <c r="Q73" i="23"/>
  <c r="Z73" i="23"/>
  <c r="N73" i="23"/>
  <c r="M73" i="23"/>
  <c r="P67" i="23"/>
  <c r="S60" i="23"/>
  <c r="S67" i="23"/>
  <c r="R60" i="23"/>
  <c r="R67" i="23"/>
  <c r="U60" i="23"/>
  <c r="S73" i="23"/>
  <c r="M67" i="23"/>
  <c r="I36" i="31"/>
  <c r="K36" i="31"/>
  <c r="K35" i="5"/>
  <c r="J35" i="5"/>
  <c r="T99" i="4"/>
  <c r="V98" i="4"/>
  <c r="S103" i="4"/>
  <c r="T98" i="4"/>
  <c r="S102" i="4"/>
  <c r="S90" i="4"/>
  <c r="Z94" i="4"/>
  <c r="R102" i="4"/>
  <c r="R98" i="4"/>
  <c r="R94" i="4"/>
  <c r="U93" i="4"/>
  <c r="R90" i="4"/>
  <c r="Y93" i="4"/>
  <c r="T97" i="4"/>
  <c r="W92" i="4"/>
  <c r="AA73" i="23"/>
  <c r="AA72" i="23"/>
  <c r="W11" i="56"/>
  <c r="W14" i="56"/>
  <c r="W8" i="56"/>
  <c r="H55" i="22"/>
  <c r="Q55" i="22"/>
  <c r="N55" i="22"/>
  <c r="M55" i="22"/>
  <c r="L55" i="22"/>
  <c r="G55" i="22"/>
  <c r="J55" i="22"/>
  <c r="R55" i="22"/>
  <c r="I32" i="9"/>
  <c r="T34" i="9"/>
  <c r="H31" i="9"/>
  <c r="P24" i="9"/>
  <c r="S34" i="9"/>
  <c r="R32" i="9"/>
  <c r="J24" i="9"/>
  <c r="L32" i="9"/>
  <c r="N24" i="9"/>
  <c r="G24" i="9"/>
  <c r="I31" i="9"/>
  <c r="K24" i="9"/>
  <c r="M24" i="9"/>
  <c r="O24" i="9"/>
  <c r="T24" i="9"/>
  <c r="H24" i="9"/>
  <c r="L33" i="9"/>
  <c r="Q31" i="9"/>
  <c r="Q24" i="16"/>
  <c r="O25" i="16"/>
  <c r="L24" i="16"/>
  <c r="N25" i="16"/>
  <c r="K24" i="16"/>
  <c r="M25" i="16"/>
  <c r="P25" i="16"/>
  <c r="G75" i="20"/>
  <c r="K77" i="20"/>
  <c r="I75" i="20"/>
  <c r="O77" i="20"/>
  <c r="L76" i="20"/>
  <c r="J65" i="20"/>
  <c r="G66" i="20"/>
  <c r="K76" i="20"/>
  <c r="U75" i="20"/>
  <c r="G74" i="20"/>
  <c r="G64" i="20"/>
  <c r="K75" i="20"/>
  <c r="M75" i="20"/>
  <c r="K74" i="20"/>
  <c r="K66" i="20"/>
  <c r="G65" i="20"/>
  <c r="M78" i="20"/>
  <c r="K65" i="20"/>
  <c r="M77" i="20"/>
  <c r="P63" i="20"/>
  <c r="Q32" i="13"/>
  <c r="P32" i="13"/>
  <c r="T32" i="13"/>
  <c r="H32" i="13"/>
  <c r="N32" i="13"/>
  <c r="S32" i="13"/>
  <c r="L32" i="13"/>
  <c r="N41" i="17"/>
  <c r="G37" i="17"/>
  <c r="G41" i="17"/>
  <c r="M41" i="17"/>
  <c r="I37" i="17"/>
  <c r="M51" i="18"/>
  <c r="L53" i="18"/>
  <c r="M54" i="18"/>
  <c r="K51" i="18"/>
  <c r="P52" i="18"/>
  <c r="I51" i="18"/>
  <c r="J54" i="18"/>
  <c r="O52" i="18"/>
  <c r="P53" i="18"/>
  <c r="J51" i="18"/>
  <c r="R52" i="18"/>
  <c r="U22" i="21"/>
  <c r="X23" i="21" s="1"/>
  <c r="R22" i="21"/>
  <c r="T27" i="21"/>
  <c r="H27" i="21"/>
  <c r="S27" i="21"/>
  <c r="O22" i="21"/>
  <c r="R27" i="21"/>
  <c r="Q27" i="21"/>
  <c r="O27" i="21"/>
  <c r="S18" i="12"/>
  <c r="T18" i="12"/>
  <c r="L25" i="12"/>
  <c r="K26" i="12"/>
  <c r="P26" i="12"/>
  <c r="O25" i="12"/>
  <c r="M25" i="12"/>
  <c r="G26" i="12"/>
  <c r="N25" i="12"/>
  <c r="O26" i="12"/>
  <c r="T26" i="12"/>
  <c r="H18" i="12"/>
  <c r="R25" i="12"/>
  <c r="G47" i="26"/>
  <c r="L46" i="26"/>
  <c r="I46" i="26"/>
  <c r="G46" i="26"/>
  <c r="I44" i="26"/>
  <c r="G44" i="26"/>
  <c r="I43" i="26"/>
  <c r="I42" i="26"/>
  <c r="L44" i="26"/>
  <c r="L45" i="26"/>
  <c r="L43" i="26"/>
  <c r="G43" i="26"/>
  <c r="G42" i="26"/>
  <c r="J50" i="26"/>
  <c r="O43" i="26"/>
  <c r="U42" i="38"/>
  <c r="O42" i="38"/>
  <c r="K43" i="38"/>
  <c r="Q46" i="25"/>
  <c r="R46" i="25"/>
  <c r="K46" i="25"/>
  <c r="W73" i="23"/>
  <c r="Q60" i="23"/>
  <c r="AA60" i="23"/>
  <c r="O72" i="23"/>
  <c r="P72" i="23"/>
  <c r="P60" i="23"/>
  <c r="W72" i="23"/>
  <c r="X60" i="23"/>
  <c r="T36" i="31"/>
  <c r="S36" i="31"/>
  <c r="L36" i="31"/>
  <c r="J36" i="31"/>
  <c r="H35" i="5"/>
  <c r="P35" i="5"/>
  <c r="M35" i="5"/>
  <c r="U24" i="5"/>
  <c r="AA92" i="4"/>
  <c r="X103" i="4"/>
  <c r="O102" i="4"/>
  <c r="AA90" i="4"/>
  <c r="R100" i="4"/>
  <c r="AA89" i="4"/>
  <c r="Z102" i="4"/>
  <c r="N102" i="4"/>
  <c r="T100" i="4"/>
  <c r="N98" i="4"/>
  <c r="Q93" i="4"/>
  <c r="N90" i="4"/>
  <c r="Q89" i="4"/>
  <c r="U98" i="4"/>
  <c r="AA100" i="4"/>
  <c r="O103" i="4"/>
  <c r="O99" i="4"/>
  <c r="O95" i="4"/>
  <c r="AA91" i="4"/>
  <c r="O91" i="4"/>
  <c r="AA93" i="4"/>
  <c r="Y91" i="4"/>
  <c r="AA102" i="4"/>
  <c r="X99" i="4"/>
  <c r="X91" i="4"/>
  <c r="O90" i="4"/>
  <c r="R99" i="4"/>
  <c r="X97" i="4"/>
  <c r="Y102" i="4"/>
  <c r="Y90" i="4"/>
  <c r="R96" i="4"/>
  <c r="AA101" i="4"/>
  <c r="X98" i="4"/>
  <c r="AA97" i="4"/>
  <c r="R92" i="4"/>
  <c r="O97" i="4"/>
  <c r="Z101" i="4"/>
  <c r="Q103" i="4"/>
  <c r="AA103" i="4"/>
  <c r="AA99" i="4"/>
  <c r="Y103" i="4"/>
  <c r="Y95" i="4"/>
  <c r="O96" i="4"/>
  <c r="Y101" i="4"/>
  <c r="Q97" i="4"/>
  <c r="AA56" i="23"/>
  <c r="U66" i="20"/>
  <c r="U32" i="9"/>
  <c r="V11" i="56"/>
  <c r="K11" i="56"/>
  <c r="M11" i="56" s="1"/>
  <c r="V8" i="56"/>
  <c r="K14" i="56"/>
  <c r="O14" i="56" s="1"/>
  <c r="K17" i="56"/>
  <c r="K5" i="56"/>
  <c r="O5" i="56" s="1"/>
  <c r="F32" i="56"/>
  <c r="V29" i="56"/>
  <c r="K8" i="56"/>
  <c r="O8" i="56" s="1"/>
  <c r="V5" i="56"/>
  <c r="V14" i="56"/>
  <c r="K29" i="56"/>
  <c r="M29" i="56" s="1"/>
  <c r="V32" i="56"/>
  <c r="V26" i="56"/>
  <c r="K26" i="56"/>
  <c r="O26" i="56" s="1"/>
  <c r="K35" i="56"/>
  <c r="K23" i="56"/>
  <c r="K32" i="56"/>
  <c r="O32" i="56" s="1"/>
  <c r="K55" i="22"/>
  <c r="S55" i="22"/>
  <c r="P55" i="22"/>
  <c r="T31" i="9"/>
  <c r="K32" i="9"/>
  <c r="T33" i="9"/>
  <c r="P31" i="9"/>
  <c r="H34" i="9"/>
  <c r="T32" i="9"/>
  <c r="O34" i="9"/>
  <c r="P34" i="9"/>
  <c r="S33" i="9"/>
  <c r="L24" i="9"/>
  <c r="G31" i="9"/>
  <c r="M34" i="9"/>
  <c r="M33" i="9"/>
  <c r="I24" i="9"/>
  <c r="I33" i="9"/>
  <c r="M32" i="9"/>
  <c r="J31" i="9"/>
  <c r="H33" i="9"/>
  <c r="H32" i="9"/>
  <c r="O33" i="9"/>
  <c r="O32" i="9"/>
  <c r="U34" i="9"/>
  <c r="P24" i="16"/>
  <c r="O17" i="16"/>
  <c r="U25" i="16"/>
  <c r="I24" i="16"/>
  <c r="L25" i="16"/>
  <c r="T24" i="16"/>
  <c r="H24" i="16"/>
  <c r="K25" i="16"/>
  <c r="S24" i="16"/>
  <c r="G24" i="16"/>
  <c r="J17" i="16"/>
  <c r="R24" i="16"/>
  <c r="M74" i="20"/>
  <c r="P76" i="20"/>
  <c r="M66" i="20"/>
  <c r="K64" i="20"/>
  <c r="M65" i="20"/>
  <c r="J74" i="20"/>
  <c r="L78" i="20"/>
  <c r="M64" i="20"/>
  <c r="J63" i="20"/>
  <c r="I78" i="20"/>
  <c r="J66" i="20"/>
  <c r="L77" i="20"/>
  <c r="N74" i="20"/>
  <c r="U65" i="20"/>
  <c r="T77" i="20"/>
  <c r="H65" i="20"/>
  <c r="K63" i="20"/>
  <c r="I77" i="20"/>
  <c r="N66" i="20"/>
  <c r="S75" i="20"/>
  <c r="P78" i="20"/>
  <c r="P77" i="20"/>
  <c r="L64" i="20"/>
  <c r="P75" i="20"/>
  <c r="J76" i="20"/>
  <c r="G78" i="20"/>
  <c r="L63" i="20"/>
  <c r="I76" i="20"/>
  <c r="J64" i="20"/>
  <c r="L75" i="20"/>
  <c r="N65" i="20"/>
  <c r="T78" i="20"/>
  <c r="G63" i="20"/>
  <c r="R64" i="20"/>
  <c r="L74" i="20"/>
  <c r="N64" i="20"/>
  <c r="T76" i="20"/>
  <c r="Q75" i="20"/>
  <c r="R32" i="13"/>
  <c r="O37" i="17"/>
  <c r="I41" i="17"/>
  <c r="R51" i="18"/>
  <c r="M53" i="18"/>
  <c r="M52" i="18"/>
  <c r="J53" i="18"/>
  <c r="N54" i="18"/>
  <c r="G54" i="18"/>
  <c r="J52" i="18"/>
  <c r="O51" i="18"/>
  <c r="P54" i="18"/>
  <c r="S51" i="18"/>
  <c r="J27" i="21"/>
  <c r="P27" i="21"/>
  <c r="U26" i="12"/>
  <c r="P25" i="12"/>
  <c r="O18" i="12"/>
  <c r="G25" i="12"/>
  <c r="U25" i="12"/>
  <c r="I25" i="12"/>
  <c r="Q18" i="12"/>
  <c r="H26" i="12"/>
  <c r="R18" i="12"/>
  <c r="S26" i="12"/>
  <c r="K44" i="26"/>
  <c r="M47" i="26"/>
  <c r="J47" i="26"/>
  <c r="K43" i="26"/>
  <c r="M46" i="26"/>
  <c r="I41" i="26"/>
  <c r="J46" i="26"/>
  <c r="K42" i="26"/>
  <c r="M45" i="26"/>
  <c r="U47" i="26"/>
  <c r="T47" i="26"/>
  <c r="J41" i="26"/>
  <c r="I50" i="26"/>
  <c r="J45" i="26"/>
  <c r="L50" i="26"/>
  <c r="M44" i="26"/>
  <c r="S42" i="26"/>
  <c r="G41" i="26"/>
  <c r="J44" i="26"/>
  <c r="N44" i="26"/>
  <c r="G50" i="26"/>
  <c r="L41" i="26"/>
  <c r="J43" i="26"/>
  <c r="L47" i="26"/>
  <c r="N43" i="26"/>
  <c r="O41" i="26"/>
  <c r="N42" i="26"/>
  <c r="S47" i="26"/>
  <c r="P42" i="26"/>
  <c r="G43" i="38"/>
  <c r="S43" i="38"/>
  <c r="J43" i="38"/>
  <c r="I43" i="38"/>
  <c r="R43" i="38"/>
  <c r="T43" i="38"/>
  <c r="T42" i="38"/>
  <c r="K42" i="38"/>
  <c r="P43" i="38"/>
  <c r="I42" i="38"/>
  <c r="L43" i="38"/>
  <c r="M42" i="38"/>
  <c r="T46" i="25"/>
  <c r="H46" i="25"/>
  <c r="S46" i="25"/>
  <c r="I46" i="25"/>
  <c r="J46" i="25"/>
  <c r="U46" i="25"/>
  <c r="L46" i="25"/>
  <c r="W67" i="23"/>
  <c r="V60" i="23"/>
  <c r="T67" i="23"/>
  <c r="Q67" i="23"/>
  <c r="T60" i="23"/>
  <c r="U73" i="23"/>
  <c r="U72" i="23"/>
  <c r="M60" i="23"/>
  <c r="P73" i="23"/>
  <c r="U67" i="23"/>
  <c r="Y72" i="23"/>
  <c r="G36" i="31"/>
  <c r="U36" i="31"/>
  <c r="R36" i="31"/>
  <c r="N36" i="31"/>
  <c r="M36" i="31"/>
  <c r="S35" i="5"/>
  <c r="R35" i="5"/>
  <c r="G35" i="5"/>
  <c r="N35" i="5"/>
  <c r="Z99" i="4"/>
  <c r="Z98" i="4"/>
  <c r="X94" i="4"/>
  <c r="Z93" i="4"/>
  <c r="X93" i="4"/>
  <c r="Z90" i="4"/>
  <c r="Y94" i="4"/>
  <c r="X102" i="4"/>
  <c r="X90" i="4"/>
  <c r="X89" i="4"/>
  <c r="N91" i="4"/>
  <c r="Y92" i="4"/>
  <c r="Y97" i="4"/>
  <c r="W96" i="4"/>
  <c r="Z89" i="4"/>
  <c r="T92" i="4"/>
  <c r="Y89" i="4"/>
  <c r="O93" i="4"/>
  <c r="U49" i="22"/>
  <c r="U28" i="13"/>
  <c r="U44" i="18"/>
  <c r="U38" i="26"/>
  <c r="U38" i="25"/>
  <c r="U33" i="31"/>
  <c r="AB75" i="4"/>
  <c r="AB40" i="4" s="1"/>
  <c r="AB78" i="4" s="1"/>
  <c r="U17" i="7"/>
  <c r="U10" i="7" s="1"/>
  <c r="U20" i="7" s="1"/>
  <c r="U39" i="38"/>
  <c r="U30" i="38" s="1"/>
  <c r="U44" i="38" s="1"/>
  <c r="U34" i="17"/>
  <c r="U18" i="8"/>
  <c r="U21" i="8" s="1"/>
  <c r="U20" i="33"/>
  <c r="U13" i="33" s="1"/>
  <c r="U23" i="33" s="1"/>
  <c r="U41" i="3"/>
  <c r="U42" i="26"/>
  <c r="U41" i="26"/>
  <c r="U43" i="26"/>
  <c r="U45" i="26"/>
  <c r="U50" i="26"/>
  <c r="U44" i="26"/>
  <c r="U57" i="22"/>
  <c r="U24" i="16"/>
  <c r="U52" i="18"/>
  <c r="AB90" i="4"/>
  <c r="U43" i="38"/>
  <c r="U31" i="9"/>
  <c r="S32" i="9"/>
  <c r="P32" i="9"/>
  <c r="Q34" i="9"/>
  <c r="N31" i="9"/>
  <c r="Q33" i="9"/>
  <c r="O31" i="9"/>
  <c r="Q32" i="9"/>
  <c r="N34" i="9"/>
  <c r="R34" i="9"/>
  <c r="N33" i="9"/>
  <c r="R33" i="9"/>
  <c r="R31" i="9"/>
  <c r="S31" i="9"/>
  <c r="S57" i="22"/>
  <c r="O55" i="22"/>
  <c r="Q64" i="20"/>
  <c r="P74" i="20"/>
  <c r="R78" i="20"/>
  <c r="S66" i="20"/>
  <c r="P66" i="20"/>
  <c r="R77" i="20"/>
  <c r="S65" i="20"/>
  <c r="O76" i="20"/>
  <c r="P65" i="20"/>
  <c r="R76" i="20"/>
  <c r="S64" i="20"/>
  <c r="U76" i="20"/>
  <c r="O75" i="20"/>
  <c r="P64" i="20"/>
  <c r="R75" i="20"/>
  <c r="S77" i="20"/>
  <c r="S76" i="20"/>
  <c r="L66" i="20"/>
  <c r="N78" i="20"/>
  <c r="O74" i="20"/>
  <c r="Q78" i="20"/>
  <c r="R74" i="20"/>
  <c r="N63" i="20"/>
  <c r="L65" i="20"/>
  <c r="N77" i="20"/>
  <c r="O66" i="20"/>
  <c r="Q77" i="20"/>
  <c r="R66" i="20"/>
  <c r="O63" i="20"/>
  <c r="N76" i="20"/>
  <c r="O65" i="20"/>
  <c r="Q76" i="20"/>
  <c r="R65" i="20"/>
  <c r="P37" i="17"/>
  <c r="Q37" i="17"/>
  <c r="R37" i="17"/>
  <c r="H41" i="17"/>
  <c r="H37" i="17"/>
  <c r="K52" i="18"/>
  <c r="N53" i="18"/>
  <c r="Q53" i="18"/>
  <c r="N52" i="18"/>
  <c r="Q52" i="18"/>
  <c r="S54" i="18"/>
  <c r="S53" i="18"/>
  <c r="S52" i="18"/>
  <c r="Q54" i="18"/>
  <c r="I53" i="18"/>
  <c r="O54" i="18"/>
  <c r="R54" i="18"/>
  <c r="U54" i="18"/>
  <c r="O53" i="18"/>
  <c r="R53" i="18"/>
  <c r="S25" i="12"/>
  <c r="Q26" i="12"/>
  <c r="H25" i="12"/>
  <c r="T25" i="12"/>
  <c r="R26" i="12"/>
  <c r="Q43" i="26"/>
  <c r="Q41" i="26"/>
  <c r="P46" i="26"/>
  <c r="Q42" i="26"/>
  <c r="O50" i="26"/>
  <c r="P45" i="26"/>
  <c r="M41" i="26"/>
  <c r="N46" i="26"/>
  <c r="O42" i="26"/>
  <c r="Q46" i="26"/>
  <c r="N41" i="26"/>
  <c r="H45" i="26"/>
  <c r="M50" i="26"/>
  <c r="N45" i="26"/>
  <c r="P50" i="26"/>
  <c r="Q45" i="26"/>
  <c r="S50" i="26"/>
  <c r="T44" i="26"/>
  <c r="H41" i="26"/>
  <c r="T41" i="26"/>
  <c r="M43" i="26"/>
  <c r="O47" i="26"/>
  <c r="P43" i="26"/>
  <c r="S43" i="26"/>
  <c r="P44" i="26"/>
  <c r="O46" i="26"/>
  <c r="H50" i="26"/>
  <c r="N50" i="26"/>
  <c r="O45" i="26"/>
  <c r="Q50" i="26"/>
  <c r="T50" i="26"/>
  <c r="O44" i="26"/>
  <c r="S42" i="38"/>
  <c r="R42" i="38"/>
  <c r="Q42" i="38"/>
  <c r="P42" i="38"/>
  <c r="N42" i="38"/>
  <c r="O46" i="25"/>
  <c r="P46" i="25"/>
  <c r="X73" i="23"/>
  <c r="X72" i="23"/>
  <c r="V73" i="23"/>
  <c r="X67" i="23"/>
  <c r="W60" i="23"/>
  <c r="V72" i="23"/>
  <c r="T73" i="23"/>
  <c r="V67" i="23"/>
  <c r="T72" i="23"/>
  <c r="Y73" i="23"/>
  <c r="Q36" i="31"/>
  <c r="P36" i="31"/>
  <c r="O36" i="31"/>
  <c r="U34" i="5"/>
  <c r="W103" i="4"/>
  <c r="W91" i="4"/>
  <c r="V97" i="4"/>
  <c r="W102" i="4"/>
  <c r="W90" i="4"/>
  <c r="U103" i="4"/>
  <c r="U91" i="4"/>
  <c r="V96" i="4"/>
  <c r="W101" i="4"/>
  <c r="W89" i="4"/>
  <c r="T96" i="4"/>
  <c r="U102" i="4"/>
  <c r="U90" i="4"/>
  <c r="V95" i="4"/>
  <c r="W100" i="4"/>
  <c r="S96" i="4"/>
  <c r="T103" i="4"/>
  <c r="T91" i="4"/>
  <c r="U97" i="4"/>
  <c r="V102" i="4"/>
  <c r="V90" i="4"/>
  <c r="W95" i="4"/>
  <c r="S95" i="4"/>
  <c r="T102" i="4"/>
  <c r="T90" i="4"/>
  <c r="U96" i="4"/>
  <c r="V101" i="4"/>
  <c r="V89" i="4"/>
  <c r="W94" i="4"/>
  <c r="Z92" i="4"/>
  <c r="O101" i="4"/>
  <c r="O89" i="4"/>
  <c r="Q94" i="4"/>
  <c r="R103" i="4"/>
  <c r="R91" i="4"/>
  <c r="S94" i="4"/>
  <c r="T101" i="4"/>
  <c r="T89" i="4"/>
  <c r="U95" i="4"/>
  <c r="V100" i="4"/>
  <c r="W93" i="4"/>
  <c r="Y100" i="4"/>
  <c r="Z103" i="4"/>
  <c r="Z91" i="4"/>
  <c r="AA94" i="4"/>
  <c r="S100" i="4"/>
  <c r="T95" i="4"/>
  <c r="U101" i="4"/>
  <c r="U89" i="4"/>
  <c r="V94" i="4"/>
  <c r="W99" i="4"/>
  <c r="Z97" i="4"/>
  <c r="S99" i="4"/>
  <c r="T94" i="4"/>
  <c r="U100" i="4"/>
  <c r="V93" i="4"/>
  <c r="W98" i="4"/>
  <c r="Z96" i="4"/>
  <c r="Q98" i="4"/>
  <c r="S98" i="4"/>
  <c r="T93" i="4"/>
  <c r="U99" i="4"/>
  <c r="V92" i="4"/>
  <c r="W97" i="4"/>
  <c r="Z95" i="4"/>
  <c r="AA98" i="4"/>
  <c r="S97" i="4"/>
  <c r="V103" i="4"/>
  <c r="N103" i="4"/>
  <c r="K13" i="1"/>
  <c r="L13" i="1" s="1"/>
  <c r="L28" i="1"/>
  <c r="K6" i="1"/>
  <c r="L6" i="1" s="1"/>
  <c r="K22" i="1"/>
  <c r="L22" i="1" s="1"/>
  <c r="K21" i="1"/>
  <c r="L21" i="1" s="1"/>
  <c r="K12" i="1"/>
  <c r="L12" i="1" s="1"/>
  <c r="L4" i="1"/>
  <c r="K16" i="1"/>
  <c r="L16" i="1" s="1"/>
  <c r="L29" i="1"/>
  <c r="K25" i="1"/>
  <c r="L25" i="1" s="1"/>
  <c r="K14" i="1"/>
  <c r="L14" i="1" s="1"/>
  <c r="K17" i="1"/>
  <c r="L17" i="1" s="1"/>
  <c r="K5" i="1"/>
  <c r="L5" i="1" s="1"/>
  <c r="K27" i="1"/>
  <c r="L27" i="1" s="1"/>
  <c r="K26" i="1"/>
  <c r="L26" i="1" s="1"/>
  <c r="K23" i="1"/>
  <c r="L23" i="1" s="1"/>
  <c r="K11" i="1"/>
  <c r="L11" i="1" s="1"/>
  <c r="K24" i="1"/>
  <c r="L24" i="1" s="1"/>
  <c r="K20" i="1"/>
  <c r="L20" i="1" s="1"/>
  <c r="K15" i="1"/>
  <c r="L15" i="1" s="1"/>
  <c r="K10" i="1"/>
  <c r="L10" i="1" s="1"/>
  <c r="K8" i="1"/>
  <c r="L8" i="1" s="1"/>
  <c r="L3" i="1"/>
  <c r="K9" i="1"/>
  <c r="L9" i="1" s="1"/>
  <c r="K19" i="1"/>
  <c r="L19" i="1" s="1"/>
  <c r="K7" i="1"/>
  <c r="L7" i="1" s="1"/>
  <c r="K18" i="1"/>
  <c r="L18" i="1" s="1"/>
  <c r="U26" i="22"/>
  <c r="J18" i="12"/>
  <c r="G18" i="12"/>
  <c r="I18" i="12"/>
  <c r="K18" i="12"/>
  <c r="L2" i="1"/>
  <c r="E28" i="1"/>
  <c r="E17" i="1"/>
  <c r="E27" i="1"/>
  <c r="E16" i="1"/>
  <c r="J16" i="1" s="1"/>
  <c r="E4" i="1"/>
  <c r="E26" i="1"/>
  <c r="E13" i="1"/>
  <c r="E3" i="1"/>
  <c r="G3" i="1" s="1"/>
  <c r="E25" i="1"/>
  <c r="E12" i="1"/>
  <c r="E24" i="1"/>
  <c r="E15" i="1"/>
  <c r="E14" i="1"/>
  <c r="E23" i="1"/>
  <c r="E10" i="1"/>
  <c r="E22" i="1"/>
  <c r="E11" i="1"/>
  <c r="E21" i="1"/>
  <c r="E19" i="1"/>
  <c r="J19" i="1" s="1"/>
  <c r="E8" i="1"/>
  <c r="E18" i="1"/>
  <c r="J18" i="1" s="1"/>
  <c r="E7" i="1"/>
  <c r="E29" i="1"/>
  <c r="E20" i="1"/>
  <c r="J20" i="1" s="1"/>
  <c r="E5" i="1"/>
  <c r="H2" i="1"/>
  <c r="V45" i="38" l="1"/>
  <c r="W45" i="38"/>
  <c r="X22" i="7"/>
  <c r="S26" i="16"/>
  <c r="W34" i="13"/>
  <c r="W27" i="12"/>
  <c r="X27" i="12"/>
  <c r="AE106" i="4"/>
  <c r="X80" i="20"/>
  <c r="U36" i="22"/>
  <c r="U60" i="22" s="1"/>
  <c r="U32" i="22"/>
  <c r="U56" i="22" s="1"/>
  <c r="AB77" i="23"/>
  <c r="AA37" i="23"/>
  <c r="AA66" i="23" s="1"/>
  <c r="AA47" i="23"/>
  <c r="AA76" i="23" s="1"/>
  <c r="X45" i="38"/>
  <c r="X47" i="38" s="1"/>
  <c r="U24" i="3"/>
  <c r="U30" i="3"/>
  <c r="U50" i="3" s="1"/>
  <c r="U26" i="3"/>
  <c r="U46" i="3" s="1"/>
  <c r="U29" i="3"/>
  <c r="U49" i="3" s="1"/>
  <c r="U27" i="3"/>
  <c r="U47" i="3" s="1"/>
  <c r="U25" i="3"/>
  <c r="U45" i="3" s="1"/>
  <c r="U31" i="3"/>
  <c r="U51" i="3" s="1"/>
  <c r="U32" i="3"/>
  <c r="U52" i="3" s="1"/>
  <c r="U28" i="3"/>
  <c r="U48" i="3" s="1"/>
  <c r="W80" i="20"/>
  <c r="X46" i="17"/>
  <c r="X34" i="13"/>
  <c r="V46" i="17"/>
  <c r="AD77" i="23"/>
  <c r="V80" i="20"/>
  <c r="AC77" i="23"/>
  <c r="U28" i="26"/>
  <c r="U29" i="26"/>
  <c r="U49" i="26" s="1"/>
  <c r="V34" i="13"/>
  <c r="U26" i="25"/>
  <c r="U44" i="25" s="1"/>
  <c r="U24" i="25"/>
  <c r="U42" i="25" s="1"/>
  <c r="W46" i="17"/>
  <c r="X38" i="5"/>
  <c r="X47" i="25"/>
  <c r="V65" i="22"/>
  <c r="W47" i="25"/>
  <c r="V47" i="25"/>
  <c r="X65" i="22"/>
  <c r="W65" i="22"/>
  <c r="X56" i="18"/>
  <c r="W56" i="18"/>
  <c r="V56" i="18"/>
  <c r="U24" i="21"/>
  <c r="U23" i="21"/>
  <c r="K27" i="12"/>
  <c r="I27" i="12"/>
  <c r="L27" i="12"/>
  <c r="Q27" i="12"/>
  <c r="N26" i="16"/>
  <c r="O23" i="21"/>
  <c r="L23" i="21"/>
  <c r="U39" i="20"/>
  <c r="U67" i="20" s="1"/>
  <c r="U40" i="20"/>
  <c r="U68" i="20" s="1"/>
  <c r="U42" i="20"/>
  <c r="U70" i="20" s="1"/>
  <c r="U36" i="5"/>
  <c r="R26" i="16"/>
  <c r="U19" i="16"/>
  <c r="X20" i="16" s="1"/>
  <c r="L19" i="16"/>
  <c r="X21" i="16" s="1"/>
  <c r="U26" i="9"/>
  <c r="X27" i="9" s="1"/>
  <c r="M26" i="16"/>
  <c r="H26" i="16"/>
  <c r="T26" i="16"/>
  <c r="I29" i="21"/>
  <c r="J27" i="12"/>
  <c r="U43" i="20"/>
  <c r="U71" i="20" s="1"/>
  <c r="U46" i="20"/>
  <c r="U74" i="20" s="1"/>
  <c r="O23" i="56"/>
  <c r="M23" i="56"/>
  <c r="K35" i="9"/>
  <c r="G35" i="9"/>
  <c r="L26" i="9"/>
  <c r="X28" i="9" s="1"/>
  <c r="J26" i="16"/>
  <c r="O19" i="16"/>
  <c r="Q26" i="16"/>
  <c r="R19" i="16"/>
  <c r="U29" i="21"/>
  <c r="X30" i="21" s="1"/>
  <c r="R27" i="12"/>
  <c r="J35" i="9"/>
  <c r="O26" i="9"/>
  <c r="R26" i="9"/>
  <c r="O35" i="9"/>
  <c r="L35" i="9"/>
  <c r="I19" i="16"/>
  <c r="U21" i="16" s="1"/>
  <c r="L26" i="16"/>
  <c r="U35" i="20"/>
  <c r="U63" i="20" s="1"/>
  <c r="U44" i="20"/>
  <c r="U72" i="20" s="1"/>
  <c r="U45" i="20"/>
  <c r="U73" i="20" s="1"/>
  <c r="U41" i="20"/>
  <c r="U69" i="20" s="1"/>
  <c r="O29" i="21"/>
  <c r="R29" i="21"/>
  <c r="G27" i="12"/>
  <c r="U27" i="12"/>
  <c r="O20" i="12"/>
  <c r="AA38" i="23"/>
  <c r="AA67" i="23" s="1"/>
  <c r="AA41" i="23"/>
  <c r="AA70" i="23" s="1"/>
  <c r="U31" i="38"/>
  <c r="M5" i="56"/>
  <c r="I35" i="9"/>
  <c r="S35" i="9"/>
  <c r="H35" i="9"/>
  <c r="I26" i="16"/>
  <c r="O26" i="16"/>
  <c r="P26" i="16"/>
  <c r="G26" i="16"/>
  <c r="L29" i="21"/>
  <c r="X31" i="21" s="1"/>
  <c r="P27" i="12"/>
  <c r="N27" i="12"/>
  <c r="H27" i="12"/>
  <c r="M27" i="12"/>
  <c r="AA30" i="23"/>
  <c r="AA59" i="23" s="1"/>
  <c r="AA36" i="23"/>
  <c r="AA65" i="23" s="1"/>
  <c r="AA40" i="23"/>
  <c r="AA69" i="23" s="1"/>
  <c r="AA34" i="23"/>
  <c r="AA63" i="23" s="1"/>
  <c r="AA32" i="23"/>
  <c r="AA61" i="23" s="1"/>
  <c r="AA35" i="23"/>
  <c r="AA64" i="23" s="1"/>
  <c r="M14" i="56"/>
  <c r="O29" i="56"/>
  <c r="V17" i="56"/>
  <c r="U35" i="9"/>
  <c r="Q35" i="9"/>
  <c r="M35" i="9"/>
  <c r="P35" i="9"/>
  <c r="N35" i="9"/>
  <c r="I26" i="9"/>
  <c r="K26" i="16"/>
  <c r="R23" i="21"/>
  <c r="T27" i="12"/>
  <c r="O27" i="12"/>
  <c r="I20" i="12"/>
  <c r="L20" i="12"/>
  <c r="X22" i="12" s="1"/>
  <c r="R20" i="12"/>
  <c r="U20" i="12"/>
  <c r="U45" i="38"/>
  <c r="AA39" i="23"/>
  <c r="AA68" i="23" s="1"/>
  <c r="AA33" i="23"/>
  <c r="AA62" i="23" s="1"/>
  <c r="AA45" i="23"/>
  <c r="AA74" i="23" s="1"/>
  <c r="AA42" i="23"/>
  <c r="AA71" i="23" s="1"/>
  <c r="AA46" i="23"/>
  <c r="AA75" i="23" s="1"/>
  <c r="M26" i="56"/>
  <c r="M8" i="56"/>
  <c r="O11" i="56"/>
  <c r="Q14" i="56" s="1"/>
  <c r="S17" i="56" s="1"/>
  <c r="V35" i="56"/>
  <c r="M32" i="56"/>
  <c r="T35" i="9"/>
  <c r="U26" i="16"/>
  <c r="S27" i="12"/>
  <c r="U40" i="22"/>
  <c r="U64" i="22" s="1"/>
  <c r="U24" i="31"/>
  <c r="U25" i="31"/>
  <c r="U38" i="31" s="1"/>
  <c r="U25" i="25"/>
  <c r="U43" i="25" s="1"/>
  <c r="U27" i="25"/>
  <c r="U45" i="25" s="1"/>
  <c r="U23" i="25"/>
  <c r="U39" i="22"/>
  <c r="U63" i="22" s="1"/>
  <c r="U35" i="18"/>
  <c r="U55" i="18" s="1"/>
  <c r="U29" i="18"/>
  <c r="U49" i="18" s="1"/>
  <c r="U27" i="18"/>
  <c r="U28" i="18"/>
  <c r="U48" i="18" s="1"/>
  <c r="U30" i="18"/>
  <c r="U50" i="18" s="1"/>
  <c r="U17" i="13"/>
  <c r="U19" i="13"/>
  <c r="U33" i="13" s="1"/>
  <c r="U37" i="22"/>
  <c r="U61" i="22" s="1"/>
  <c r="U29" i="22"/>
  <c r="U38" i="22"/>
  <c r="U62" i="22" s="1"/>
  <c r="U30" i="22"/>
  <c r="U54" i="22" s="1"/>
  <c r="U35" i="22"/>
  <c r="U59" i="22" s="1"/>
  <c r="U34" i="22"/>
  <c r="U58" i="22" s="1"/>
  <c r="U25" i="17"/>
  <c r="U44" i="17" s="1"/>
  <c r="U18" i="17"/>
  <c r="U19" i="17"/>
  <c r="U38" i="17" s="1"/>
  <c r="U20" i="17"/>
  <c r="U39" i="17" s="1"/>
  <c r="U21" i="17"/>
  <c r="U40" i="17" s="1"/>
  <c r="U22" i="17"/>
  <c r="U41" i="17" s="1"/>
  <c r="U23" i="17"/>
  <c r="U42" i="17" s="1"/>
  <c r="U24" i="17"/>
  <c r="U43" i="17" s="1"/>
  <c r="U26" i="17"/>
  <c r="U45" i="17" s="1"/>
  <c r="R35" i="9"/>
  <c r="H12" i="1"/>
  <c r="J12" i="1"/>
  <c r="H8" i="1"/>
  <c r="J8" i="1"/>
  <c r="H25" i="1"/>
  <c r="J25" i="1"/>
  <c r="H3" i="1"/>
  <c r="J3" i="1"/>
  <c r="H9" i="1"/>
  <c r="J9" i="1"/>
  <c r="H13" i="1"/>
  <c r="J13" i="1"/>
  <c r="H21" i="1"/>
  <c r="J21" i="1"/>
  <c r="H26" i="1"/>
  <c r="J26" i="1"/>
  <c r="H11" i="1"/>
  <c r="J11" i="1"/>
  <c r="H4" i="1"/>
  <c r="J4" i="1"/>
  <c r="H22" i="1"/>
  <c r="J22" i="1"/>
  <c r="H16" i="1"/>
  <c r="H10" i="1"/>
  <c r="J10" i="1"/>
  <c r="H6" i="1"/>
  <c r="J6" i="1"/>
  <c r="H28" i="1"/>
  <c r="J28" i="1"/>
  <c r="H29" i="1"/>
  <c r="J29" i="1"/>
  <c r="H15" i="1"/>
  <c r="J15" i="1"/>
  <c r="H5" i="1"/>
  <c r="J5" i="1"/>
  <c r="H27" i="1"/>
  <c r="J27" i="1"/>
  <c r="H23" i="1"/>
  <c r="J23" i="1"/>
  <c r="H17" i="1"/>
  <c r="J17" i="1"/>
  <c r="H14" i="1"/>
  <c r="J14" i="1"/>
  <c r="H7" i="1"/>
  <c r="J7" i="1"/>
  <c r="H24" i="1"/>
  <c r="J24" i="1"/>
  <c r="G20" i="1"/>
  <c r="H20" i="1"/>
  <c r="G18" i="1"/>
  <c r="H18" i="1"/>
  <c r="G19" i="1"/>
  <c r="H19" i="1"/>
  <c r="G7" i="1"/>
  <c r="G24" i="1"/>
  <c r="G12" i="1"/>
  <c r="G8" i="1"/>
  <c r="G25" i="1"/>
  <c r="G9" i="1"/>
  <c r="G13" i="1"/>
  <c r="G21" i="1"/>
  <c r="G26" i="1"/>
  <c r="G11" i="1"/>
  <c r="G4" i="1"/>
  <c r="G22" i="1"/>
  <c r="G16" i="1"/>
  <c r="G5" i="1"/>
  <c r="G10" i="1"/>
  <c r="G27" i="1"/>
  <c r="G6" i="1"/>
  <c r="G23" i="1"/>
  <c r="G17" i="1"/>
  <c r="G14" i="1"/>
  <c r="G28" i="1"/>
  <c r="G29" i="1"/>
  <c r="G15" i="1"/>
  <c r="G2" i="1"/>
  <c r="X36" i="13" l="1"/>
  <c r="X29" i="12"/>
  <c r="X30" i="12" s="1"/>
  <c r="O20" i="16"/>
  <c r="U22" i="12"/>
  <c r="X21" i="12"/>
  <c r="X48" i="17"/>
  <c r="U33" i="3"/>
  <c r="U44" i="3"/>
  <c r="U53" i="3" s="1"/>
  <c r="R53" i="56" s="1"/>
  <c r="AD79" i="23"/>
  <c r="X82" i="20"/>
  <c r="X67" i="22"/>
  <c r="X49" i="25"/>
  <c r="X58" i="18"/>
  <c r="L29" i="12"/>
  <c r="X31" i="12" s="1"/>
  <c r="R20" i="16"/>
  <c r="U21" i="12"/>
  <c r="L27" i="9"/>
  <c r="I37" i="9"/>
  <c r="O27" i="9"/>
  <c r="U28" i="16"/>
  <c r="X29" i="16" s="1"/>
  <c r="O28" i="16"/>
  <c r="U31" i="21"/>
  <c r="L30" i="21"/>
  <c r="U53" i="22"/>
  <c r="U65" i="22" s="1"/>
  <c r="U41" i="22"/>
  <c r="R29" i="12"/>
  <c r="U28" i="9"/>
  <c r="R27" i="9"/>
  <c r="U20" i="16"/>
  <c r="R30" i="21"/>
  <c r="U37" i="9"/>
  <c r="X38" i="9" s="1"/>
  <c r="L37" i="9"/>
  <c r="X39" i="9" s="1"/>
  <c r="O37" i="9"/>
  <c r="O38" i="9" s="1"/>
  <c r="R28" i="16"/>
  <c r="U52" i="20"/>
  <c r="U80" i="20"/>
  <c r="Z125" i="56" s="1"/>
  <c r="Q32" i="56"/>
  <c r="S35" i="56" s="1"/>
  <c r="U27" i="9"/>
  <c r="L20" i="16"/>
  <c r="I28" i="16"/>
  <c r="U30" i="21"/>
  <c r="I29" i="12"/>
  <c r="L30" i="12" s="1"/>
  <c r="R21" i="12"/>
  <c r="L28" i="16"/>
  <c r="X30" i="16" s="1"/>
  <c r="O30" i="21"/>
  <c r="U29" i="12"/>
  <c r="O29" i="12"/>
  <c r="L21" i="12"/>
  <c r="AA77" i="23"/>
  <c r="AA107" i="56" s="1"/>
  <c r="P14" i="56"/>
  <c r="R17" i="56" s="1"/>
  <c r="T17" i="56" s="1"/>
  <c r="W17" i="56" s="1"/>
  <c r="R37" i="9"/>
  <c r="O21" i="12"/>
  <c r="AA48" i="23"/>
  <c r="P32" i="56"/>
  <c r="R35" i="56" s="1"/>
  <c r="T35" i="56" s="1"/>
  <c r="U36" i="18"/>
  <c r="U47" i="18"/>
  <c r="U56" i="18" s="1"/>
  <c r="U37" i="31"/>
  <c r="U39" i="31" s="1"/>
  <c r="U26" i="31"/>
  <c r="U20" i="13"/>
  <c r="U31" i="13"/>
  <c r="U34" i="13" s="1"/>
  <c r="L89" i="56" s="1"/>
  <c r="U48" i="26"/>
  <c r="U51" i="26" s="1"/>
  <c r="U31" i="26"/>
  <c r="U37" i="17"/>
  <c r="U46" i="17" s="1"/>
  <c r="U27" i="17"/>
  <c r="U41" i="25"/>
  <c r="U47" i="25" s="1"/>
  <c r="U29" i="25"/>
  <c r="AB14" i="1"/>
  <c r="AA14" i="1"/>
  <c r="Z14" i="1"/>
  <c r="Y14" i="1"/>
  <c r="X14" i="1"/>
  <c r="W14" i="1"/>
  <c r="V14" i="1"/>
  <c r="U31" i="12" l="1"/>
  <c r="U30" i="16"/>
  <c r="R29" i="16"/>
  <c r="O29" i="16"/>
  <c r="L38" i="9"/>
  <c r="U39" i="9"/>
  <c r="U29" i="16"/>
  <c r="R38" i="9"/>
  <c r="R30" i="12"/>
  <c r="U30" i="12"/>
  <c r="O30" i="12"/>
  <c r="U38" i="9"/>
  <c r="L29" i="16"/>
  <c r="W35" i="56"/>
  <c r="T24" i="18"/>
  <c r="A1" i="4" a="1"/>
  <c r="A1" i="4" s="1"/>
  <c r="T26" i="22"/>
  <c r="T24" i="22"/>
  <c r="T23" i="22"/>
  <c r="S23" i="22"/>
  <c r="T22" i="22"/>
  <c r="T21" i="22"/>
  <c r="S21" i="22"/>
  <c r="T9" i="33"/>
  <c r="T8" i="33"/>
  <c r="S8" i="33"/>
  <c r="T16" i="9"/>
  <c r="T15" i="9"/>
  <c r="S15" i="9"/>
  <c r="T14" i="9"/>
  <c r="T13" i="9"/>
  <c r="S13" i="9"/>
  <c r="T12" i="9"/>
  <c r="T11" i="9"/>
  <c r="S11" i="9"/>
  <c r="T12" i="16"/>
  <c r="T11" i="16"/>
  <c r="S11" i="16"/>
  <c r="T10" i="16"/>
  <c r="T9" i="16"/>
  <c r="S9" i="16"/>
  <c r="T8" i="16"/>
  <c r="T7" i="16"/>
  <c r="S7" i="16"/>
  <c r="T31" i="20"/>
  <c r="T30" i="20"/>
  <c r="S30" i="20"/>
  <c r="T29" i="20"/>
  <c r="T28" i="20"/>
  <c r="S28" i="20"/>
  <c r="T27" i="20"/>
  <c r="T26" i="20"/>
  <c r="S26" i="20"/>
  <c r="T25" i="20"/>
  <c r="T24" i="20"/>
  <c r="S24" i="20"/>
  <c r="T13" i="13"/>
  <c r="T12" i="13"/>
  <c r="S12" i="13"/>
  <c r="T15" i="17"/>
  <c r="T14" i="17"/>
  <c r="S14" i="17"/>
  <c r="T23" i="18"/>
  <c r="S23" i="18"/>
  <c r="T22" i="18"/>
  <c r="T21" i="18"/>
  <c r="S21" i="18"/>
  <c r="T20" i="18"/>
  <c r="T19" i="18"/>
  <c r="S19" i="18"/>
  <c r="T18" i="18"/>
  <c r="T17" i="18"/>
  <c r="S17" i="18"/>
  <c r="T17" i="21"/>
  <c r="T16" i="21"/>
  <c r="S16" i="21"/>
  <c r="T7" i="8"/>
  <c r="T6" i="8"/>
  <c r="S6" i="8"/>
  <c r="T13" i="12"/>
  <c r="T12" i="12"/>
  <c r="S12" i="12"/>
  <c r="T11" i="12"/>
  <c r="T10" i="12"/>
  <c r="S10" i="12"/>
  <c r="T9" i="12"/>
  <c r="T8" i="12"/>
  <c r="S8" i="12"/>
  <c r="T7" i="7"/>
  <c r="T6" i="7"/>
  <c r="S6" i="7"/>
  <c r="T18" i="26"/>
  <c r="T17" i="26"/>
  <c r="S17" i="26"/>
  <c r="T24" i="38"/>
  <c r="T23" i="38"/>
  <c r="S23" i="38"/>
  <c r="S19" i="38"/>
  <c r="T20" i="25"/>
  <c r="T19" i="25"/>
  <c r="S19" i="25"/>
  <c r="T18" i="25"/>
  <c r="T17" i="25"/>
  <c r="S17" i="25"/>
  <c r="T16" i="25"/>
  <c r="T15" i="25"/>
  <c r="S15" i="25"/>
  <c r="Y22" i="23"/>
  <c r="Z27" i="23"/>
  <c r="Z26" i="23"/>
  <c r="Y26" i="23"/>
  <c r="Z25" i="23"/>
  <c r="Z24" i="23"/>
  <c r="Y24" i="23"/>
  <c r="Z23" i="23"/>
  <c r="Z22" i="23"/>
  <c r="T19" i="5"/>
  <c r="T18" i="5"/>
  <c r="S18" i="5"/>
  <c r="T17" i="5"/>
  <c r="T16" i="5"/>
  <c r="S16" i="5"/>
  <c r="T15" i="5"/>
  <c r="T14" i="5"/>
  <c r="S14" i="5"/>
  <c r="AA37" i="4"/>
  <c r="AA36" i="4"/>
  <c r="Z36" i="4"/>
  <c r="AA35" i="4"/>
  <c r="AA34" i="4"/>
  <c r="Z34" i="4"/>
  <c r="AA33" i="4"/>
  <c r="AA32" i="4"/>
  <c r="Z32" i="4"/>
  <c r="AA30" i="4"/>
  <c r="Z30" i="4"/>
  <c r="S19" i="31"/>
  <c r="T20" i="31"/>
  <c r="T19" i="31"/>
  <c r="T18" i="31"/>
  <c r="T17" i="31"/>
  <c r="S17" i="31"/>
  <c r="M26" i="1"/>
  <c r="T26" i="1" s="1"/>
  <c r="AH26" i="1" s="1"/>
  <c r="B2" i="53"/>
  <c r="B3" i="53" s="1"/>
  <c r="B16" i="38"/>
  <c r="B2" i="37"/>
  <c r="B4" i="37" s="1"/>
  <c r="B6" i="33"/>
  <c r="O6" i="1"/>
  <c r="T6" i="1" s="1"/>
  <c r="AH6" i="1" s="1"/>
  <c r="B8" i="31"/>
  <c r="B12" i="31"/>
  <c r="B11" i="31"/>
  <c r="T11" i="1"/>
  <c r="AH11" i="1" s="1"/>
  <c r="B15" i="26"/>
  <c r="B7" i="28"/>
  <c r="B8" i="25"/>
  <c r="B22" i="23"/>
  <c r="B19" i="22"/>
  <c r="B13" i="21"/>
  <c r="B5" i="16"/>
  <c r="B6" i="14"/>
  <c r="B8" i="13"/>
  <c r="M7" i="1"/>
  <c r="B6" i="12"/>
  <c r="T3" i="1"/>
  <c r="AH3" i="1" s="1"/>
  <c r="T8" i="1"/>
  <c r="AH8" i="1" s="1"/>
  <c r="T10" i="1"/>
  <c r="AH10" i="1" s="1"/>
  <c r="T12" i="1"/>
  <c r="AH12" i="1" s="1"/>
  <c r="T13" i="1"/>
  <c r="AH13" i="1" s="1"/>
  <c r="T15" i="1"/>
  <c r="AH15" i="1" s="1"/>
  <c r="T16" i="1"/>
  <c r="AH16" i="1" s="1"/>
  <c r="T17" i="1"/>
  <c r="AH17" i="1" s="1"/>
  <c r="T19" i="1"/>
  <c r="T18" i="1"/>
  <c r="T21" i="1"/>
  <c r="AH21" i="1" s="1"/>
  <c r="T22" i="1"/>
  <c r="AH22" i="1" s="1"/>
  <c r="T23" i="1"/>
  <c r="AH23" i="1" s="1"/>
  <c r="T24" i="1"/>
  <c r="AH24" i="1" s="1"/>
  <c r="T25" i="1"/>
  <c r="AH25" i="1" s="1"/>
  <c r="T28" i="1"/>
  <c r="AH28" i="1" s="1"/>
  <c r="T29" i="1"/>
  <c r="AH29" i="1" s="1"/>
  <c r="B3" i="8"/>
  <c r="B3" i="7"/>
  <c r="B8" i="9"/>
  <c r="S5" i="1"/>
  <c r="T5" i="1" s="1"/>
  <c r="AH5" i="1" s="1"/>
  <c r="B11" i="3"/>
  <c r="T2" i="1"/>
  <c r="AH2" i="1" s="1"/>
  <c r="B13" i="2"/>
  <c r="K18" i="8" l="1"/>
  <c r="K21" i="8" s="1"/>
  <c r="K49" i="22"/>
  <c r="K32" i="22" s="1"/>
  <c r="K56" i="22" s="1"/>
  <c r="K28" i="13"/>
  <c r="K44" i="18"/>
  <c r="K38" i="26"/>
  <c r="K38" i="25"/>
  <c r="K24" i="25" s="1"/>
  <c r="K42" i="25" s="1"/>
  <c r="K33" i="31"/>
  <c r="R75" i="4"/>
  <c r="K17" i="7"/>
  <c r="K10" i="7" s="1"/>
  <c r="K20" i="7" s="1"/>
  <c r="K39" i="38"/>
  <c r="K30" i="38" s="1"/>
  <c r="K60" i="20"/>
  <c r="K41" i="3"/>
  <c r="K34" i="17"/>
  <c r="K20" i="33"/>
  <c r="K13" i="33" s="1"/>
  <c r="K23" i="33" s="1"/>
  <c r="Q56" i="23"/>
  <c r="Q47" i="23" s="1"/>
  <c r="Q76" i="23" s="1"/>
  <c r="K31" i="5"/>
  <c r="K22" i="5" s="1"/>
  <c r="Q20" i="33"/>
  <c r="Q13" i="33" s="1"/>
  <c r="Q23" i="33" s="1"/>
  <c r="Q60" i="20"/>
  <c r="Q34" i="17"/>
  <c r="W56" i="23"/>
  <c r="W47" i="23" s="1"/>
  <c r="W76" i="23" s="1"/>
  <c r="Q31" i="5"/>
  <c r="Q22" i="5" s="1"/>
  <c r="Q18" i="8"/>
  <c r="Q21" i="8" s="1"/>
  <c r="Q41" i="3"/>
  <c r="Q28" i="13"/>
  <c r="Q44" i="18"/>
  <c r="Q33" i="31"/>
  <c r="Q39" i="38"/>
  <c r="Q30" i="38" s="1"/>
  <c r="Q38" i="25"/>
  <c r="Q24" i="25" s="1"/>
  <c r="Q42" i="25" s="1"/>
  <c r="Q49" i="22"/>
  <c r="Q32" i="22" s="1"/>
  <c r="Q56" i="22" s="1"/>
  <c r="Q38" i="26"/>
  <c r="X75" i="4"/>
  <c r="Q17" i="7"/>
  <c r="Q10" i="7" s="1"/>
  <c r="Q20" i="7" s="1"/>
  <c r="N20" i="33"/>
  <c r="N13" i="33" s="1"/>
  <c r="N23" i="33" s="1"/>
  <c r="N60" i="20"/>
  <c r="N34" i="17"/>
  <c r="N18" i="8"/>
  <c r="N21" i="8" s="1"/>
  <c r="N41" i="3"/>
  <c r="N49" i="22"/>
  <c r="N32" i="22" s="1"/>
  <c r="N56" i="22" s="1"/>
  <c r="N28" i="13"/>
  <c r="N44" i="18"/>
  <c r="N38" i="26"/>
  <c r="N38" i="25"/>
  <c r="N24" i="25" s="1"/>
  <c r="N42" i="25" s="1"/>
  <c r="N33" i="31"/>
  <c r="U75" i="4"/>
  <c r="N17" i="7"/>
  <c r="N10" i="7" s="1"/>
  <c r="N20" i="7" s="1"/>
  <c r="N31" i="5"/>
  <c r="N22" i="5" s="1"/>
  <c r="T56" i="23"/>
  <c r="T47" i="23" s="1"/>
  <c r="T76" i="23" s="1"/>
  <c r="N39" i="38"/>
  <c r="N30" i="38" s="1"/>
  <c r="R17" i="7"/>
  <c r="R10" i="7" s="1"/>
  <c r="R20" i="7" s="1"/>
  <c r="R39" i="38"/>
  <c r="R30" i="38" s="1"/>
  <c r="R20" i="33"/>
  <c r="R13" i="33" s="1"/>
  <c r="R23" i="33" s="1"/>
  <c r="R60" i="20"/>
  <c r="R34" i="17"/>
  <c r="X56" i="23"/>
  <c r="X47" i="23" s="1"/>
  <c r="X76" i="23" s="1"/>
  <c r="R31" i="5"/>
  <c r="R22" i="5" s="1"/>
  <c r="R38" i="26"/>
  <c r="R28" i="13"/>
  <c r="R49" i="22"/>
  <c r="R32" i="22" s="1"/>
  <c r="R56" i="22" s="1"/>
  <c r="Y75" i="4"/>
  <c r="R44" i="18"/>
  <c r="R18" i="8"/>
  <c r="R21" i="8" s="1"/>
  <c r="R33" i="31"/>
  <c r="R41" i="3"/>
  <c r="R38" i="25"/>
  <c r="R24" i="25" s="1"/>
  <c r="R42" i="25" s="1"/>
  <c r="P20" i="33"/>
  <c r="P13" i="33" s="1"/>
  <c r="P60" i="20"/>
  <c r="P34" i="17"/>
  <c r="V56" i="23"/>
  <c r="V47" i="23" s="1"/>
  <c r="V76" i="23" s="1"/>
  <c r="P31" i="5"/>
  <c r="P22" i="5" s="1"/>
  <c r="P49" i="22"/>
  <c r="P32" i="22" s="1"/>
  <c r="P56" i="22" s="1"/>
  <c r="P18" i="8"/>
  <c r="P39" i="38"/>
  <c r="P30" i="38" s="1"/>
  <c r="P38" i="25"/>
  <c r="P24" i="25" s="1"/>
  <c r="P42" i="25" s="1"/>
  <c r="P28" i="13"/>
  <c r="P44" i="18"/>
  <c r="P33" i="31"/>
  <c r="P38" i="26"/>
  <c r="W75" i="4"/>
  <c r="P41" i="3"/>
  <c r="P17" i="7"/>
  <c r="P10" i="7" s="1"/>
  <c r="P20" i="7" s="1"/>
  <c r="O20" i="33"/>
  <c r="O13" i="33" s="1"/>
  <c r="O23" i="33" s="1"/>
  <c r="O60" i="20"/>
  <c r="O34" i="17"/>
  <c r="U56" i="23"/>
  <c r="U47" i="23" s="1"/>
  <c r="U76" i="23" s="1"/>
  <c r="O31" i="5"/>
  <c r="O22" i="5" s="1"/>
  <c r="O18" i="8"/>
  <c r="O21" i="8" s="1"/>
  <c r="O41" i="3"/>
  <c r="O49" i="22"/>
  <c r="O32" i="22" s="1"/>
  <c r="O56" i="22" s="1"/>
  <c r="O17" i="7"/>
  <c r="O10" i="7" s="1"/>
  <c r="O20" i="7" s="1"/>
  <c r="O38" i="26"/>
  <c r="O39" i="38"/>
  <c r="O30" i="38" s="1"/>
  <c r="O28" i="13"/>
  <c r="O44" i="18"/>
  <c r="O33" i="31"/>
  <c r="V75" i="4"/>
  <c r="O38" i="25"/>
  <c r="O24" i="25" s="1"/>
  <c r="O42" i="25" s="1"/>
  <c r="M18" i="8"/>
  <c r="M41" i="3"/>
  <c r="M49" i="22"/>
  <c r="M32" i="22" s="1"/>
  <c r="M56" i="22" s="1"/>
  <c r="M60" i="20"/>
  <c r="M44" i="18"/>
  <c r="M38" i="26"/>
  <c r="S56" i="23"/>
  <c r="S47" i="23" s="1"/>
  <c r="S76" i="23" s="1"/>
  <c r="M28" i="13"/>
  <c r="M20" i="33"/>
  <c r="M13" i="33" s="1"/>
  <c r="M31" i="5"/>
  <c r="M22" i="5" s="1"/>
  <c r="M33" i="31"/>
  <c r="T75" i="4"/>
  <c r="M17" i="7"/>
  <c r="M10" i="7" s="1"/>
  <c r="M20" i="7" s="1"/>
  <c r="M38" i="25"/>
  <c r="M24" i="25" s="1"/>
  <c r="M42" i="25" s="1"/>
  <c r="M34" i="17"/>
  <c r="M39" i="38"/>
  <c r="M30" i="38" s="1"/>
  <c r="L18" i="8"/>
  <c r="L21" i="8" s="1"/>
  <c r="L41" i="3"/>
  <c r="L49" i="22"/>
  <c r="L32" i="22" s="1"/>
  <c r="L56" i="22" s="1"/>
  <c r="L28" i="13"/>
  <c r="L44" i="18"/>
  <c r="L38" i="26"/>
  <c r="L38" i="25"/>
  <c r="L24" i="25" s="1"/>
  <c r="L42" i="25" s="1"/>
  <c r="L33" i="31"/>
  <c r="S75" i="4"/>
  <c r="L60" i="20"/>
  <c r="L20" i="33"/>
  <c r="L13" i="33" s="1"/>
  <c r="L23" i="33" s="1"/>
  <c r="L34" i="17"/>
  <c r="L31" i="5"/>
  <c r="L22" i="5" s="1"/>
  <c r="R56" i="23"/>
  <c r="R47" i="23" s="1"/>
  <c r="R76" i="23" s="1"/>
  <c r="L17" i="7"/>
  <c r="L10" i="7" s="1"/>
  <c r="L20" i="7" s="1"/>
  <c r="L39" i="38"/>
  <c r="L30" i="38" s="1"/>
  <c r="J49" i="22"/>
  <c r="J32" i="22" s="1"/>
  <c r="J56" i="22" s="1"/>
  <c r="J28" i="13"/>
  <c r="J44" i="18"/>
  <c r="J38" i="26"/>
  <c r="J38" i="25"/>
  <c r="J24" i="25" s="1"/>
  <c r="J42" i="25" s="1"/>
  <c r="J33" i="31"/>
  <c r="Q75" i="4"/>
  <c r="J41" i="3"/>
  <c r="J20" i="33"/>
  <c r="J13" i="33" s="1"/>
  <c r="J39" i="38"/>
  <c r="J30" i="38" s="1"/>
  <c r="J18" i="8"/>
  <c r="P56" i="23"/>
  <c r="P47" i="23" s="1"/>
  <c r="P76" i="23" s="1"/>
  <c r="J17" i="7"/>
  <c r="J10" i="7" s="1"/>
  <c r="J20" i="7" s="1"/>
  <c r="J34" i="17"/>
  <c r="J60" i="20"/>
  <c r="J31" i="5"/>
  <c r="J22" i="5" s="1"/>
  <c r="G49" i="22"/>
  <c r="G32" i="22" s="1"/>
  <c r="G56" i="22" s="1"/>
  <c r="G28" i="13"/>
  <c r="G44" i="18"/>
  <c r="G38" i="26"/>
  <c r="G38" i="25"/>
  <c r="G24" i="25" s="1"/>
  <c r="G42" i="25" s="1"/>
  <c r="G33" i="31"/>
  <c r="N75" i="4"/>
  <c r="G17" i="7"/>
  <c r="G10" i="7" s="1"/>
  <c r="G20" i="7" s="1"/>
  <c r="M56" i="23"/>
  <c r="M47" i="23" s="1"/>
  <c r="M76" i="23" s="1"/>
  <c r="G34" i="17"/>
  <c r="G18" i="8"/>
  <c r="G60" i="20"/>
  <c r="G39" i="20" s="1"/>
  <c r="G20" i="33"/>
  <c r="G13" i="33" s="1"/>
  <c r="G41" i="3"/>
  <c r="G39" i="38"/>
  <c r="G30" i="38" s="1"/>
  <c r="G31" i="5"/>
  <c r="G22" i="5" s="1"/>
  <c r="I49" i="22"/>
  <c r="I32" i="22" s="1"/>
  <c r="I56" i="22" s="1"/>
  <c r="I28" i="13"/>
  <c r="I44" i="18"/>
  <c r="I38" i="26"/>
  <c r="I38" i="25"/>
  <c r="I24" i="25" s="1"/>
  <c r="I42" i="25" s="1"/>
  <c r="I33" i="31"/>
  <c r="P75" i="4"/>
  <c r="I17" i="7"/>
  <c r="I10" i="7" s="1"/>
  <c r="I20" i="7" s="1"/>
  <c r="I39" i="38"/>
  <c r="I30" i="38" s="1"/>
  <c r="I41" i="3"/>
  <c r="I20" i="33"/>
  <c r="I13" i="33" s="1"/>
  <c r="I23" i="33" s="1"/>
  <c r="I31" i="5"/>
  <c r="I22" i="5" s="1"/>
  <c r="I60" i="20"/>
  <c r="I18" i="8"/>
  <c r="I21" i="8" s="1"/>
  <c r="O56" i="23"/>
  <c r="O47" i="23" s="1"/>
  <c r="O76" i="23" s="1"/>
  <c r="I34" i="17"/>
  <c r="T49" i="22"/>
  <c r="T32" i="22" s="1"/>
  <c r="T56" i="22" s="1"/>
  <c r="T28" i="13"/>
  <c r="T44" i="18"/>
  <c r="T17" i="7"/>
  <c r="T10" i="7" s="1"/>
  <c r="T20" i="7" s="1"/>
  <c r="T39" i="38"/>
  <c r="T30" i="38" s="1"/>
  <c r="T20" i="33"/>
  <c r="T13" i="33" s="1"/>
  <c r="T23" i="33" s="1"/>
  <c r="T60" i="20"/>
  <c r="T34" i="17"/>
  <c r="Z56" i="23"/>
  <c r="Z47" i="23" s="1"/>
  <c r="Z76" i="23" s="1"/>
  <c r="T31" i="5"/>
  <c r="T22" i="5" s="1"/>
  <c r="T38" i="25"/>
  <c r="T24" i="25" s="1"/>
  <c r="T42" i="25" s="1"/>
  <c r="T38" i="26"/>
  <c r="T41" i="3"/>
  <c r="T18" i="8"/>
  <c r="T21" i="8" s="1"/>
  <c r="T33" i="31"/>
  <c r="AA75" i="4"/>
  <c r="H49" i="22"/>
  <c r="H32" i="22" s="1"/>
  <c r="H56" i="22" s="1"/>
  <c r="H28" i="13"/>
  <c r="H44" i="18"/>
  <c r="H17" i="7"/>
  <c r="H10" i="7" s="1"/>
  <c r="H20" i="7" s="1"/>
  <c r="H39" i="38"/>
  <c r="H30" i="38" s="1"/>
  <c r="H20" i="33"/>
  <c r="H13" i="33" s="1"/>
  <c r="H23" i="33" s="1"/>
  <c r="H60" i="20"/>
  <c r="H34" i="17"/>
  <c r="N56" i="23"/>
  <c r="N47" i="23" s="1"/>
  <c r="N76" i="23" s="1"/>
  <c r="H31" i="5"/>
  <c r="H22" i="5" s="1"/>
  <c r="H41" i="3"/>
  <c r="O75" i="4"/>
  <c r="H18" i="8"/>
  <c r="H21" i="8" s="1"/>
  <c r="H33" i="31"/>
  <c r="H38" i="26"/>
  <c r="H38" i="25"/>
  <c r="H24" i="25" s="1"/>
  <c r="H42" i="25" s="1"/>
  <c r="S17" i="7"/>
  <c r="S10" i="7" s="1"/>
  <c r="S20" i="7" s="1"/>
  <c r="S39" i="38"/>
  <c r="S30" i="38" s="1"/>
  <c r="S38" i="26"/>
  <c r="S28" i="13"/>
  <c r="S60" i="20"/>
  <c r="S20" i="33"/>
  <c r="S13" i="33" s="1"/>
  <c r="S31" i="5"/>
  <c r="S22" i="5" s="1"/>
  <c r="Z75" i="4"/>
  <c r="S38" i="25"/>
  <c r="S24" i="25" s="1"/>
  <c r="S42" i="25" s="1"/>
  <c r="S18" i="8"/>
  <c r="S49" i="22"/>
  <c r="S32" i="22" s="1"/>
  <c r="S56" i="22" s="1"/>
  <c r="S44" i="18"/>
  <c r="S33" i="31"/>
  <c r="Y56" i="23"/>
  <c r="Y47" i="23" s="1"/>
  <c r="Y76" i="23" s="1"/>
  <c r="S34" i="17"/>
  <c r="S41" i="3"/>
  <c r="X18" i="1"/>
  <c r="V18" i="1"/>
  <c r="Y18" i="1"/>
  <c r="W18" i="1"/>
  <c r="AH18" i="1"/>
  <c r="Y19" i="1"/>
  <c r="V19" i="1"/>
  <c r="AH19" i="1"/>
  <c r="X19" i="1"/>
  <c r="W19" i="1"/>
  <c r="V16" i="1"/>
  <c r="AB16" i="1"/>
  <c r="W16" i="1"/>
  <c r="Y16" i="1"/>
  <c r="AA16" i="1"/>
  <c r="Z16" i="1"/>
  <c r="X16" i="1"/>
  <c r="V15" i="1"/>
  <c r="AB15" i="1"/>
  <c r="W15" i="1"/>
  <c r="Y15" i="1"/>
  <c r="AA15" i="1"/>
  <c r="Z15" i="1"/>
  <c r="X15" i="1"/>
  <c r="V29" i="1"/>
  <c r="Z29" i="1"/>
  <c r="AB29" i="1"/>
  <c r="W29" i="1"/>
  <c r="Y29" i="1"/>
  <c r="AA29" i="1"/>
  <c r="X29" i="1"/>
  <c r="AB26" i="1"/>
  <c r="W26" i="1"/>
  <c r="Y26" i="1"/>
  <c r="AA26" i="1"/>
  <c r="Z26" i="1"/>
  <c r="X26" i="1"/>
  <c r="V28" i="1"/>
  <c r="Z28" i="1"/>
  <c r="AB28" i="1"/>
  <c r="W28" i="1"/>
  <c r="Y28" i="1"/>
  <c r="AA28" i="1"/>
  <c r="X28" i="1"/>
  <c r="V13" i="1"/>
  <c r="Y13" i="1"/>
  <c r="AA13" i="1"/>
  <c r="X13" i="1"/>
  <c r="Z13" i="1"/>
  <c r="AB13" i="1"/>
  <c r="W13" i="1"/>
  <c r="V27" i="1"/>
  <c r="AB27" i="1"/>
  <c r="W27" i="1"/>
  <c r="Y27" i="1"/>
  <c r="AA27" i="1"/>
  <c r="Z27" i="1"/>
  <c r="X27" i="1"/>
  <c r="V12" i="1"/>
  <c r="Y12" i="1"/>
  <c r="AA12" i="1"/>
  <c r="X12" i="1"/>
  <c r="Z12" i="1"/>
  <c r="AB12" i="1"/>
  <c r="W12" i="1"/>
  <c r="V11" i="1"/>
  <c r="AA11" i="1"/>
  <c r="X11" i="1"/>
  <c r="Z11" i="1"/>
  <c r="AB11" i="1"/>
  <c r="Y11" i="1"/>
  <c r="W11" i="1"/>
  <c r="V25" i="1"/>
  <c r="W25" i="1"/>
  <c r="Y25" i="1"/>
  <c r="AA25" i="1"/>
  <c r="AB25" i="1"/>
  <c r="Z25" i="1"/>
  <c r="X25" i="1"/>
  <c r="V10" i="1"/>
  <c r="AA10" i="1"/>
  <c r="X10" i="1"/>
  <c r="AB10" i="1"/>
  <c r="Z10" i="1"/>
  <c r="Y10" i="1"/>
  <c r="W10" i="1"/>
  <c r="V2" i="1"/>
  <c r="X2" i="1"/>
  <c r="Z2" i="1"/>
  <c r="AB2" i="1"/>
  <c r="W2" i="1"/>
  <c r="AA2" i="1"/>
  <c r="Y2" i="1"/>
  <c r="V24" i="1"/>
  <c r="Y24" i="1"/>
  <c r="AA24" i="1"/>
  <c r="X24" i="1"/>
  <c r="AB24" i="1"/>
  <c r="Z24" i="1"/>
  <c r="W24" i="1"/>
  <c r="V8" i="1"/>
  <c r="X8" i="1"/>
  <c r="Z8" i="1"/>
  <c r="AB8" i="1"/>
  <c r="W8" i="1"/>
  <c r="AA8" i="1"/>
  <c r="Y8" i="1"/>
  <c r="V23" i="1"/>
  <c r="AA23" i="1"/>
  <c r="X23" i="1"/>
  <c r="Z23" i="1"/>
  <c r="AB23" i="1"/>
  <c r="Y23" i="1"/>
  <c r="W23" i="1"/>
  <c r="V6" i="1"/>
  <c r="Z6" i="1"/>
  <c r="W6" i="1"/>
  <c r="Y6" i="1"/>
  <c r="AB6" i="1"/>
  <c r="X6" i="1"/>
  <c r="AA6" i="1"/>
  <c r="V22" i="1"/>
  <c r="AA22" i="1"/>
  <c r="X22" i="1"/>
  <c r="AB22" i="1"/>
  <c r="Z22" i="1"/>
  <c r="Y22" i="1"/>
  <c r="W22" i="1"/>
  <c r="V4" i="1"/>
  <c r="AB4" i="1"/>
  <c r="W4" i="1"/>
  <c r="Y4" i="1"/>
  <c r="AA4" i="1"/>
  <c r="Z4" i="1"/>
  <c r="X4" i="1"/>
  <c r="V21" i="1"/>
  <c r="X21" i="1"/>
  <c r="Z21" i="1"/>
  <c r="AB21" i="1"/>
  <c r="AA21" i="1"/>
  <c r="Y21" i="1"/>
  <c r="W21" i="1"/>
  <c r="V3" i="1"/>
  <c r="AB3" i="1"/>
  <c r="W3" i="1"/>
  <c r="Y3" i="1"/>
  <c r="AA3" i="1"/>
  <c r="Z3" i="1"/>
  <c r="X3" i="1"/>
  <c r="V5" i="1"/>
  <c r="Z5" i="1"/>
  <c r="AB5" i="1"/>
  <c r="W5" i="1"/>
  <c r="Y5" i="1"/>
  <c r="X5" i="1"/>
  <c r="AA5" i="1"/>
  <c r="Z18" i="1"/>
  <c r="AB18" i="1"/>
  <c r="AA18" i="1"/>
  <c r="Z19" i="1"/>
  <c r="AB19" i="1"/>
  <c r="AA19" i="1"/>
  <c r="V17" i="1"/>
  <c r="Z17" i="1"/>
  <c r="AB17" i="1"/>
  <c r="W17" i="1"/>
  <c r="Y17" i="1"/>
  <c r="AA17" i="1"/>
  <c r="X17" i="1"/>
  <c r="V26" i="1"/>
  <c r="T7" i="1"/>
  <c r="T20" i="1"/>
  <c r="B13" i="31"/>
  <c r="B15" i="31" s="1"/>
  <c r="B21" i="20"/>
  <c r="T9" i="1"/>
  <c r="AH9" i="1" s="1"/>
  <c r="Q24" i="3" l="1"/>
  <c r="Q44" i="3" s="1"/>
  <c r="Q26" i="3"/>
  <c r="Q46" i="3" s="1"/>
  <c r="Q29" i="3"/>
  <c r="Q49" i="3" s="1"/>
  <c r="Q27" i="3"/>
  <c r="Q47" i="3" s="1"/>
  <c r="Q28" i="3"/>
  <c r="Q48" i="3" s="1"/>
  <c r="Q31" i="3"/>
  <c r="Q51" i="3" s="1"/>
  <c r="Q25" i="3"/>
  <c r="Q45" i="3" s="1"/>
  <c r="Q32" i="3"/>
  <c r="Q52" i="3" s="1"/>
  <c r="Q30" i="3"/>
  <c r="Q50" i="3" s="1"/>
  <c r="J48" i="26"/>
  <c r="J29" i="26"/>
  <c r="J49" i="26" s="1"/>
  <c r="O24" i="3"/>
  <c r="O44" i="3" s="1"/>
  <c r="O29" i="3"/>
  <c r="O49" i="3" s="1"/>
  <c r="O27" i="3"/>
  <c r="O47" i="3" s="1"/>
  <c r="O28" i="3"/>
  <c r="O48" i="3" s="1"/>
  <c r="O32" i="3"/>
  <c r="O52" i="3" s="1"/>
  <c r="O25" i="3"/>
  <c r="O45" i="3" s="1"/>
  <c r="O26" i="3"/>
  <c r="O46" i="3" s="1"/>
  <c r="O30" i="3"/>
  <c r="O50" i="3" s="1"/>
  <c r="O31" i="3"/>
  <c r="O51" i="3" s="1"/>
  <c r="R24" i="3"/>
  <c r="R44" i="3" s="1"/>
  <c r="R26" i="3"/>
  <c r="R46" i="3" s="1"/>
  <c r="R29" i="3"/>
  <c r="R49" i="3" s="1"/>
  <c r="R27" i="3"/>
  <c r="R47" i="3" s="1"/>
  <c r="R28" i="3"/>
  <c r="R48" i="3" s="1"/>
  <c r="R31" i="3"/>
  <c r="R51" i="3" s="1"/>
  <c r="R25" i="3"/>
  <c r="R45" i="3" s="1"/>
  <c r="R32" i="3"/>
  <c r="R52" i="3" s="1"/>
  <c r="R30" i="3"/>
  <c r="R50" i="3" s="1"/>
  <c r="N48" i="26"/>
  <c r="N29" i="26"/>
  <c r="N31" i="26" s="1"/>
  <c r="I24" i="3"/>
  <c r="I32" i="3"/>
  <c r="I52" i="3" s="1"/>
  <c r="I31" i="3"/>
  <c r="I51" i="3" s="1"/>
  <c r="I30" i="3"/>
  <c r="I50" i="3" s="1"/>
  <c r="I27" i="3"/>
  <c r="I47" i="3" s="1"/>
  <c r="I26" i="3"/>
  <c r="I46" i="3" s="1"/>
  <c r="I25" i="3"/>
  <c r="I45" i="3" s="1"/>
  <c r="I29" i="3"/>
  <c r="I49" i="3" s="1"/>
  <c r="I28" i="3"/>
  <c r="I48" i="3" s="1"/>
  <c r="G48" i="26"/>
  <c r="G29" i="26"/>
  <c r="G49" i="26" s="1"/>
  <c r="G51" i="26" s="1"/>
  <c r="S28" i="26"/>
  <c r="S29" i="26"/>
  <c r="S49" i="26" s="1"/>
  <c r="T24" i="3"/>
  <c r="T44" i="3" s="1"/>
  <c r="T30" i="3"/>
  <c r="T50" i="3" s="1"/>
  <c r="T26" i="3"/>
  <c r="T46" i="3" s="1"/>
  <c r="T29" i="3"/>
  <c r="T49" i="3" s="1"/>
  <c r="T27" i="3"/>
  <c r="T47" i="3" s="1"/>
  <c r="T25" i="3"/>
  <c r="T45" i="3" s="1"/>
  <c r="T31" i="3"/>
  <c r="T51" i="3" s="1"/>
  <c r="T32" i="3"/>
  <c r="T52" i="3" s="1"/>
  <c r="T28" i="3"/>
  <c r="T48" i="3" s="1"/>
  <c r="P24" i="3"/>
  <c r="P44" i="3" s="1"/>
  <c r="P29" i="3"/>
  <c r="P49" i="3" s="1"/>
  <c r="P27" i="3"/>
  <c r="P47" i="3" s="1"/>
  <c r="P32" i="3"/>
  <c r="P52" i="3" s="1"/>
  <c r="P28" i="3"/>
  <c r="P48" i="3" s="1"/>
  <c r="P31" i="3"/>
  <c r="P51" i="3" s="1"/>
  <c r="P26" i="3"/>
  <c r="P46" i="3" s="1"/>
  <c r="P30" i="3"/>
  <c r="P50" i="3" s="1"/>
  <c r="P25" i="3"/>
  <c r="P45" i="3" s="1"/>
  <c r="R48" i="26"/>
  <c r="R29" i="26"/>
  <c r="R49" i="26" s="1"/>
  <c r="R51" i="26" s="1"/>
  <c r="T28" i="26"/>
  <c r="T29" i="26"/>
  <c r="T49" i="26" s="1"/>
  <c r="N24" i="3"/>
  <c r="N44" i="3" s="1"/>
  <c r="N27" i="3"/>
  <c r="N47" i="3" s="1"/>
  <c r="N28" i="3"/>
  <c r="N48" i="3" s="1"/>
  <c r="N32" i="3"/>
  <c r="N52" i="3" s="1"/>
  <c r="N25" i="3"/>
  <c r="N45" i="3" s="1"/>
  <c r="N29" i="3"/>
  <c r="N49" i="3" s="1"/>
  <c r="N26" i="3"/>
  <c r="N46" i="3" s="1"/>
  <c r="N30" i="3"/>
  <c r="N50" i="3" s="1"/>
  <c r="N31" i="3"/>
  <c r="N51" i="3" s="1"/>
  <c r="M48" i="26"/>
  <c r="M29" i="26"/>
  <c r="M31" i="26" s="1"/>
  <c r="K24" i="3"/>
  <c r="K28" i="3"/>
  <c r="K48" i="3" s="1"/>
  <c r="K32" i="3"/>
  <c r="K52" i="3" s="1"/>
  <c r="K31" i="3"/>
  <c r="K51" i="3" s="1"/>
  <c r="K29" i="3"/>
  <c r="K49" i="3" s="1"/>
  <c r="K26" i="3"/>
  <c r="K46" i="3" s="1"/>
  <c r="K30" i="3"/>
  <c r="K50" i="3" s="1"/>
  <c r="K25" i="3"/>
  <c r="K45" i="3" s="1"/>
  <c r="K27" i="3"/>
  <c r="K47" i="3" s="1"/>
  <c r="P48" i="26"/>
  <c r="P29" i="26"/>
  <c r="P49" i="26" s="1"/>
  <c r="P51" i="26" s="1"/>
  <c r="I48" i="26"/>
  <c r="I29" i="26"/>
  <c r="M24" i="3"/>
  <c r="M27" i="3"/>
  <c r="M47" i="3" s="1"/>
  <c r="M28" i="3"/>
  <c r="M48" i="3" s="1"/>
  <c r="M32" i="3"/>
  <c r="M52" i="3" s="1"/>
  <c r="M29" i="3"/>
  <c r="M49" i="3" s="1"/>
  <c r="M26" i="3"/>
  <c r="M46" i="3" s="1"/>
  <c r="M30" i="3"/>
  <c r="M50" i="3" s="1"/>
  <c r="M31" i="3"/>
  <c r="M51" i="3" s="1"/>
  <c r="M25" i="3"/>
  <c r="M45" i="3" s="1"/>
  <c r="O48" i="26"/>
  <c r="O29" i="26"/>
  <c r="O49" i="26" s="1"/>
  <c r="H48" i="26"/>
  <c r="H29" i="26"/>
  <c r="H31" i="26" s="1"/>
  <c r="L48" i="26"/>
  <c r="L29" i="26"/>
  <c r="L31" i="26" s="1"/>
  <c r="Q48" i="26"/>
  <c r="Q29" i="26"/>
  <c r="Q31" i="26" s="1"/>
  <c r="H24" i="3"/>
  <c r="H32" i="3"/>
  <c r="H52" i="3" s="1"/>
  <c r="H31" i="3"/>
  <c r="H51" i="3" s="1"/>
  <c r="H25" i="3"/>
  <c r="H45" i="3" s="1"/>
  <c r="H26" i="3"/>
  <c r="H46" i="3" s="1"/>
  <c r="H30" i="3"/>
  <c r="H50" i="3" s="1"/>
  <c r="H29" i="3"/>
  <c r="H49" i="3" s="1"/>
  <c r="H28" i="3"/>
  <c r="H48" i="3" s="1"/>
  <c r="H27" i="3"/>
  <c r="H47" i="3" s="1"/>
  <c r="K48" i="26"/>
  <c r="K29" i="26"/>
  <c r="K31" i="26" s="1"/>
  <c r="S24" i="3"/>
  <c r="S26" i="3"/>
  <c r="S46" i="3" s="1"/>
  <c r="S29" i="3"/>
  <c r="S49" i="3" s="1"/>
  <c r="S27" i="3"/>
  <c r="S47" i="3" s="1"/>
  <c r="S25" i="3"/>
  <c r="S45" i="3" s="1"/>
  <c r="S31" i="3"/>
  <c r="S51" i="3" s="1"/>
  <c r="S32" i="3"/>
  <c r="S52" i="3" s="1"/>
  <c r="S28" i="3"/>
  <c r="S48" i="3" s="1"/>
  <c r="S30" i="3"/>
  <c r="S50" i="3" s="1"/>
  <c r="G33" i="3"/>
  <c r="G32" i="3"/>
  <c r="G52" i="3" s="1"/>
  <c r="G31" i="3"/>
  <c r="G51" i="3" s="1"/>
  <c r="G30" i="3"/>
  <c r="G50" i="3" s="1"/>
  <c r="G29" i="3"/>
  <c r="G49" i="3" s="1"/>
  <c r="G28" i="3"/>
  <c r="G48" i="3" s="1"/>
  <c r="G27" i="3"/>
  <c r="G47" i="3" s="1"/>
  <c r="G26" i="3"/>
  <c r="G46" i="3" s="1"/>
  <c r="G25" i="3"/>
  <c r="G45" i="3" s="1"/>
  <c r="G24" i="3"/>
  <c r="G44" i="3" s="1"/>
  <c r="J24" i="3"/>
  <c r="J44" i="3" s="1"/>
  <c r="J28" i="3"/>
  <c r="J48" i="3" s="1"/>
  <c r="J32" i="3"/>
  <c r="J52" i="3" s="1"/>
  <c r="J31" i="3"/>
  <c r="J51" i="3" s="1"/>
  <c r="J29" i="3"/>
  <c r="J49" i="3" s="1"/>
  <c r="J26" i="3"/>
  <c r="J46" i="3" s="1"/>
  <c r="J27" i="3"/>
  <c r="J47" i="3" s="1"/>
  <c r="J30" i="3"/>
  <c r="J50" i="3" s="1"/>
  <c r="J25" i="3"/>
  <c r="J45" i="3" s="1"/>
  <c r="L24" i="3"/>
  <c r="L28" i="3"/>
  <c r="L48" i="3" s="1"/>
  <c r="L32" i="3"/>
  <c r="L52" i="3" s="1"/>
  <c r="L29" i="3"/>
  <c r="L49" i="3" s="1"/>
  <c r="L27" i="3"/>
  <c r="L47" i="3" s="1"/>
  <c r="L26" i="3"/>
  <c r="L46" i="3" s="1"/>
  <c r="L30" i="3"/>
  <c r="L50" i="3" s="1"/>
  <c r="L25" i="3"/>
  <c r="L45" i="3" s="1"/>
  <c r="L31" i="3"/>
  <c r="L51" i="3" s="1"/>
  <c r="L51" i="20"/>
  <c r="L79" i="20" s="1"/>
  <c r="L42" i="20"/>
  <c r="L70" i="20" s="1"/>
  <c r="L44" i="20"/>
  <c r="L72" i="20" s="1"/>
  <c r="L40" i="20"/>
  <c r="L68" i="20" s="1"/>
  <c r="L41" i="20"/>
  <c r="L69" i="20" s="1"/>
  <c r="L45" i="20"/>
  <c r="L73" i="20" s="1"/>
  <c r="L43" i="20"/>
  <c r="L71" i="20" s="1"/>
  <c r="L39" i="20"/>
  <c r="J34" i="5"/>
  <c r="J36" i="5" s="1"/>
  <c r="J24" i="5"/>
  <c r="L25" i="31"/>
  <c r="L38" i="31" s="1"/>
  <c r="L24" i="31"/>
  <c r="T46" i="4"/>
  <c r="T84" i="4" s="1"/>
  <c r="T48" i="4"/>
  <c r="T86" i="4" s="1"/>
  <c r="T50" i="4"/>
  <c r="T88" i="4" s="1"/>
  <c r="T49" i="4"/>
  <c r="T87" i="4" s="1"/>
  <c r="T45" i="4"/>
  <c r="T83" i="4" s="1"/>
  <c r="T41" i="4"/>
  <c r="T79" i="4" s="1"/>
  <c r="T43" i="4"/>
  <c r="T81" i="4" s="1"/>
  <c r="T40" i="4"/>
  <c r="T44" i="4"/>
  <c r="T82" i="4" s="1"/>
  <c r="T47" i="4"/>
  <c r="T85" i="4" s="1"/>
  <c r="T42" i="4"/>
  <c r="T80" i="4" s="1"/>
  <c r="O27" i="25"/>
  <c r="O45" i="25" s="1"/>
  <c r="O26" i="25"/>
  <c r="O44" i="25" s="1"/>
  <c r="O25" i="25"/>
  <c r="O43" i="25" s="1"/>
  <c r="O23" i="25"/>
  <c r="U42" i="23"/>
  <c r="U71" i="23" s="1"/>
  <c r="U30" i="23"/>
  <c r="U32" i="23"/>
  <c r="U61" i="23" s="1"/>
  <c r="U37" i="23"/>
  <c r="U66" i="23" s="1"/>
  <c r="U36" i="23"/>
  <c r="U65" i="23" s="1"/>
  <c r="U46" i="23"/>
  <c r="U75" i="23" s="1"/>
  <c r="U41" i="23"/>
  <c r="U70" i="23" s="1"/>
  <c r="U35" i="23"/>
  <c r="U64" i="23" s="1"/>
  <c r="U34" i="23"/>
  <c r="U63" i="23" s="1"/>
  <c r="U33" i="23"/>
  <c r="U62" i="23" s="1"/>
  <c r="U39" i="23"/>
  <c r="U68" i="23" s="1"/>
  <c r="U45" i="23"/>
  <c r="U74" i="23" s="1"/>
  <c r="U40" i="23"/>
  <c r="U69" i="23" s="1"/>
  <c r="P44" i="38"/>
  <c r="P45" i="38" s="1"/>
  <c r="P31" i="38"/>
  <c r="R30" i="18"/>
  <c r="R50" i="18" s="1"/>
  <c r="R27" i="18"/>
  <c r="R28" i="18"/>
  <c r="R48" i="18" s="1"/>
  <c r="R35" i="18"/>
  <c r="R55" i="18" s="1"/>
  <c r="R29" i="18"/>
  <c r="R49" i="18" s="1"/>
  <c r="N44" i="38"/>
  <c r="N45" i="38" s="1"/>
  <c r="N31" i="38"/>
  <c r="Q19" i="13"/>
  <c r="Q33" i="13" s="1"/>
  <c r="Q17" i="13"/>
  <c r="G51" i="20"/>
  <c r="G79" i="20" s="1"/>
  <c r="G43" i="20"/>
  <c r="G71" i="20" s="1"/>
  <c r="G44" i="20"/>
  <c r="G72" i="20" s="1"/>
  <c r="G42" i="20"/>
  <c r="G70" i="20" s="1"/>
  <c r="G41" i="20"/>
  <c r="G69" i="20" s="1"/>
  <c r="G40" i="20"/>
  <c r="G68" i="20" s="1"/>
  <c r="G45" i="20"/>
  <c r="G73" i="20" s="1"/>
  <c r="T35" i="18"/>
  <c r="T55" i="18" s="1"/>
  <c r="T29" i="18"/>
  <c r="T49" i="18" s="1"/>
  <c r="T28" i="18"/>
  <c r="T48" i="18" s="1"/>
  <c r="T30" i="18"/>
  <c r="T50" i="18" s="1"/>
  <c r="T27" i="18"/>
  <c r="M24" i="31"/>
  <c r="M25" i="31"/>
  <c r="M38" i="31" s="1"/>
  <c r="P21" i="8"/>
  <c r="R23" i="8" s="1"/>
  <c r="R12" i="8"/>
  <c r="Y44" i="4"/>
  <c r="Y82" i="4" s="1"/>
  <c r="Y48" i="4"/>
  <c r="Y86" i="4" s="1"/>
  <c r="Y43" i="4"/>
  <c r="Y81" i="4" s="1"/>
  <c r="Y49" i="4"/>
  <c r="Y87" i="4" s="1"/>
  <c r="Y50" i="4"/>
  <c r="Y88" i="4" s="1"/>
  <c r="Y41" i="4"/>
  <c r="Y79" i="4" s="1"/>
  <c r="Y45" i="4"/>
  <c r="Y83" i="4" s="1"/>
  <c r="Y46" i="4"/>
  <c r="Y84" i="4" s="1"/>
  <c r="Y40" i="4"/>
  <c r="Y47" i="4"/>
  <c r="Y85" i="4" s="1"/>
  <c r="Y42" i="4"/>
  <c r="Y80" i="4" s="1"/>
  <c r="T35" i="23"/>
  <c r="T64" i="23" s="1"/>
  <c r="T30" i="23"/>
  <c r="T32" i="23"/>
  <c r="T61" i="23" s="1"/>
  <c r="T42" i="23"/>
  <c r="T71" i="23" s="1"/>
  <c r="T37" i="23"/>
  <c r="T66" i="23" s="1"/>
  <c r="T36" i="23"/>
  <c r="T65" i="23" s="1"/>
  <c r="T33" i="23"/>
  <c r="T62" i="23" s="1"/>
  <c r="T39" i="23"/>
  <c r="T68" i="23" s="1"/>
  <c r="T45" i="23"/>
  <c r="T74" i="23" s="1"/>
  <c r="T41" i="23"/>
  <c r="T70" i="23" s="1"/>
  <c r="T40" i="23"/>
  <c r="T69" i="23" s="1"/>
  <c r="T46" i="23"/>
  <c r="T75" i="23" s="1"/>
  <c r="T34" i="23"/>
  <c r="T63" i="23" s="1"/>
  <c r="N21" i="17"/>
  <c r="N40" i="17" s="1"/>
  <c r="N24" i="17"/>
  <c r="N43" i="17" s="1"/>
  <c r="N23" i="17"/>
  <c r="N42" i="17" s="1"/>
  <c r="N20" i="17"/>
  <c r="N39" i="17" s="1"/>
  <c r="N19" i="17"/>
  <c r="N26" i="17"/>
  <c r="N45" i="17" s="1"/>
  <c r="N25" i="17"/>
  <c r="N44" i="17" s="1"/>
  <c r="K43" i="20"/>
  <c r="K71" i="20" s="1"/>
  <c r="K51" i="20"/>
  <c r="K79" i="20" s="1"/>
  <c r="K40" i="20"/>
  <c r="K68" i="20" s="1"/>
  <c r="K44" i="20"/>
  <c r="K72" i="20" s="1"/>
  <c r="K39" i="20"/>
  <c r="K42" i="20"/>
  <c r="K70" i="20" s="1"/>
  <c r="K45" i="20"/>
  <c r="K73" i="20" s="1"/>
  <c r="K41" i="20"/>
  <c r="K69" i="20" s="1"/>
  <c r="T19" i="13"/>
  <c r="T33" i="13" s="1"/>
  <c r="T17" i="13"/>
  <c r="I25" i="31"/>
  <c r="I38" i="31" s="1"/>
  <c r="I24" i="31"/>
  <c r="G24" i="17"/>
  <c r="G43" i="17" s="1"/>
  <c r="G20" i="17"/>
  <c r="G39" i="17" s="1"/>
  <c r="G23" i="17"/>
  <c r="G42" i="17" s="1"/>
  <c r="G19" i="17"/>
  <c r="G26" i="17"/>
  <c r="G45" i="17" s="1"/>
  <c r="G21" i="17"/>
  <c r="G40" i="17" s="1"/>
  <c r="G25" i="17"/>
  <c r="G44" i="17" s="1"/>
  <c r="J19" i="17"/>
  <c r="J21" i="17"/>
  <c r="J40" i="17" s="1"/>
  <c r="J26" i="17"/>
  <c r="J45" i="17" s="1"/>
  <c r="J25" i="17"/>
  <c r="J44" i="17" s="1"/>
  <c r="J23" i="17"/>
  <c r="J42" i="17" s="1"/>
  <c r="J20" i="17"/>
  <c r="J39" i="17" s="1"/>
  <c r="J24" i="17"/>
  <c r="J43" i="17" s="1"/>
  <c r="J17" i="13"/>
  <c r="J19" i="13"/>
  <c r="J33" i="13" s="1"/>
  <c r="L49" i="26"/>
  <c r="L51" i="26" s="1"/>
  <c r="M34" i="5"/>
  <c r="M36" i="5" s="1"/>
  <c r="M24" i="5"/>
  <c r="O24" i="31"/>
  <c r="O25" i="31"/>
  <c r="O38" i="31" s="1"/>
  <c r="O41" i="20"/>
  <c r="O69" i="20" s="1"/>
  <c r="O40" i="20"/>
  <c r="O68" i="20" s="1"/>
  <c r="O45" i="20"/>
  <c r="O73" i="20" s="1"/>
  <c r="O51" i="20"/>
  <c r="O79" i="20" s="1"/>
  <c r="O44" i="20"/>
  <c r="O72" i="20" s="1"/>
  <c r="O39" i="20"/>
  <c r="O43" i="20"/>
  <c r="O71" i="20" s="1"/>
  <c r="O42" i="20"/>
  <c r="O70" i="20" s="1"/>
  <c r="P36" i="22"/>
  <c r="P60" i="22" s="1"/>
  <c r="P37" i="22"/>
  <c r="P61" i="22" s="1"/>
  <c r="P30" i="22"/>
  <c r="P54" i="22" s="1"/>
  <c r="P39" i="22"/>
  <c r="P63" i="22" s="1"/>
  <c r="P38" i="22"/>
  <c r="P62" i="22" s="1"/>
  <c r="P29" i="22"/>
  <c r="P34" i="22"/>
  <c r="P58" i="22" s="1"/>
  <c r="P33" i="22"/>
  <c r="P57" i="22" s="1"/>
  <c r="P35" i="22"/>
  <c r="P59" i="22" s="1"/>
  <c r="P40" i="22"/>
  <c r="P64" i="22" s="1"/>
  <c r="R37" i="22"/>
  <c r="R61" i="22" s="1"/>
  <c r="R39" i="22"/>
  <c r="R63" i="22" s="1"/>
  <c r="R38" i="22"/>
  <c r="R62" i="22" s="1"/>
  <c r="R33" i="22"/>
  <c r="R57" i="22" s="1"/>
  <c r="R40" i="22"/>
  <c r="R64" i="22" s="1"/>
  <c r="R30" i="22"/>
  <c r="R54" i="22" s="1"/>
  <c r="R29" i="22"/>
  <c r="R35" i="22"/>
  <c r="R59" i="22" s="1"/>
  <c r="R34" i="22"/>
  <c r="R58" i="22" s="1"/>
  <c r="R36" i="22"/>
  <c r="R60" i="22" s="1"/>
  <c r="N24" i="5"/>
  <c r="N34" i="5"/>
  <c r="N36" i="5" s="1"/>
  <c r="N40" i="20"/>
  <c r="N68" i="20" s="1"/>
  <c r="N44" i="20"/>
  <c r="N72" i="20" s="1"/>
  <c r="N45" i="20"/>
  <c r="N73" i="20" s="1"/>
  <c r="N41" i="20"/>
  <c r="N69" i="20" s="1"/>
  <c r="N51" i="20"/>
  <c r="N79" i="20" s="1"/>
  <c r="N39" i="20"/>
  <c r="N43" i="20"/>
  <c r="N71" i="20" s="1"/>
  <c r="N42" i="20"/>
  <c r="N70" i="20" s="1"/>
  <c r="K44" i="38"/>
  <c r="K45" i="38" s="1"/>
  <c r="K31" i="38"/>
  <c r="S38" i="22"/>
  <c r="S62" i="22" s="1"/>
  <c r="S39" i="22"/>
  <c r="S63" i="22" s="1"/>
  <c r="S36" i="22"/>
  <c r="S60" i="22" s="1"/>
  <c r="S37" i="22"/>
  <c r="S61" i="22" s="1"/>
  <c r="S40" i="22"/>
  <c r="S64" i="22" s="1"/>
  <c r="S35" i="22"/>
  <c r="S59" i="22" s="1"/>
  <c r="S30" i="22"/>
  <c r="S54" i="22" s="1"/>
  <c r="S34" i="22"/>
  <c r="S58" i="22" s="1"/>
  <c r="S29" i="22"/>
  <c r="S21" i="8"/>
  <c r="U23" i="8" s="1"/>
  <c r="X24" i="8" s="1"/>
  <c r="U12" i="8"/>
  <c r="X13" i="8" s="1"/>
  <c r="J25" i="31"/>
  <c r="J38" i="31" s="1"/>
  <c r="J24" i="31"/>
  <c r="P19" i="13"/>
  <c r="P33" i="13" s="1"/>
  <c r="P17" i="13"/>
  <c r="S23" i="25"/>
  <c r="S25" i="25"/>
  <c r="S43" i="25" s="1"/>
  <c r="S27" i="25"/>
  <c r="S45" i="25" s="1"/>
  <c r="S26" i="25"/>
  <c r="S44" i="25" s="1"/>
  <c r="Z44" i="4"/>
  <c r="Z82" i="4" s="1"/>
  <c r="Z48" i="4"/>
  <c r="Z86" i="4" s="1"/>
  <c r="Z43" i="4"/>
  <c r="Z81" i="4" s="1"/>
  <c r="Z42" i="4"/>
  <c r="Z80" i="4" s="1"/>
  <c r="Z49" i="4"/>
  <c r="Z87" i="4" s="1"/>
  <c r="Z46" i="4"/>
  <c r="Z84" i="4" s="1"/>
  <c r="Z50" i="4"/>
  <c r="Z88" i="4" s="1"/>
  <c r="Z45" i="4"/>
  <c r="Z83" i="4" s="1"/>
  <c r="Z47" i="4"/>
  <c r="Z85" i="4" s="1"/>
  <c r="Z41" i="4"/>
  <c r="Z79" i="4" s="1"/>
  <c r="Z40" i="4"/>
  <c r="O44" i="4"/>
  <c r="O82" i="4" s="1"/>
  <c r="O43" i="4"/>
  <c r="O81" i="4" s="1"/>
  <c r="O40" i="4"/>
  <c r="O47" i="4"/>
  <c r="O85" i="4" s="1"/>
  <c r="O45" i="4"/>
  <c r="O83" i="4" s="1"/>
  <c r="O48" i="4"/>
  <c r="O86" i="4" s="1"/>
  <c r="O50" i="4"/>
  <c r="O88" i="4" s="1"/>
  <c r="O42" i="4"/>
  <c r="O80" i="4" s="1"/>
  <c r="O49" i="4"/>
  <c r="O87" i="4" s="1"/>
  <c r="O41" i="4"/>
  <c r="O79" i="4" s="1"/>
  <c r="O46" i="4"/>
  <c r="O84" i="4" s="1"/>
  <c r="AB43" i="4"/>
  <c r="AB81" i="4" s="1"/>
  <c r="AA43" i="4"/>
  <c r="AA81" i="4" s="1"/>
  <c r="AA46" i="4"/>
  <c r="AA84" i="4" s="1"/>
  <c r="AB46" i="4"/>
  <c r="AB84" i="4" s="1"/>
  <c r="AA50" i="4"/>
  <c r="AA88" i="4" s="1"/>
  <c r="AB50" i="4"/>
  <c r="AB88" i="4" s="1"/>
  <c r="AB41" i="4"/>
  <c r="AA45" i="4"/>
  <c r="AA83" i="4" s="1"/>
  <c r="AA49" i="4"/>
  <c r="AA87" i="4" s="1"/>
  <c r="AB42" i="4"/>
  <c r="AB80" i="4" s="1"/>
  <c r="AB44" i="4"/>
  <c r="AB82" i="4" s="1"/>
  <c r="AB47" i="4"/>
  <c r="AB85" i="4" s="1"/>
  <c r="AB49" i="4"/>
  <c r="AB87" i="4" s="1"/>
  <c r="AA40" i="4"/>
  <c r="AB45" i="4"/>
  <c r="AB83" i="4" s="1"/>
  <c r="AA41" i="4"/>
  <c r="AA79" i="4" s="1"/>
  <c r="AA42" i="4"/>
  <c r="AA80" i="4" s="1"/>
  <c r="AA47" i="4"/>
  <c r="AA85" i="4" s="1"/>
  <c r="AA48" i="4"/>
  <c r="AA86" i="4" s="1"/>
  <c r="AB48" i="4"/>
  <c r="AB86" i="4" s="1"/>
  <c r="AA44" i="4"/>
  <c r="AA82" i="4" s="1"/>
  <c r="P41" i="4"/>
  <c r="P79" i="4" s="1"/>
  <c r="P44" i="4"/>
  <c r="P82" i="4" s="1"/>
  <c r="P43" i="4"/>
  <c r="P81" i="4" s="1"/>
  <c r="P40" i="4"/>
  <c r="P45" i="4"/>
  <c r="P83" i="4" s="1"/>
  <c r="P48" i="4"/>
  <c r="P86" i="4" s="1"/>
  <c r="P42" i="4"/>
  <c r="P80" i="4" s="1"/>
  <c r="P50" i="4"/>
  <c r="P88" i="4" s="1"/>
  <c r="P46" i="4"/>
  <c r="P84" i="4" s="1"/>
  <c r="P47" i="4"/>
  <c r="P85" i="4" s="1"/>
  <c r="P49" i="4"/>
  <c r="P87" i="4" s="1"/>
  <c r="G21" i="8"/>
  <c r="I23" i="8" s="1"/>
  <c r="I12" i="8"/>
  <c r="J29" i="18"/>
  <c r="J49" i="18" s="1"/>
  <c r="J30" i="18"/>
  <c r="J50" i="18" s="1"/>
  <c r="J28" i="18"/>
  <c r="J48" i="18" s="1"/>
  <c r="J27" i="18"/>
  <c r="J35" i="18"/>
  <c r="J55" i="18" s="1"/>
  <c r="O21" i="17"/>
  <c r="O40" i="17" s="1"/>
  <c r="O23" i="17"/>
  <c r="O42" i="17" s="1"/>
  <c r="O24" i="17"/>
  <c r="O43" i="17" s="1"/>
  <c r="O19" i="17"/>
  <c r="O26" i="17"/>
  <c r="O45" i="17" s="1"/>
  <c r="O25" i="17"/>
  <c r="O44" i="17" s="1"/>
  <c r="O20" i="17"/>
  <c r="O39" i="17" s="1"/>
  <c r="S23" i="33"/>
  <c r="U25" i="33" s="1"/>
  <c r="X26" i="33" s="1"/>
  <c r="U15" i="33"/>
  <c r="X16" i="33" s="1"/>
  <c r="N30" i="23"/>
  <c r="N41" i="23"/>
  <c r="N70" i="23" s="1"/>
  <c r="N39" i="23"/>
  <c r="N68" i="23" s="1"/>
  <c r="N35" i="23"/>
  <c r="N64" i="23" s="1"/>
  <c r="N36" i="23"/>
  <c r="N65" i="23" s="1"/>
  <c r="N42" i="23"/>
  <c r="N71" i="23" s="1"/>
  <c r="N45" i="23"/>
  <c r="N74" i="23" s="1"/>
  <c r="N33" i="23"/>
  <c r="N62" i="23" s="1"/>
  <c r="N34" i="23"/>
  <c r="N63" i="23" s="1"/>
  <c r="N46" i="23"/>
  <c r="N75" i="23" s="1"/>
  <c r="N40" i="23"/>
  <c r="N69" i="23" s="1"/>
  <c r="N37" i="23"/>
  <c r="N66" i="23" s="1"/>
  <c r="N32" i="23"/>
  <c r="N61" i="23" s="1"/>
  <c r="I23" i="25"/>
  <c r="I26" i="25"/>
  <c r="I44" i="25" s="1"/>
  <c r="I25" i="25"/>
  <c r="I43" i="25" s="1"/>
  <c r="I27" i="25"/>
  <c r="I45" i="25" s="1"/>
  <c r="P34" i="5"/>
  <c r="P36" i="5" s="1"/>
  <c r="P24" i="5"/>
  <c r="M32" i="23"/>
  <c r="M61" i="23" s="1"/>
  <c r="M35" i="23"/>
  <c r="M64" i="23" s="1"/>
  <c r="M40" i="23"/>
  <c r="M69" i="23" s="1"/>
  <c r="M36" i="23"/>
  <c r="M65" i="23" s="1"/>
  <c r="M34" i="23"/>
  <c r="M63" i="23" s="1"/>
  <c r="M37" i="23"/>
  <c r="M66" i="23" s="1"/>
  <c r="M46" i="23"/>
  <c r="M75" i="23" s="1"/>
  <c r="M41" i="23"/>
  <c r="M70" i="23" s="1"/>
  <c r="M39" i="23"/>
  <c r="M68" i="23" s="1"/>
  <c r="M30" i="23"/>
  <c r="M42" i="23"/>
  <c r="M71" i="23" s="1"/>
  <c r="M45" i="23"/>
  <c r="M74" i="23" s="1"/>
  <c r="M33" i="23"/>
  <c r="M62" i="23" s="1"/>
  <c r="J30" i="22"/>
  <c r="J54" i="22" s="1"/>
  <c r="J29" i="22"/>
  <c r="J39" i="22"/>
  <c r="J63" i="22" s="1"/>
  <c r="J35" i="22"/>
  <c r="J59" i="22" s="1"/>
  <c r="J33" i="22"/>
  <c r="J57" i="22" s="1"/>
  <c r="J36" i="22"/>
  <c r="J60" i="22" s="1"/>
  <c r="J34" i="22"/>
  <c r="J58" i="22" s="1"/>
  <c r="J38" i="22"/>
  <c r="J62" i="22" s="1"/>
  <c r="J40" i="22"/>
  <c r="J64" i="22" s="1"/>
  <c r="J37" i="22"/>
  <c r="J61" i="22" s="1"/>
  <c r="L27" i="18"/>
  <c r="L29" i="18"/>
  <c r="L49" i="18" s="1"/>
  <c r="L28" i="18"/>
  <c r="L48" i="18" s="1"/>
  <c r="L35" i="18"/>
  <c r="L55" i="18" s="1"/>
  <c r="L30" i="18"/>
  <c r="L50" i="18" s="1"/>
  <c r="M23" i="33"/>
  <c r="O25" i="33" s="1"/>
  <c r="O15" i="33"/>
  <c r="Q24" i="5"/>
  <c r="Q34" i="5"/>
  <c r="Q36" i="5" s="1"/>
  <c r="S19" i="13"/>
  <c r="S33" i="13" s="1"/>
  <c r="S17" i="13"/>
  <c r="H23" i="17"/>
  <c r="H42" i="17" s="1"/>
  <c r="H26" i="17"/>
  <c r="H45" i="17" s="1"/>
  <c r="H24" i="17"/>
  <c r="H43" i="17" s="1"/>
  <c r="H19" i="17"/>
  <c r="H25" i="17"/>
  <c r="H44" i="17" s="1"/>
  <c r="H21" i="17"/>
  <c r="H40" i="17" s="1"/>
  <c r="H20" i="17"/>
  <c r="H39" i="17" s="1"/>
  <c r="I21" i="17"/>
  <c r="I40" i="17" s="1"/>
  <c r="I26" i="17"/>
  <c r="I45" i="17" s="1"/>
  <c r="I25" i="17"/>
  <c r="I44" i="17" s="1"/>
  <c r="I20" i="17"/>
  <c r="I39" i="17" s="1"/>
  <c r="I24" i="17"/>
  <c r="I43" i="17" s="1"/>
  <c r="I19" i="17"/>
  <c r="I23" i="17"/>
  <c r="I42" i="17" s="1"/>
  <c r="I31" i="26"/>
  <c r="I49" i="26"/>
  <c r="I51" i="26" s="1"/>
  <c r="I12" i="7"/>
  <c r="I22" i="7"/>
  <c r="P32" i="23"/>
  <c r="P61" i="23" s="1"/>
  <c r="P33" i="23"/>
  <c r="P62" i="23" s="1"/>
  <c r="P46" i="23"/>
  <c r="P75" i="23" s="1"/>
  <c r="P41" i="23"/>
  <c r="P70" i="23" s="1"/>
  <c r="P39" i="23"/>
  <c r="P68" i="23" s="1"/>
  <c r="P35" i="23"/>
  <c r="P64" i="23" s="1"/>
  <c r="P42" i="23"/>
  <c r="P71" i="23" s="1"/>
  <c r="P45" i="23"/>
  <c r="P74" i="23" s="1"/>
  <c r="P34" i="23"/>
  <c r="P63" i="23" s="1"/>
  <c r="P30" i="23"/>
  <c r="P36" i="23"/>
  <c r="P65" i="23" s="1"/>
  <c r="P40" i="23"/>
  <c r="P69" i="23" s="1"/>
  <c r="P37" i="23"/>
  <c r="P66" i="23" s="1"/>
  <c r="L31" i="38"/>
  <c r="L44" i="38"/>
  <c r="L45" i="38" s="1"/>
  <c r="L19" i="13"/>
  <c r="L33" i="13" s="1"/>
  <c r="L17" i="13"/>
  <c r="M17" i="13"/>
  <c r="M19" i="13"/>
  <c r="M33" i="13" s="1"/>
  <c r="O17" i="13"/>
  <c r="O19" i="13"/>
  <c r="O33" i="13" s="1"/>
  <c r="R12" i="7"/>
  <c r="R22" i="7"/>
  <c r="V36" i="23"/>
  <c r="V65" i="23" s="1"/>
  <c r="V32" i="23"/>
  <c r="V61" i="23" s="1"/>
  <c r="V37" i="23"/>
  <c r="V66" i="23" s="1"/>
  <c r="V30" i="23"/>
  <c r="V35" i="23"/>
  <c r="V64" i="23" s="1"/>
  <c r="V40" i="23"/>
  <c r="V69" i="23" s="1"/>
  <c r="V33" i="23"/>
  <c r="V62" i="23" s="1"/>
  <c r="V39" i="23"/>
  <c r="V68" i="23" s="1"/>
  <c r="V46" i="23"/>
  <c r="V75" i="23" s="1"/>
  <c r="V42" i="23"/>
  <c r="V71" i="23" s="1"/>
  <c r="V45" i="23"/>
  <c r="V74" i="23" s="1"/>
  <c r="V34" i="23"/>
  <c r="V63" i="23" s="1"/>
  <c r="V41" i="23"/>
  <c r="V70" i="23" s="1"/>
  <c r="U41" i="4"/>
  <c r="U79" i="4" s="1"/>
  <c r="U48" i="4"/>
  <c r="U86" i="4" s="1"/>
  <c r="U49" i="4"/>
  <c r="U87" i="4" s="1"/>
  <c r="U45" i="4"/>
  <c r="U83" i="4" s="1"/>
  <c r="U44" i="4"/>
  <c r="U82" i="4" s="1"/>
  <c r="U40" i="4"/>
  <c r="U43" i="4"/>
  <c r="U81" i="4" s="1"/>
  <c r="U47" i="4"/>
  <c r="U85" i="4" s="1"/>
  <c r="U46" i="4"/>
  <c r="U84" i="4" s="1"/>
  <c r="U50" i="4"/>
  <c r="U88" i="4" s="1"/>
  <c r="U42" i="4"/>
  <c r="U80" i="4" s="1"/>
  <c r="W36" i="23"/>
  <c r="W65" i="23" s="1"/>
  <c r="W37" i="23"/>
  <c r="W66" i="23" s="1"/>
  <c r="W30" i="23"/>
  <c r="W32" i="23"/>
  <c r="W61" i="23" s="1"/>
  <c r="W39" i="23"/>
  <c r="W68" i="23" s="1"/>
  <c r="W34" i="23"/>
  <c r="W63" i="23" s="1"/>
  <c r="W33" i="23"/>
  <c r="W62" i="23" s="1"/>
  <c r="W42" i="23"/>
  <c r="W71" i="23" s="1"/>
  <c r="W45" i="23"/>
  <c r="W74" i="23" s="1"/>
  <c r="W35" i="23"/>
  <c r="W64" i="23" s="1"/>
  <c r="W40" i="23"/>
  <c r="W69" i="23" s="1"/>
  <c r="W46" i="23"/>
  <c r="W75" i="23" s="1"/>
  <c r="W41" i="23"/>
  <c r="W70" i="23" s="1"/>
  <c r="R42" i="4"/>
  <c r="R80" i="4" s="1"/>
  <c r="R49" i="4"/>
  <c r="R87" i="4" s="1"/>
  <c r="R45" i="4"/>
  <c r="R83" i="4" s="1"/>
  <c r="R48" i="4"/>
  <c r="R86" i="4" s="1"/>
  <c r="R47" i="4"/>
  <c r="R85" i="4" s="1"/>
  <c r="R50" i="4"/>
  <c r="R88" i="4" s="1"/>
  <c r="R43" i="4"/>
  <c r="R81" i="4" s="1"/>
  <c r="R46" i="4"/>
  <c r="R84" i="4" s="1"/>
  <c r="R44" i="4"/>
  <c r="R82" i="4" s="1"/>
  <c r="R40" i="4"/>
  <c r="R41" i="4"/>
  <c r="R79" i="4" s="1"/>
  <c r="H19" i="13"/>
  <c r="H33" i="13" s="1"/>
  <c r="H17" i="13"/>
  <c r="G19" i="13"/>
  <c r="G33" i="13" s="1"/>
  <c r="G17" i="13"/>
  <c r="M27" i="25"/>
  <c r="M45" i="25" s="1"/>
  <c r="M23" i="25"/>
  <c r="M26" i="25"/>
  <c r="M44" i="25" s="1"/>
  <c r="M25" i="25"/>
  <c r="M43" i="25" s="1"/>
  <c r="R24" i="31"/>
  <c r="R25" i="31"/>
  <c r="R38" i="31" s="1"/>
  <c r="S34" i="5"/>
  <c r="S36" i="5" s="1"/>
  <c r="S24" i="5"/>
  <c r="R31" i="38"/>
  <c r="R44" i="38"/>
  <c r="R45" i="38" s="1"/>
  <c r="J44" i="20"/>
  <c r="J72" i="20" s="1"/>
  <c r="J45" i="20"/>
  <c r="J73" i="20" s="1"/>
  <c r="J40" i="20"/>
  <c r="J68" i="20" s="1"/>
  <c r="J51" i="20"/>
  <c r="J79" i="20" s="1"/>
  <c r="J43" i="20"/>
  <c r="J71" i="20" s="1"/>
  <c r="J39" i="20"/>
  <c r="J42" i="20"/>
  <c r="J70" i="20" s="1"/>
  <c r="J41" i="20"/>
  <c r="J69" i="20" s="1"/>
  <c r="H34" i="5"/>
  <c r="H36" i="5" s="1"/>
  <c r="H24" i="5"/>
  <c r="S43" i="20"/>
  <c r="S71" i="20" s="1"/>
  <c r="S42" i="20"/>
  <c r="S70" i="20" s="1"/>
  <c r="S39" i="20"/>
  <c r="S67" i="20" s="1"/>
  <c r="S45" i="20"/>
  <c r="S73" i="20" s="1"/>
  <c r="S35" i="20"/>
  <c r="S41" i="20"/>
  <c r="S69" i="20" s="1"/>
  <c r="S51" i="20"/>
  <c r="S79" i="20" s="1"/>
  <c r="S40" i="20"/>
  <c r="S68" i="20" s="1"/>
  <c r="S46" i="20"/>
  <c r="S74" i="20" s="1"/>
  <c r="S44" i="20"/>
  <c r="S72" i="20" s="1"/>
  <c r="T34" i="22"/>
  <c r="T58" i="22" s="1"/>
  <c r="T39" i="22"/>
  <c r="T63" i="22" s="1"/>
  <c r="T29" i="22"/>
  <c r="T37" i="22"/>
  <c r="T61" i="22" s="1"/>
  <c r="T30" i="22"/>
  <c r="T54" i="22" s="1"/>
  <c r="T40" i="22"/>
  <c r="T64" i="22" s="1"/>
  <c r="T38" i="22"/>
  <c r="T62" i="22" s="1"/>
  <c r="T36" i="22"/>
  <c r="T60" i="22" s="1"/>
  <c r="T35" i="22"/>
  <c r="T59" i="22" s="1"/>
  <c r="L12" i="7"/>
  <c r="X14" i="7" s="1"/>
  <c r="L22" i="7"/>
  <c r="X24" i="7" s="1"/>
  <c r="O29" i="18"/>
  <c r="O49" i="18" s="1"/>
  <c r="O30" i="18"/>
  <c r="O50" i="18" s="1"/>
  <c r="O35" i="18"/>
  <c r="O55" i="18" s="1"/>
  <c r="O28" i="18"/>
  <c r="O48" i="18" s="1"/>
  <c r="O27" i="18"/>
  <c r="O37" i="23"/>
  <c r="O66" i="23" s="1"/>
  <c r="O46" i="23"/>
  <c r="O75" i="23" s="1"/>
  <c r="O41" i="23"/>
  <c r="O70" i="23" s="1"/>
  <c r="O32" i="23"/>
  <c r="O61" i="23" s="1"/>
  <c r="O39" i="23"/>
  <c r="O68" i="23" s="1"/>
  <c r="O35" i="23"/>
  <c r="O64" i="23" s="1"/>
  <c r="O42" i="23"/>
  <c r="O71" i="23" s="1"/>
  <c r="O36" i="23"/>
  <c r="O65" i="23" s="1"/>
  <c r="O45" i="23"/>
  <c r="O74" i="23" s="1"/>
  <c r="O34" i="23"/>
  <c r="O63" i="23" s="1"/>
  <c r="O30" i="23"/>
  <c r="O33" i="23"/>
  <c r="O62" i="23" s="1"/>
  <c r="O40" i="23"/>
  <c r="O69" i="23" s="1"/>
  <c r="N40" i="4"/>
  <c r="N43" i="4"/>
  <c r="N81" i="4" s="1"/>
  <c r="N47" i="4"/>
  <c r="N85" i="4" s="1"/>
  <c r="N50" i="4"/>
  <c r="N88" i="4" s="1"/>
  <c r="N49" i="4"/>
  <c r="N87" i="4" s="1"/>
  <c r="N46" i="4"/>
  <c r="N84" i="4" s="1"/>
  <c r="N42" i="4"/>
  <c r="N80" i="4" s="1"/>
  <c r="N44" i="4"/>
  <c r="N82" i="4" s="1"/>
  <c r="N41" i="4"/>
  <c r="N79" i="4" s="1"/>
  <c r="N45" i="4"/>
  <c r="N83" i="4" s="1"/>
  <c r="N48" i="4"/>
  <c r="N86" i="4" s="1"/>
  <c r="S41" i="23"/>
  <c r="S70" i="23" s="1"/>
  <c r="S40" i="23"/>
  <c r="S69" i="23" s="1"/>
  <c r="S37" i="23"/>
  <c r="S66" i="23" s="1"/>
  <c r="S36" i="23"/>
  <c r="S65" i="23" s="1"/>
  <c r="S30" i="23"/>
  <c r="S34" i="23"/>
  <c r="S63" i="23" s="1"/>
  <c r="S46" i="23"/>
  <c r="S75" i="23" s="1"/>
  <c r="S32" i="23"/>
  <c r="S61" i="23" s="1"/>
  <c r="S42" i="23"/>
  <c r="S71" i="23" s="1"/>
  <c r="S35" i="23"/>
  <c r="S64" i="23" s="1"/>
  <c r="S45" i="23"/>
  <c r="S74" i="23" s="1"/>
  <c r="S33" i="23"/>
  <c r="S62" i="23" s="1"/>
  <c r="S39" i="23"/>
  <c r="S68" i="23" s="1"/>
  <c r="X49" i="4"/>
  <c r="X87" i="4" s="1"/>
  <c r="X44" i="4"/>
  <c r="X82" i="4" s="1"/>
  <c r="X43" i="4"/>
  <c r="X81" i="4" s="1"/>
  <c r="X48" i="4"/>
  <c r="X86" i="4" s="1"/>
  <c r="X47" i="4"/>
  <c r="X85" i="4" s="1"/>
  <c r="X50" i="4"/>
  <c r="X88" i="4" s="1"/>
  <c r="X46" i="4"/>
  <c r="X84" i="4" s="1"/>
  <c r="X45" i="4"/>
  <c r="X83" i="4" s="1"/>
  <c r="X42" i="4"/>
  <c r="X80" i="4" s="1"/>
  <c r="X40" i="4"/>
  <c r="X41" i="4"/>
  <c r="X79" i="4" s="1"/>
  <c r="Q23" i="17"/>
  <c r="Q42" i="17" s="1"/>
  <c r="Q24" i="17"/>
  <c r="Q43" i="17" s="1"/>
  <c r="Q21" i="17"/>
  <c r="Q40" i="17" s="1"/>
  <c r="Q20" i="17"/>
  <c r="Q39" i="17" s="1"/>
  <c r="Q19" i="17"/>
  <c r="Q26" i="17"/>
  <c r="Q45" i="17" s="1"/>
  <c r="Q25" i="17"/>
  <c r="Q44" i="17" s="1"/>
  <c r="S31" i="38"/>
  <c r="S44" i="38"/>
  <c r="S45" i="38" s="1"/>
  <c r="I17" i="13"/>
  <c r="I19" i="13"/>
  <c r="I33" i="13" s="1"/>
  <c r="R45" i="23"/>
  <c r="R74" i="23" s="1"/>
  <c r="R34" i="23"/>
  <c r="R63" i="23" s="1"/>
  <c r="R46" i="23"/>
  <c r="R75" i="23" s="1"/>
  <c r="R32" i="23"/>
  <c r="R61" i="23" s="1"/>
  <c r="R41" i="23"/>
  <c r="R70" i="23" s="1"/>
  <c r="R35" i="23"/>
  <c r="R64" i="23" s="1"/>
  <c r="R37" i="23"/>
  <c r="R66" i="23" s="1"/>
  <c r="R30" i="23"/>
  <c r="R36" i="23"/>
  <c r="R65" i="23" s="1"/>
  <c r="R42" i="23"/>
  <c r="R71" i="23" s="1"/>
  <c r="R40" i="23"/>
  <c r="R69" i="23" s="1"/>
  <c r="R33" i="23"/>
  <c r="R62" i="23" s="1"/>
  <c r="R39" i="23"/>
  <c r="R68" i="23" s="1"/>
  <c r="W40" i="4"/>
  <c r="W48" i="4"/>
  <c r="W86" i="4" s="1"/>
  <c r="W49" i="4"/>
  <c r="W87" i="4" s="1"/>
  <c r="W43" i="4"/>
  <c r="W81" i="4" s="1"/>
  <c r="W44" i="4"/>
  <c r="W82" i="4" s="1"/>
  <c r="W50" i="4"/>
  <c r="W88" i="4" s="1"/>
  <c r="W47" i="4"/>
  <c r="W85" i="4" s="1"/>
  <c r="W46" i="4"/>
  <c r="W84" i="4" s="1"/>
  <c r="W45" i="4"/>
  <c r="W83" i="4" s="1"/>
  <c r="W42" i="4"/>
  <c r="W80" i="4" s="1"/>
  <c r="W41" i="4"/>
  <c r="W79" i="4" s="1"/>
  <c r="P41" i="20"/>
  <c r="P69" i="20" s="1"/>
  <c r="P45" i="20"/>
  <c r="P73" i="20" s="1"/>
  <c r="P39" i="20"/>
  <c r="P40" i="20"/>
  <c r="P68" i="20" s="1"/>
  <c r="P51" i="20"/>
  <c r="P79" i="20" s="1"/>
  <c r="P42" i="20"/>
  <c r="P70" i="20" s="1"/>
  <c r="P43" i="20"/>
  <c r="P71" i="20" s="1"/>
  <c r="P44" i="20"/>
  <c r="P72" i="20" s="1"/>
  <c r="Q42" i="20"/>
  <c r="Q70" i="20" s="1"/>
  <c r="Q41" i="20"/>
  <c r="Q69" i="20" s="1"/>
  <c r="Q40" i="20"/>
  <c r="Q68" i="20" s="1"/>
  <c r="Q44" i="20"/>
  <c r="Q72" i="20" s="1"/>
  <c r="Q39" i="20"/>
  <c r="Q45" i="20"/>
  <c r="Q73" i="20" s="1"/>
  <c r="Q51" i="20"/>
  <c r="Q79" i="20" s="1"/>
  <c r="Q43" i="20"/>
  <c r="Q71" i="20" s="1"/>
  <c r="Z30" i="23"/>
  <c r="Z39" i="23"/>
  <c r="Z68" i="23" s="1"/>
  <c r="Z37" i="23"/>
  <c r="Z66" i="23" s="1"/>
  <c r="Z34" i="23"/>
  <c r="Z63" i="23" s="1"/>
  <c r="Z41" i="23"/>
  <c r="Z70" i="23" s="1"/>
  <c r="Z46" i="23"/>
  <c r="Z75" i="23" s="1"/>
  <c r="Z32" i="23"/>
  <c r="Z61" i="23" s="1"/>
  <c r="Z42" i="23"/>
  <c r="Z71" i="23" s="1"/>
  <c r="Z45" i="23"/>
  <c r="Z74" i="23" s="1"/>
  <c r="Z33" i="23"/>
  <c r="Z62" i="23" s="1"/>
  <c r="Z40" i="23"/>
  <c r="Z69" i="23" s="1"/>
  <c r="Z36" i="23"/>
  <c r="Z65" i="23" s="1"/>
  <c r="Z38" i="23"/>
  <c r="Z67" i="23" s="1"/>
  <c r="Z35" i="23"/>
  <c r="Z64" i="23" s="1"/>
  <c r="N35" i="22"/>
  <c r="N59" i="22" s="1"/>
  <c r="N30" i="22"/>
  <c r="N54" i="22" s="1"/>
  <c r="N38" i="22"/>
  <c r="N62" i="22" s="1"/>
  <c r="N37" i="22"/>
  <c r="N61" i="22" s="1"/>
  <c r="N29" i="22"/>
  <c r="N36" i="22"/>
  <c r="N60" i="22" s="1"/>
  <c r="N39" i="22"/>
  <c r="N63" i="22" s="1"/>
  <c r="N33" i="22"/>
  <c r="N57" i="22" s="1"/>
  <c r="N40" i="22"/>
  <c r="N64" i="22" s="1"/>
  <c r="N34" i="22"/>
  <c r="N58" i="22" s="1"/>
  <c r="T24" i="31"/>
  <c r="T25" i="31"/>
  <c r="T38" i="31" s="1"/>
  <c r="L27" i="25"/>
  <c r="L45" i="25" s="1"/>
  <c r="L23" i="25"/>
  <c r="L26" i="25"/>
  <c r="L44" i="25" s="1"/>
  <c r="L25" i="25"/>
  <c r="L43" i="25" s="1"/>
  <c r="V41" i="4"/>
  <c r="V79" i="4" s="1"/>
  <c r="V48" i="4"/>
  <c r="V86" i="4" s="1"/>
  <c r="V49" i="4"/>
  <c r="V87" i="4" s="1"/>
  <c r="V40" i="4"/>
  <c r="V43" i="4"/>
  <c r="V81" i="4" s="1"/>
  <c r="V45" i="4"/>
  <c r="V83" i="4" s="1"/>
  <c r="V44" i="4"/>
  <c r="V82" i="4" s="1"/>
  <c r="V42" i="4"/>
  <c r="V80" i="4" s="1"/>
  <c r="V46" i="4"/>
  <c r="V84" i="4" s="1"/>
  <c r="V47" i="4"/>
  <c r="V85" i="4" s="1"/>
  <c r="V50" i="4"/>
  <c r="V88" i="4" s="1"/>
  <c r="R19" i="13"/>
  <c r="R33" i="13" s="1"/>
  <c r="R17" i="13"/>
  <c r="S24" i="17"/>
  <c r="S43" i="17" s="1"/>
  <c r="S19" i="17"/>
  <c r="S38" i="17" s="1"/>
  <c r="S22" i="17"/>
  <c r="S41" i="17" s="1"/>
  <c r="S25" i="17"/>
  <c r="S44" i="17" s="1"/>
  <c r="S21" i="17"/>
  <c r="S40" i="17" s="1"/>
  <c r="S20" i="17"/>
  <c r="S39" i="17" s="1"/>
  <c r="S26" i="17"/>
  <c r="S45" i="17" s="1"/>
  <c r="S18" i="17"/>
  <c r="S23" i="17"/>
  <c r="S42" i="17" s="1"/>
  <c r="H45" i="20"/>
  <c r="H73" i="20" s="1"/>
  <c r="H40" i="20"/>
  <c r="H68" i="20" s="1"/>
  <c r="H42" i="20"/>
  <c r="H70" i="20" s="1"/>
  <c r="H39" i="20"/>
  <c r="H43" i="20"/>
  <c r="H71" i="20" s="1"/>
  <c r="H51" i="20"/>
  <c r="H79" i="20" s="1"/>
  <c r="H41" i="20"/>
  <c r="H69" i="20" s="1"/>
  <c r="H44" i="20"/>
  <c r="H72" i="20" s="1"/>
  <c r="T25" i="25"/>
  <c r="T43" i="25" s="1"/>
  <c r="T27" i="25"/>
  <c r="T45" i="25" s="1"/>
  <c r="T26" i="25"/>
  <c r="T44" i="25" s="1"/>
  <c r="T23" i="25"/>
  <c r="I30" i="18"/>
  <c r="I50" i="18" s="1"/>
  <c r="I27" i="18"/>
  <c r="I28" i="18"/>
  <c r="I48" i="18" s="1"/>
  <c r="I35" i="18"/>
  <c r="I55" i="18" s="1"/>
  <c r="I29" i="18"/>
  <c r="I49" i="18" s="1"/>
  <c r="J21" i="8"/>
  <c r="L23" i="8" s="1"/>
  <c r="X25" i="8" s="1"/>
  <c r="L12" i="8"/>
  <c r="X14" i="8" s="1"/>
  <c r="L34" i="22"/>
  <c r="L58" i="22" s="1"/>
  <c r="L30" i="22"/>
  <c r="L54" i="22" s="1"/>
  <c r="L29" i="22"/>
  <c r="L38" i="22"/>
  <c r="L62" i="22" s="1"/>
  <c r="L39" i="22"/>
  <c r="L63" i="22" s="1"/>
  <c r="L35" i="22"/>
  <c r="L59" i="22" s="1"/>
  <c r="L36" i="22"/>
  <c r="L60" i="22" s="1"/>
  <c r="L37" i="22"/>
  <c r="L61" i="22" s="1"/>
  <c r="L33" i="22"/>
  <c r="L57" i="22" s="1"/>
  <c r="L40" i="22"/>
  <c r="L64" i="22" s="1"/>
  <c r="O31" i="38"/>
  <c r="O44" i="38"/>
  <c r="O45" i="38" s="1"/>
  <c r="P21" i="17"/>
  <c r="P40" i="17" s="1"/>
  <c r="P23" i="17"/>
  <c r="P42" i="17" s="1"/>
  <c r="P24" i="17"/>
  <c r="P43" i="17" s="1"/>
  <c r="P20" i="17"/>
  <c r="P39" i="17" s="1"/>
  <c r="P19" i="17"/>
  <c r="P26" i="17"/>
  <c r="P45" i="17" s="1"/>
  <c r="P25" i="17"/>
  <c r="P44" i="17" s="1"/>
  <c r="R24" i="5"/>
  <c r="R34" i="5"/>
  <c r="R36" i="5" s="1"/>
  <c r="N24" i="31"/>
  <c r="N25" i="31"/>
  <c r="N38" i="31" s="1"/>
  <c r="K25" i="31"/>
  <c r="K38" i="31" s="1"/>
  <c r="K24" i="31"/>
  <c r="Y37" i="23"/>
  <c r="Y66" i="23" s="1"/>
  <c r="Y30" i="23"/>
  <c r="Y36" i="23"/>
  <c r="Y65" i="23" s="1"/>
  <c r="Y42" i="23"/>
  <c r="Y71" i="23" s="1"/>
  <c r="Y35" i="23"/>
  <c r="Y64" i="23" s="1"/>
  <c r="Y41" i="23"/>
  <c r="Y70" i="23" s="1"/>
  <c r="Y34" i="23"/>
  <c r="Y63" i="23" s="1"/>
  <c r="Y46" i="23"/>
  <c r="Y75" i="23" s="1"/>
  <c r="Y39" i="23"/>
  <c r="Y68" i="23" s="1"/>
  <c r="Y40" i="23"/>
  <c r="Y69" i="23" s="1"/>
  <c r="Y45" i="23"/>
  <c r="Y74" i="23" s="1"/>
  <c r="Y32" i="23"/>
  <c r="Y61" i="23" s="1"/>
  <c r="Y38" i="23"/>
  <c r="Y67" i="23" s="1"/>
  <c r="Y33" i="23"/>
  <c r="Y62" i="23" s="1"/>
  <c r="T34" i="5"/>
  <c r="T36" i="5" s="1"/>
  <c r="T24" i="5"/>
  <c r="G24" i="31"/>
  <c r="G25" i="31"/>
  <c r="G38" i="31" s="1"/>
  <c r="J44" i="38"/>
  <c r="J45" i="38" s="1"/>
  <c r="J31" i="38"/>
  <c r="X33" i="23"/>
  <c r="X62" i="23" s="1"/>
  <c r="X42" i="23"/>
  <c r="X71" i="23" s="1"/>
  <c r="X35" i="23"/>
  <c r="X64" i="23" s="1"/>
  <c r="X41" i="23"/>
  <c r="X70" i="23" s="1"/>
  <c r="X34" i="23"/>
  <c r="X63" i="23" s="1"/>
  <c r="X46" i="23"/>
  <c r="X75" i="23" s="1"/>
  <c r="X40" i="23"/>
  <c r="X69" i="23" s="1"/>
  <c r="X45" i="23"/>
  <c r="X74" i="23" s="1"/>
  <c r="X37" i="23"/>
  <c r="X66" i="23" s="1"/>
  <c r="X39" i="23"/>
  <c r="X68" i="23" s="1"/>
  <c r="X30" i="23"/>
  <c r="X32" i="23"/>
  <c r="X61" i="23" s="1"/>
  <c r="X36" i="23"/>
  <c r="X65" i="23" s="1"/>
  <c r="N27" i="25"/>
  <c r="N45" i="25" s="1"/>
  <c r="N25" i="25"/>
  <c r="N43" i="25" s="1"/>
  <c r="N23" i="25"/>
  <c r="N26" i="25"/>
  <c r="N44" i="25" s="1"/>
  <c r="K26" i="25"/>
  <c r="K44" i="25" s="1"/>
  <c r="K23" i="25"/>
  <c r="K25" i="25"/>
  <c r="K43" i="25" s="1"/>
  <c r="K27" i="25"/>
  <c r="K45" i="25" s="1"/>
  <c r="S25" i="31"/>
  <c r="S38" i="31" s="1"/>
  <c r="S24" i="31"/>
  <c r="U22" i="7"/>
  <c r="X23" i="7" s="1"/>
  <c r="U12" i="7"/>
  <c r="X13" i="7" s="1"/>
  <c r="H44" i="38"/>
  <c r="H45" i="38" s="1"/>
  <c r="H31" i="38"/>
  <c r="I51" i="20"/>
  <c r="I79" i="20" s="1"/>
  <c r="I43" i="20"/>
  <c r="I71" i="20" s="1"/>
  <c r="I40" i="20"/>
  <c r="I68" i="20" s="1"/>
  <c r="I42" i="20"/>
  <c r="I70" i="20" s="1"/>
  <c r="I45" i="20"/>
  <c r="I73" i="20" s="1"/>
  <c r="I44" i="20"/>
  <c r="I72" i="20" s="1"/>
  <c r="I41" i="20"/>
  <c r="I69" i="20" s="1"/>
  <c r="I39" i="20"/>
  <c r="I38" i="22"/>
  <c r="I62" i="22" s="1"/>
  <c r="I35" i="22"/>
  <c r="I59" i="22" s="1"/>
  <c r="I36" i="22"/>
  <c r="I60" i="22" s="1"/>
  <c r="I39" i="22"/>
  <c r="I63" i="22" s="1"/>
  <c r="I33" i="22"/>
  <c r="I57" i="22" s="1"/>
  <c r="I34" i="22"/>
  <c r="I58" i="22" s="1"/>
  <c r="I40" i="22"/>
  <c r="I64" i="22" s="1"/>
  <c r="I29" i="22"/>
  <c r="I37" i="22"/>
  <c r="I61" i="22" s="1"/>
  <c r="I30" i="22"/>
  <c r="I54" i="22" s="1"/>
  <c r="G26" i="25"/>
  <c r="G44" i="25" s="1"/>
  <c r="G23" i="25"/>
  <c r="G25" i="25"/>
  <c r="G43" i="25" s="1"/>
  <c r="G27" i="25"/>
  <c r="G45" i="25" s="1"/>
  <c r="J23" i="33"/>
  <c r="L25" i="33" s="1"/>
  <c r="X27" i="33" s="1"/>
  <c r="L15" i="33"/>
  <c r="X17" i="33" s="1"/>
  <c r="L34" i="5"/>
  <c r="L36" i="5" s="1"/>
  <c r="L24" i="5"/>
  <c r="M35" i="18"/>
  <c r="M55" i="18" s="1"/>
  <c r="M29" i="18"/>
  <c r="M49" i="18" s="1"/>
  <c r="M30" i="18"/>
  <c r="M50" i="18" s="1"/>
  <c r="M28" i="18"/>
  <c r="M48" i="18" s="1"/>
  <c r="M27" i="18"/>
  <c r="P23" i="33"/>
  <c r="R25" i="33" s="1"/>
  <c r="R15" i="33"/>
  <c r="R23" i="17"/>
  <c r="R42" i="17" s="1"/>
  <c r="R24" i="17"/>
  <c r="R43" i="17" s="1"/>
  <c r="R25" i="17"/>
  <c r="R44" i="17" s="1"/>
  <c r="R19" i="17"/>
  <c r="R20" i="17"/>
  <c r="R39" i="17" s="1"/>
  <c r="R26" i="17"/>
  <c r="R45" i="17" s="1"/>
  <c r="R21" i="17"/>
  <c r="R40" i="17" s="1"/>
  <c r="Q36" i="22"/>
  <c r="Q60" i="22" s="1"/>
  <c r="Q37" i="22"/>
  <c r="Q61" i="22" s="1"/>
  <c r="Q30" i="22"/>
  <c r="Q54" i="22" s="1"/>
  <c r="Q39" i="22"/>
  <c r="Q63" i="22" s="1"/>
  <c r="Q38" i="22"/>
  <c r="Q62" i="22" s="1"/>
  <c r="Q29" i="22"/>
  <c r="Q34" i="22"/>
  <c r="Q58" i="22" s="1"/>
  <c r="Q35" i="22"/>
  <c r="Q59" i="22" s="1"/>
  <c r="Q33" i="22"/>
  <c r="Q57" i="22" s="1"/>
  <c r="Q40" i="22"/>
  <c r="Q64" i="22" s="1"/>
  <c r="S30" i="18"/>
  <c r="S50" i="18" s="1"/>
  <c r="S27" i="18"/>
  <c r="S28" i="18"/>
  <c r="S48" i="18" s="1"/>
  <c r="S35" i="18"/>
  <c r="S55" i="18" s="1"/>
  <c r="S29" i="18"/>
  <c r="S49" i="18" s="1"/>
  <c r="H23" i="25"/>
  <c r="H25" i="25"/>
  <c r="H43" i="25" s="1"/>
  <c r="H27" i="25"/>
  <c r="H45" i="25" s="1"/>
  <c r="H26" i="25"/>
  <c r="H44" i="25" s="1"/>
  <c r="T23" i="17"/>
  <c r="T42" i="17" s="1"/>
  <c r="T25" i="17"/>
  <c r="T44" i="17" s="1"/>
  <c r="T22" i="17"/>
  <c r="T41" i="17" s="1"/>
  <c r="T20" i="17"/>
  <c r="T39" i="17" s="1"/>
  <c r="T26" i="17"/>
  <c r="T45" i="17" s="1"/>
  <c r="T19" i="17"/>
  <c r="T38" i="17" s="1"/>
  <c r="T24" i="17"/>
  <c r="T43" i="17" s="1"/>
  <c r="T18" i="17"/>
  <c r="T21" i="17"/>
  <c r="T40" i="17" s="1"/>
  <c r="I24" i="5"/>
  <c r="I34" i="5"/>
  <c r="I36" i="5" s="1"/>
  <c r="G24" i="5"/>
  <c r="G34" i="5"/>
  <c r="G36" i="5" s="1"/>
  <c r="L26" i="17"/>
  <c r="L45" i="17" s="1"/>
  <c r="L24" i="17"/>
  <c r="L43" i="17" s="1"/>
  <c r="L21" i="17"/>
  <c r="L40" i="17" s="1"/>
  <c r="L23" i="17"/>
  <c r="L42" i="17" s="1"/>
  <c r="L20" i="17"/>
  <c r="L39" i="17" s="1"/>
  <c r="L19" i="17"/>
  <c r="L25" i="17"/>
  <c r="L44" i="17" s="1"/>
  <c r="M44" i="38"/>
  <c r="M45" i="38" s="1"/>
  <c r="M31" i="38"/>
  <c r="M44" i="20"/>
  <c r="M72" i="20" s="1"/>
  <c r="M40" i="20"/>
  <c r="M68" i="20" s="1"/>
  <c r="M45" i="20"/>
  <c r="M73" i="20" s="1"/>
  <c r="M42" i="20"/>
  <c r="M70" i="20" s="1"/>
  <c r="M41" i="20"/>
  <c r="M69" i="20" s="1"/>
  <c r="M51" i="20"/>
  <c r="M79" i="20" s="1"/>
  <c r="M43" i="20"/>
  <c r="M71" i="20" s="1"/>
  <c r="M39" i="20"/>
  <c r="O35" i="22"/>
  <c r="O59" i="22" s="1"/>
  <c r="O37" i="22"/>
  <c r="O61" i="22" s="1"/>
  <c r="O30" i="22"/>
  <c r="O54" i="22" s="1"/>
  <c r="O38" i="22"/>
  <c r="O62" i="22" s="1"/>
  <c r="O36" i="22"/>
  <c r="O60" i="22" s="1"/>
  <c r="O29" i="22"/>
  <c r="O33" i="22"/>
  <c r="O57" i="22" s="1"/>
  <c r="O40" i="22"/>
  <c r="O64" i="22" s="1"/>
  <c r="O34" i="22"/>
  <c r="O58" i="22" s="1"/>
  <c r="O39" i="22"/>
  <c r="O63" i="22" s="1"/>
  <c r="P24" i="31"/>
  <c r="P25" i="31"/>
  <c r="P38" i="31" s="1"/>
  <c r="R23" i="25"/>
  <c r="R27" i="25"/>
  <c r="R45" i="25" s="1"/>
  <c r="R25" i="25"/>
  <c r="R43" i="25" s="1"/>
  <c r="R26" i="25"/>
  <c r="R44" i="25" s="1"/>
  <c r="R42" i="20"/>
  <c r="R70" i="20" s="1"/>
  <c r="R41" i="20"/>
  <c r="R69" i="20" s="1"/>
  <c r="R51" i="20"/>
  <c r="R79" i="20" s="1"/>
  <c r="R40" i="20"/>
  <c r="R68" i="20" s="1"/>
  <c r="R43" i="20"/>
  <c r="R71" i="20" s="1"/>
  <c r="R44" i="20"/>
  <c r="R72" i="20" s="1"/>
  <c r="R39" i="20"/>
  <c r="R45" i="20"/>
  <c r="R73" i="20" s="1"/>
  <c r="N29" i="18"/>
  <c r="N49" i="18" s="1"/>
  <c r="N30" i="18"/>
  <c r="N50" i="18" s="1"/>
  <c r="N35" i="18"/>
  <c r="N55" i="18" s="1"/>
  <c r="N27" i="18"/>
  <c r="N28" i="18"/>
  <c r="N48" i="18" s="1"/>
  <c r="Q23" i="25"/>
  <c r="Q27" i="25"/>
  <c r="Q45" i="25" s="1"/>
  <c r="Q26" i="25"/>
  <c r="Q44" i="25" s="1"/>
  <c r="Q25" i="25"/>
  <c r="Q43" i="25" s="1"/>
  <c r="K34" i="5"/>
  <c r="K36" i="5" s="1"/>
  <c r="K24" i="5"/>
  <c r="K27" i="18"/>
  <c r="K35" i="18"/>
  <c r="K55" i="18" s="1"/>
  <c r="K29" i="18"/>
  <c r="K49" i="18" s="1"/>
  <c r="K30" i="18"/>
  <c r="K50" i="18" s="1"/>
  <c r="K28" i="18"/>
  <c r="K48" i="18" s="1"/>
  <c r="H35" i="18"/>
  <c r="H55" i="18" s="1"/>
  <c r="H30" i="18"/>
  <c r="H50" i="18" s="1"/>
  <c r="H28" i="18"/>
  <c r="H48" i="18" s="1"/>
  <c r="H29" i="18"/>
  <c r="H49" i="18" s="1"/>
  <c r="H27" i="18"/>
  <c r="T41" i="20"/>
  <c r="T69" i="20" s="1"/>
  <c r="T43" i="20"/>
  <c r="T71" i="20" s="1"/>
  <c r="T39" i="20"/>
  <c r="T67" i="20" s="1"/>
  <c r="T45" i="20"/>
  <c r="T73" i="20" s="1"/>
  <c r="T42" i="20"/>
  <c r="T70" i="20" s="1"/>
  <c r="T35" i="20"/>
  <c r="T40" i="20"/>
  <c r="T68" i="20" s="1"/>
  <c r="T44" i="20"/>
  <c r="T72" i="20" s="1"/>
  <c r="T46" i="20"/>
  <c r="T74" i="20" s="1"/>
  <c r="T51" i="20"/>
  <c r="T79" i="20" s="1"/>
  <c r="G44" i="38"/>
  <c r="G45" i="38" s="1"/>
  <c r="G31" i="38"/>
  <c r="G35" i="18"/>
  <c r="G55" i="18" s="1"/>
  <c r="G30" i="18"/>
  <c r="G50" i="18" s="1"/>
  <c r="G28" i="18"/>
  <c r="G48" i="18" s="1"/>
  <c r="G27" i="18"/>
  <c r="G29" i="18"/>
  <c r="G49" i="18" s="1"/>
  <c r="Q45" i="4"/>
  <c r="Q83" i="4" s="1"/>
  <c r="Q41" i="4"/>
  <c r="Q79" i="4" s="1"/>
  <c r="Q44" i="4"/>
  <c r="Q82" i="4" s="1"/>
  <c r="Q43" i="4"/>
  <c r="Q81" i="4" s="1"/>
  <c r="Q47" i="4"/>
  <c r="Q85" i="4" s="1"/>
  <c r="Q48" i="4"/>
  <c r="Q86" i="4" s="1"/>
  <c r="Q46" i="4"/>
  <c r="Q84" i="4" s="1"/>
  <c r="Q40" i="4"/>
  <c r="Q49" i="4"/>
  <c r="Q87" i="4" s="1"/>
  <c r="Q50" i="4"/>
  <c r="Q88" i="4" s="1"/>
  <c r="Q42" i="4"/>
  <c r="Q80" i="4" s="1"/>
  <c r="M21" i="17"/>
  <c r="M40" i="17" s="1"/>
  <c r="M24" i="17"/>
  <c r="M43" i="17" s="1"/>
  <c r="M23" i="17"/>
  <c r="M42" i="17" s="1"/>
  <c r="M25" i="17"/>
  <c r="M44" i="17" s="1"/>
  <c r="M20" i="17"/>
  <c r="M39" i="17" s="1"/>
  <c r="M19" i="17"/>
  <c r="M26" i="17"/>
  <c r="M45" i="17" s="1"/>
  <c r="M40" i="22"/>
  <c r="M64" i="22" s="1"/>
  <c r="M38" i="22"/>
  <c r="M62" i="22" s="1"/>
  <c r="M39" i="22"/>
  <c r="M63" i="22" s="1"/>
  <c r="M37" i="22"/>
  <c r="M61" i="22" s="1"/>
  <c r="M30" i="22"/>
  <c r="M54" i="22" s="1"/>
  <c r="M36" i="22"/>
  <c r="M60" i="22" s="1"/>
  <c r="M34" i="22"/>
  <c r="M58" i="22" s="1"/>
  <c r="M35" i="22"/>
  <c r="M59" i="22" s="1"/>
  <c r="M29" i="22"/>
  <c r="M33" i="22"/>
  <c r="M57" i="22" s="1"/>
  <c r="P30" i="18"/>
  <c r="P50" i="18" s="1"/>
  <c r="P29" i="18"/>
  <c r="P49" i="18" s="1"/>
  <c r="P27" i="18"/>
  <c r="P35" i="18"/>
  <c r="P55" i="18" s="1"/>
  <c r="P28" i="18"/>
  <c r="P48" i="18" s="1"/>
  <c r="N19" i="13"/>
  <c r="N33" i="13" s="1"/>
  <c r="N17" i="13"/>
  <c r="Q31" i="38"/>
  <c r="Q44" i="38"/>
  <c r="Q45" i="38" s="1"/>
  <c r="Q46" i="23"/>
  <c r="Q75" i="23" s="1"/>
  <c r="Q32" i="23"/>
  <c r="Q61" i="23" s="1"/>
  <c r="Q41" i="23"/>
  <c r="Q70" i="23" s="1"/>
  <c r="Q39" i="23"/>
  <c r="Q68" i="23" s="1"/>
  <c r="Q35" i="23"/>
  <c r="Q64" i="23" s="1"/>
  <c r="Q30" i="23"/>
  <c r="Q45" i="23"/>
  <c r="Q74" i="23" s="1"/>
  <c r="Q33" i="23"/>
  <c r="Q62" i="23" s="1"/>
  <c r="Q37" i="23"/>
  <c r="Q66" i="23" s="1"/>
  <c r="Q34" i="23"/>
  <c r="Q63" i="23" s="1"/>
  <c r="Q36" i="23"/>
  <c r="Q65" i="23" s="1"/>
  <c r="Q40" i="23"/>
  <c r="Q69" i="23" s="1"/>
  <c r="Q42" i="23"/>
  <c r="Q71" i="23" s="1"/>
  <c r="K17" i="13"/>
  <c r="K19" i="13"/>
  <c r="K33" i="13" s="1"/>
  <c r="Q24" i="31"/>
  <c r="Q25" i="31"/>
  <c r="Q38" i="31" s="1"/>
  <c r="K40" i="22"/>
  <c r="K64" i="22" s="1"/>
  <c r="K35" i="22"/>
  <c r="K59" i="22" s="1"/>
  <c r="K39" i="22"/>
  <c r="K63" i="22" s="1"/>
  <c r="K33" i="22"/>
  <c r="K57" i="22" s="1"/>
  <c r="K30" i="22"/>
  <c r="K54" i="22" s="1"/>
  <c r="K36" i="22"/>
  <c r="K60" i="22" s="1"/>
  <c r="K34" i="22"/>
  <c r="K58" i="22" s="1"/>
  <c r="K38" i="22"/>
  <c r="K62" i="22" s="1"/>
  <c r="K29" i="22"/>
  <c r="K37" i="22"/>
  <c r="K61" i="22" s="1"/>
  <c r="H25" i="31"/>
  <c r="H38" i="31" s="1"/>
  <c r="H24" i="31"/>
  <c r="H37" i="22"/>
  <c r="H61" i="22" s="1"/>
  <c r="H33" i="22"/>
  <c r="H57" i="22" s="1"/>
  <c r="H35" i="22"/>
  <c r="H59" i="22" s="1"/>
  <c r="H34" i="22"/>
  <c r="H58" i="22" s="1"/>
  <c r="H36" i="22"/>
  <c r="H60" i="22" s="1"/>
  <c r="H38" i="22"/>
  <c r="H62" i="22" s="1"/>
  <c r="H29" i="22"/>
  <c r="H40" i="22"/>
  <c r="H64" i="22" s="1"/>
  <c r="H39" i="22"/>
  <c r="H63" i="22" s="1"/>
  <c r="H30" i="22"/>
  <c r="H54" i="22" s="1"/>
  <c r="T44" i="38"/>
  <c r="T45" i="38" s="1"/>
  <c r="T31" i="38"/>
  <c r="I44" i="38"/>
  <c r="I45" i="38" s="1"/>
  <c r="I31" i="38"/>
  <c r="G23" i="33"/>
  <c r="I25" i="33" s="1"/>
  <c r="I15" i="33"/>
  <c r="G39" i="22"/>
  <c r="G63" i="22" s="1"/>
  <c r="G37" i="22"/>
  <c r="G61" i="22" s="1"/>
  <c r="G40" i="22"/>
  <c r="G64" i="22" s="1"/>
  <c r="G36" i="22"/>
  <c r="G60" i="22" s="1"/>
  <c r="G34" i="22"/>
  <c r="G58" i="22" s="1"/>
  <c r="G29" i="22"/>
  <c r="G35" i="22"/>
  <c r="G59" i="22" s="1"/>
  <c r="G30" i="22"/>
  <c r="G54" i="22" s="1"/>
  <c r="G33" i="22"/>
  <c r="G57" i="22" s="1"/>
  <c r="G38" i="22"/>
  <c r="G62" i="22" s="1"/>
  <c r="J26" i="25"/>
  <c r="J44" i="25" s="1"/>
  <c r="J23" i="25"/>
  <c r="J25" i="25"/>
  <c r="J43" i="25" s="1"/>
  <c r="J27" i="25"/>
  <c r="J45" i="25" s="1"/>
  <c r="S42" i="4"/>
  <c r="S80" i="4" s="1"/>
  <c r="S49" i="4"/>
  <c r="S87" i="4" s="1"/>
  <c r="S45" i="4"/>
  <c r="S83" i="4" s="1"/>
  <c r="S41" i="4"/>
  <c r="S79" i="4" s="1"/>
  <c r="S44" i="4"/>
  <c r="S82" i="4" s="1"/>
  <c r="S40" i="4"/>
  <c r="S43" i="4"/>
  <c r="S81" i="4" s="1"/>
  <c r="S46" i="4"/>
  <c r="S84" i="4" s="1"/>
  <c r="S50" i="4"/>
  <c r="S88" i="4" s="1"/>
  <c r="S48" i="4"/>
  <c r="S86" i="4" s="1"/>
  <c r="S47" i="4"/>
  <c r="S85" i="4" s="1"/>
  <c r="O22" i="7"/>
  <c r="O12" i="7"/>
  <c r="O12" i="8"/>
  <c r="M21" i="8"/>
  <c r="O23" i="8" s="1"/>
  <c r="O24" i="5"/>
  <c r="O34" i="5"/>
  <c r="O36" i="5" s="1"/>
  <c r="P27" i="25"/>
  <c r="P45" i="25" s="1"/>
  <c r="P25" i="25"/>
  <c r="P43" i="25" s="1"/>
  <c r="P26" i="25"/>
  <c r="P44" i="25" s="1"/>
  <c r="P23" i="25"/>
  <c r="Q29" i="18"/>
  <c r="Q49" i="18" s="1"/>
  <c r="Q35" i="18"/>
  <c r="Q55" i="18" s="1"/>
  <c r="Q27" i="18"/>
  <c r="Q28" i="18"/>
  <c r="Q48" i="18" s="1"/>
  <c r="Q30" i="18"/>
  <c r="Q50" i="18" s="1"/>
  <c r="K24" i="17"/>
  <c r="K43" i="17" s="1"/>
  <c r="K19" i="17"/>
  <c r="K21" i="17"/>
  <c r="K40" i="17" s="1"/>
  <c r="K26" i="17"/>
  <c r="K45" i="17" s="1"/>
  <c r="K25" i="17"/>
  <c r="K44" i="17" s="1"/>
  <c r="K23" i="17"/>
  <c r="K42" i="17" s="1"/>
  <c r="K20" i="17"/>
  <c r="K39" i="17" s="1"/>
  <c r="V20" i="1"/>
  <c r="W20" i="1"/>
  <c r="Y20" i="1"/>
  <c r="AH20" i="1"/>
  <c r="X20" i="1"/>
  <c r="V7" i="1"/>
  <c r="AH7" i="1"/>
  <c r="Z20" i="1"/>
  <c r="AB20" i="1"/>
  <c r="AA20" i="1"/>
  <c r="X7" i="1"/>
  <c r="Z7" i="1"/>
  <c r="AB7" i="1"/>
  <c r="W7" i="1"/>
  <c r="AA7" i="1"/>
  <c r="Y7" i="1"/>
  <c r="V9" i="1"/>
  <c r="X9" i="1"/>
  <c r="Z9" i="1"/>
  <c r="AB9" i="1"/>
  <c r="AA9" i="1"/>
  <c r="Y9" i="1"/>
  <c r="W9" i="1"/>
  <c r="N49" i="26" l="1"/>
  <c r="N51" i="26" s="1"/>
  <c r="O51" i="26"/>
  <c r="R31" i="26"/>
  <c r="M49" i="26"/>
  <c r="R53" i="3"/>
  <c r="R50" i="56" s="1"/>
  <c r="K49" i="26"/>
  <c r="K51" i="26" s="1"/>
  <c r="O31" i="26"/>
  <c r="O33" i="26" s="1"/>
  <c r="G31" i="26"/>
  <c r="Q49" i="26"/>
  <c r="Q51" i="26" s="1"/>
  <c r="R53" i="26" s="1"/>
  <c r="P31" i="26"/>
  <c r="J51" i="26"/>
  <c r="M51" i="26"/>
  <c r="O53" i="26" s="1"/>
  <c r="L33" i="3"/>
  <c r="K33" i="3"/>
  <c r="P53" i="3"/>
  <c r="R48" i="56" s="1"/>
  <c r="I33" i="3"/>
  <c r="I44" i="3"/>
  <c r="I53" i="3" s="1"/>
  <c r="R41" i="56" s="1"/>
  <c r="S33" i="3"/>
  <c r="Q53" i="3"/>
  <c r="R49" i="56" s="1"/>
  <c r="J53" i="3"/>
  <c r="R42" i="56" s="1"/>
  <c r="Q33" i="3"/>
  <c r="R33" i="3"/>
  <c r="M33" i="3"/>
  <c r="H33" i="3"/>
  <c r="O53" i="3"/>
  <c r="R47" i="56" s="1"/>
  <c r="N33" i="3"/>
  <c r="S44" i="3"/>
  <c r="S53" i="3" s="1"/>
  <c r="T53" i="3"/>
  <c r="R52" i="56" s="1"/>
  <c r="H49" i="26"/>
  <c r="H51" i="26" s="1"/>
  <c r="I53" i="26" s="1"/>
  <c r="M44" i="3"/>
  <c r="M53" i="3" s="1"/>
  <c r="R45" i="56" s="1"/>
  <c r="J31" i="26"/>
  <c r="L33" i="26" s="1"/>
  <c r="X35" i="26" s="1"/>
  <c r="J33" i="3"/>
  <c r="T33" i="3"/>
  <c r="O33" i="3"/>
  <c r="K44" i="3"/>
  <c r="K53" i="3" s="1"/>
  <c r="R43" i="56" s="1"/>
  <c r="L44" i="3"/>
  <c r="L53" i="3" s="1"/>
  <c r="R44" i="56" s="1"/>
  <c r="G53" i="3"/>
  <c r="R39" i="56" s="1"/>
  <c r="H44" i="3"/>
  <c r="H53" i="3" s="1"/>
  <c r="R40" i="56" s="1"/>
  <c r="P33" i="3"/>
  <c r="N53" i="3"/>
  <c r="R46" i="56" s="1"/>
  <c r="U14" i="7"/>
  <c r="L13" i="7"/>
  <c r="L23" i="7"/>
  <c r="O23" i="7"/>
  <c r="L47" i="38"/>
  <c r="X49" i="38" s="1"/>
  <c r="L33" i="38"/>
  <c r="X35" i="38" s="1"/>
  <c r="I38" i="5"/>
  <c r="O13" i="8"/>
  <c r="O47" i="38"/>
  <c r="O33" i="38"/>
  <c r="O24" i="8"/>
  <c r="R16" i="33"/>
  <c r="R26" i="33"/>
  <c r="L13" i="8"/>
  <c r="O13" i="7"/>
  <c r="R47" i="38"/>
  <c r="I47" i="38"/>
  <c r="Q53" i="22"/>
  <c r="Q65" i="22" s="1"/>
  <c r="Q41" i="22"/>
  <c r="R67" i="20"/>
  <c r="R80" i="20" s="1"/>
  <c r="Z122" i="56" s="1"/>
  <c r="R52" i="20"/>
  <c r="S78" i="4"/>
  <c r="S104" i="4" s="1"/>
  <c r="AI62" i="56" s="1"/>
  <c r="S66" i="4"/>
  <c r="M38" i="17"/>
  <c r="M46" i="17" s="1"/>
  <c r="M27" i="17"/>
  <c r="P67" i="20"/>
  <c r="P80" i="20" s="1"/>
  <c r="Z120" i="56" s="1"/>
  <c r="P52" i="20"/>
  <c r="J67" i="20"/>
  <c r="J80" i="20" s="1"/>
  <c r="Z114" i="56" s="1"/>
  <c r="J52" i="20"/>
  <c r="R23" i="7"/>
  <c r="O26" i="33"/>
  <c r="U17" i="33"/>
  <c r="U16" i="33"/>
  <c r="O38" i="5"/>
  <c r="N31" i="13"/>
  <c r="N34" i="13" s="1"/>
  <c r="L82" i="56" s="1"/>
  <c r="N20" i="13"/>
  <c r="L38" i="17"/>
  <c r="L46" i="17" s="1"/>
  <c r="L27" i="17"/>
  <c r="H41" i="25"/>
  <c r="H47" i="25" s="1"/>
  <c r="H29" i="25"/>
  <c r="P41" i="25"/>
  <c r="P47" i="25" s="1"/>
  <c r="P29" i="25"/>
  <c r="Q26" i="31"/>
  <c r="Q37" i="31"/>
  <c r="Q39" i="31" s="1"/>
  <c r="I33" i="26"/>
  <c r="G41" i="25"/>
  <c r="G47" i="25" s="1"/>
  <c r="G29" i="25"/>
  <c r="I67" i="20"/>
  <c r="I80" i="20" s="1"/>
  <c r="Z113" i="56" s="1"/>
  <c r="I52" i="20"/>
  <c r="S37" i="31"/>
  <c r="S39" i="31" s="1"/>
  <c r="S26" i="31"/>
  <c r="N37" i="31"/>
  <c r="N39" i="31" s="1"/>
  <c r="N26" i="31"/>
  <c r="K38" i="17"/>
  <c r="K46" i="17" s="1"/>
  <c r="K27" i="17"/>
  <c r="G53" i="22"/>
  <c r="G65" i="22" s="1"/>
  <c r="G41" i="22"/>
  <c r="Q41" i="25"/>
  <c r="Q47" i="25" s="1"/>
  <c r="Q29" i="25"/>
  <c r="O53" i="22"/>
  <c r="O65" i="22" s="1"/>
  <c r="O41" i="22"/>
  <c r="M47" i="18"/>
  <c r="M56" i="18" s="1"/>
  <c r="M36" i="18"/>
  <c r="H67" i="20"/>
  <c r="H80" i="20" s="1"/>
  <c r="Z112" i="56" s="1"/>
  <c r="H52" i="20"/>
  <c r="V78" i="4"/>
  <c r="V104" i="4" s="1"/>
  <c r="AI65" i="56" s="1"/>
  <c r="V66" i="4"/>
  <c r="W66" i="4"/>
  <c r="W78" i="4"/>
  <c r="W104" i="4" s="1"/>
  <c r="AI66" i="56" s="1"/>
  <c r="Q38" i="17"/>
  <c r="Q46" i="17" s="1"/>
  <c r="Q27" i="17"/>
  <c r="S59" i="23"/>
  <c r="S77" i="23" s="1"/>
  <c r="AA99" i="56" s="1"/>
  <c r="S48" i="23"/>
  <c r="R13" i="7"/>
  <c r="P59" i="23"/>
  <c r="P77" i="23" s="1"/>
  <c r="AA96" i="56" s="1"/>
  <c r="P48" i="23"/>
  <c r="U27" i="33"/>
  <c r="U26" i="33"/>
  <c r="S41" i="25"/>
  <c r="S47" i="25" s="1"/>
  <c r="S29" i="25"/>
  <c r="T59" i="23"/>
  <c r="T77" i="23" s="1"/>
  <c r="AA100" i="56" s="1"/>
  <c r="T48" i="23"/>
  <c r="X59" i="23"/>
  <c r="X77" i="23" s="1"/>
  <c r="AA104" i="56" s="1"/>
  <c r="X48" i="23"/>
  <c r="Q67" i="20"/>
  <c r="Q80" i="20" s="1"/>
  <c r="Z121" i="56" s="1"/>
  <c r="Q52" i="20"/>
  <c r="M29" i="25"/>
  <c r="M41" i="25"/>
  <c r="M47" i="25" s="1"/>
  <c r="J53" i="22"/>
  <c r="J65" i="22" s="1"/>
  <c r="J41" i="22"/>
  <c r="P31" i="13"/>
  <c r="P34" i="13" s="1"/>
  <c r="L84" i="56" s="1"/>
  <c r="P20" i="13"/>
  <c r="K67" i="20"/>
  <c r="K80" i="20" s="1"/>
  <c r="Z115" i="56" s="1"/>
  <c r="K52" i="20"/>
  <c r="R13" i="8"/>
  <c r="R47" i="18"/>
  <c r="R56" i="18" s="1"/>
  <c r="R36" i="18"/>
  <c r="T66" i="4"/>
  <c r="T78" i="4"/>
  <c r="T104" i="4" s="1"/>
  <c r="AI63" i="56" s="1"/>
  <c r="L26" i="5"/>
  <c r="X28" i="5" s="1"/>
  <c r="N47" i="18"/>
  <c r="N56" i="18" s="1"/>
  <c r="N36" i="18"/>
  <c r="I47" i="18"/>
  <c r="I56" i="18" s="1"/>
  <c r="I36" i="18"/>
  <c r="S63" i="20"/>
  <c r="S80" i="20" s="1"/>
  <c r="Z123" i="56" s="1"/>
  <c r="S52" i="20"/>
  <c r="U78" i="4"/>
  <c r="U104" i="4" s="1"/>
  <c r="AI64" i="56" s="1"/>
  <c r="U66" i="4"/>
  <c r="O31" i="13"/>
  <c r="O34" i="13" s="1"/>
  <c r="L83" i="56" s="1"/>
  <c r="O20" i="13"/>
  <c r="H38" i="17"/>
  <c r="H46" i="17" s="1"/>
  <c r="H27" i="17"/>
  <c r="O67" i="20"/>
  <c r="O80" i="20" s="1"/>
  <c r="Z119" i="56" s="1"/>
  <c r="O52" i="20"/>
  <c r="G38" i="17"/>
  <c r="G46" i="17" s="1"/>
  <c r="G27" i="17"/>
  <c r="R24" i="8"/>
  <c r="G67" i="20"/>
  <c r="G80" i="20" s="1"/>
  <c r="Z111" i="56" s="1"/>
  <c r="G52" i="20"/>
  <c r="L38" i="5"/>
  <c r="X40" i="5" s="1"/>
  <c r="K53" i="22"/>
  <c r="K65" i="22" s="1"/>
  <c r="K41" i="22"/>
  <c r="H53" i="22"/>
  <c r="H65" i="22" s="1"/>
  <c r="H41" i="22"/>
  <c r="I53" i="22"/>
  <c r="I65" i="22" s="1"/>
  <c r="I41" i="22"/>
  <c r="K41" i="25"/>
  <c r="K47" i="25" s="1"/>
  <c r="K29" i="25"/>
  <c r="G37" i="31"/>
  <c r="G39" i="31" s="1"/>
  <c r="G26" i="31"/>
  <c r="R31" i="13"/>
  <c r="R34" i="13" s="1"/>
  <c r="L86" i="56" s="1"/>
  <c r="R20" i="13"/>
  <c r="N41" i="22"/>
  <c r="N53" i="22"/>
  <c r="N65" i="22" s="1"/>
  <c r="N78" i="4"/>
  <c r="N104" i="4" s="1"/>
  <c r="AI57" i="56" s="1"/>
  <c r="N66" i="4"/>
  <c r="G20" i="13"/>
  <c r="G31" i="13"/>
  <c r="G34" i="13" s="1"/>
  <c r="L75" i="56" s="1"/>
  <c r="I38" i="17"/>
  <c r="I46" i="17" s="1"/>
  <c r="I27" i="17"/>
  <c r="J37" i="31"/>
  <c r="J39" i="31" s="1"/>
  <c r="J26" i="31"/>
  <c r="J20" i="13"/>
  <c r="J31" i="13"/>
  <c r="J34" i="13" s="1"/>
  <c r="L78" i="56" s="1"/>
  <c r="R33" i="38"/>
  <c r="L67" i="20"/>
  <c r="L80" i="20" s="1"/>
  <c r="Z116" i="56" s="1"/>
  <c r="L52" i="20"/>
  <c r="M53" i="22"/>
  <c r="M65" i="22" s="1"/>
  <c r="M41" i="22"/>
  <c r="T63" i="20"/>
  <c r="T80" i="20" s="1"/>
  <c r="Z124" i="56" s="1"/>
  <c r="T52" i="20"/>
  <c r="Q47" i="18"/>
  <c r="Q56" i="18" s="1"/>
  <c r="Q36" i="18"/>
  <c r="R38" i="17"/>
  <c r="R46" i="17" s="1"/>
  <c r="R27" i="17"/>
  <c r="P38" i="17"/>
  <c r="P46" i="17" s="1"/>
  <c r="P27" i="17"/>
  <c r="T41" i="25"/>
  <c r="T47" i="25" s="1"/>
  <c r="T29" i="25"/>
  <c r="M31" i="13"/>
  <c r="M34" i="13" s="1"/>
  <c r="L81" i="56" s="1"/>
  <c r="M20" i="13"/>
  <c r="L47" i="18"/>
  <c r="L56" i="18" s="1"/>
  <c r="L36" i="18"/>
  <c r="R26" i="5"/>
  <c r="O38" i="17"/>
  <c r="O46" i="17" s="1"/>
  <c r="O27" i="17"/>
  <c r="AB79" i="4"/>
  <c r="AB66" i="4"/>
  <c r="AB104" i="4" s="1"/>
  <c r="Y78" i="4"/>
  <c r="Y104" i="4" s="1"/>
  <c r="AI68" i="56" s="1"/>
  <c r="Y66" i="4"/>
  <c r="M37" i="31"/>
  <c r="M39" i="31" s="1"/>
  <c r="M26" i="31"/>
  <c r="U59" i="23"/>
  <c r="U77" i="23" s="1"/>
  <c r="AA101" i="56" s="1"/>
  <c r="U48" i="23"/>
  <c r="S48" i="26"/>
  <c r="S51" i="26" s="1"/>
  <c r="S31" i="26"/>
  <c r="L20" i="13"/>
  <c r="L31" i="13"/>
  <c r="L34" i="13" s="1"/>
  <c r="L80" i="56" s="1"/>
  <c r="R38" i="5"/>
  <c r="U14" i="8"/>
  <c r="U13" i="8"/>
  <c r="T47" i="18"/>
  <c r="T56" i="18" s="1"/>
  <c r="T36" i="18"/>
  <c r="K31" i="13"/>
  <c r="K34" i="13" s="1"/>
  <c r="L79" i="56" s="1"/>
  <c r="K20" i="13"/>
  <c r="R29" i="25"/>
  <c r="R41" i="25"/>
  <c r="R47" i="25" s="1"/>
  <c r="O47" i="18"/>
  <c r="O56" i="18" s="1"/>
  <c r="O36" i="18"/>
  <c r="J41" i="25"/>
  <c r="J47" i="25" s="1"/>
  <c r="J29" i="25"/>
  <c r="K47" i="18"/>
  <c r="K56" i="18" s="1"/>
  <c r="K36" i="18"/>
  <c r="M67" i="20"/>
  <c r="M80" i="20" s="1"/>
  <c r="Z117" i="56" s="1"/>
  <c r="M52" i="20"/>
  <c r="T27" i="17"/>
  <c r="T37" i="17"/>
  <c r="T46" i="17" s="1"/>
  <c r="Y59" i="23"/>
  <c r="Y77" i="23" s="1"/>
  <c r="AA105" i="56" s="1"/>
  <c r="Y48" i="23"/>
  <c r="L53" i="22"/>
  <c r="L65" i="22" s="1"/>
  <c r="L41" i="22"/>
  <c r="L29" i="25"/>
  <c r="L41" i="25"/>
  <c r="L47" i="25" s="1"/>
  <c r="X78" i="4"/>
  <c r="X104" i="4" s="1"/>
  <c r="AI67" i="56" s="1"/>
  <c r="X66" i="4"/>
  <c r="O59" i="23"/>
  <c r="O77" i="23" s="1"/>
  <c r="AA95" i="56" s="1"/>
  <c r="O48" i="23"/>
  <c r="T53" i="22"/>
  <c r="T65" i="22" s="1"/>
  <c r="T41" i="22"/>
  <c r="W59" i="23"/>
  <c r="W77" i="23" s="1"/>
  <c r="AA103" i="56" s="1"/>
  <c r="W48" i="23"/>
  <c r="S31" i="13"/>
  <c r="S34" i="13" s="1"/>
  <c r="L87" i="56" s="1"/>
  <c r="S20" i="13"/>
  <c r="M59" i="23"/>
  <c r="M77" i="23" s="1"/>
  <c r="AA93" i="56" s="1"/>
  <c r="M48" i="23"/>
  <c r="U25" i="8"/>
  <c r="U24" i="8"/>
  <c r="P53" i="22"/>
  <c r="P65" i="22" s="1"/>
  <c r="P41" i="22"/>
  <c r="I37" i="31"/>
  <c r="I39" i="31" s="1"/>
  <c r="I26" i="31"/>
  <c r="Q31" i="13"/>
  <c r="Q34" i="13" s="1"/>
  <c r="L85" i="56" s="1"/>
  <c r="Q20" i="13"/>
  <c r="O29" i="25"/>
  <c r="O41" i="25"/>
  <c r="O47" i="25" s="1"/>
  <c r="G47" i="18"/>
  <c r="G56" i="18" s="1"/>
  <c r="G36" i="18"/>
  <c r="O16" i="33"/>
  <c r="L16" i="33"/>
  <c r="S37" i="17"/>
  <c r="S46" i="17" s="1"/>
  <c r="S27" i="17"/>
  <c r="I20" i="13"/>
  <c r="I31" i="13"/>
  <c r="I34" i="13" s="1"/>
  <c r="L77" i="56" s="1"/>
  <c r="I26" i="5"/>
  <c r="U26" i="5"/>
  <c r="H20" i="13"/>
  <c r="H31" i="13"/>
  <c r="H34" i="13" s="1"/>
  <c r="L76" i="56" s="1"/>
  <c r="V59" i="23"/>
  <c r="V77" i="23" s="1"/>
  <c r="AA102" i="56" s="1"/>
  <c r="V48" i="23"/>
  <c r="O78" i="4"/>
  <c r="O104" i="4" s="1"/>
  <c r="AI58" i="56" s="1"/>
  <c r="O66" i="4"/>
  <c r="S53" i="22"/>
  <c r="S65" i="22" s="1"/>
  <c r="S41" i="22"/>
  <c r="R53" i="22"/>
  <c r="R65" i="22" s="1"/>
  <c r="R41" i="22"/>
  <c r="Q66" i="4"/>
  <c r="Q78" i="4"/>
  <c r="Q104" i="4" s="1"/>
  <c r="AI60" i="56" s="1"/>
  <c r="U47" i="38"/>
  <c r="X48" i="38" s="1"/>
  <c r="U38" i="5"/>
  <c r="X39" i="5" s="1"/>
  <c r="N67" i="20"/>
  <c r="N80" i="20" s="1"/>
  <c r="Z118" i="56" s="1"/>
  <c r="N52" i="20"/>
  <c r="T20" i="13"/>
  <c r="T31" i="13"/>
  <c r="T34" i="13" s="1"/>
  <c r="L88" i="56" s="1"/>
  <c r="N38" i="17"/>
  <c r="N46" i="17" s="1"/>
  <c r="N27" i="17"/>
  <c r="P37" i="31"/>
  <c r="P39" i="31" s="1"/>
  <c r="P26" i="31"/>
  <c r="L26" i="33"/>
  <c r="N29" i="25"/>
  <c r="N41" i="25"/>
  <c r="N47" i="25" s="1"/>
  <c r="K37" i="31"/>
  <c r="K39" i="31" s="1"/>
  <c r="K26" i="31"/>
  <c r="Q59" i="23"/>
  <c r="Q77" i="23" s="1"/>
  <c r="AA97" i="56" s="1"/>
  <c r="Q48" i="23"/>
  <c r="P47" i="18"/>
  <c r="P56" i="18" s="1"/>
  <c r="P36" i="18"/>
  <c r="I33" i="38"/>
  <c r="H47" i="18"/>
  <c r="H56" i="18" s="1"/>
  <c r="H36" i="18"/>
  <c r="S47" i="18"/>
  <c r="S56" i="18" s="1"/>
  <c r="S36" i="18"/>
  <c r="U13" i="7"/>
  <c r="T37" i="31"/>
  <c r="T39" i="31" s="1"/>
  <c r="T26" i="31"/>
  <c r="Z59" i="23"/>
  <c r="Z77" i="23" s="1"/>
  <c r="AA106" i="56" s="1"/>
  <c r="Z48" i="23"/>
  <c r="U33" i="38"/>
  <c r="X34" i="38" s="1"/>
  <c r="I41" i="25"/>
  <c r="I47" i="25" s="1"/>
  <c r="I29" i="25"/>
  <c r="J47" i="18"/>
  <c r="J56" i="18" s="1"/>
  <c r="J36" i="18"/>
  <c r="AA66" i="4"/>
  <c r="AA78" i="4"/>
  <c r="AA104" i="4" s="1"/>
  <c r="AI70" i="56" s="1"/>
  <c r="O37" i="31"/>
  <c r="O39" i="31" s="1"/>
  <c r="O26" i="31"/>
  <c r="L37" i="31"/>
  <c r="L39" i="31" s="1"/>
  <c r="L26" i="31"/>
  <c r="H37" i="31"/>
  <c r="H39" i="31" s="1"/>
  <c r="H26" i="31"/>
  <c r="U24" i="7"/>
  <c r="U23" i="7"/>
  <c r="L24" i="8"/>
  <c r="R59" i="23"/>
  <c r="R77" i="23" s="1"/>
  <c r="AA98" i="56" s="1"/>
  <c r="R48" i="23"/>
  <c r="R37" i="31"/>
  <c r="R39" i="31" s="1"/>
  <c r="R26" i="31"/>
  <c r="R78" i="4"/>
  <c r="R104" i="4" s="1"/>
  <c r="AI61" i="56" s="1"/>
  <c r="R66" i="4"/>
  <c r="T48" i="26"/>
  <c r="T51" i="26" s="1"/>
  <c r="T31" i="26"/>
  <c r="N59" i="23"/>
  <c r="N77" i="23" s="1"/>
  <c r="AA94" i="56" s="1"/>
  <c r="N48" i="23"/>
  <c r="P78" i="4"/>
  <c r="P104" i="4" s="1"/>
  <c r="AI59" i="56" s="1"/>
  <c r="P66" i="4"/>
  <c r="Z78" i="4"/>
  <c r="Z104" i="4" s="1"/>
  <c r="AI69" i="56" s="1"/>
  <c r="Z66" i="4"/>
  <c r="O26" i="5"/>
  <c r="J38" i="17"/>
  <c r="J46" i="17" s="1"/>
  <c r="J27" i="17"/>
  <c r="R33" i="26" l="1"/>
  <c r="R55" i="3"/>
  <c r="I35" i="3"/>
  <c r="L53" i="26"/>
  <c r="X55" i="26" s="1"/>
  <c r="R35" i="3"/>
  <c r="S50" i="56"/>
  <c r="O35" i="3"/>
  <c r="U35" i="3"/>
  <c r="U36" i="3" s="1"/>
  <c r="L35" i="3"/>
  <c r="X37" i="3" s="1"/>
  <c r="S47" i="56"/>
  <c r="W47" i="56" s="1"/>
  <c r="U55" i="3"/>
  <c r="U56" i="3" s="1"/>
  <c r="R51" i="56"/>
  <c r="S53" i="56" s="1"/>
  <c r="S44" i="56"/>
  <c r="U44" i="56" s="1"/>
  <c r="I55" i="3"/>
  <c r="L55" i="3"/>
  <c r="X57" i="3" s="1"/>
  <c r="O55" i="3"/>
  <c r="R56" i="3" s="1"/>
  <c r="R36" i="3"/>
  <c r="S41" i="56"/>
  <c r="U41" i="56" s="1"/>
  <c r="U37" i="3"/>
  <c r="U50" i="56"/>
  <c r="W50" i="56"/>
  <c r="U27" i="5"/>
  <c r="X27" i="5"/>
  <c r="L48" i="38"/>
  <c r="AI71" i="56"/>
  <c r="AJ71" i="56" s="1"/>
  <c r="O48" i="38"/>
  <c r="AA113" i="56"/>
  <c r="AC113" i="56" s="1"/>
  <c r="M83" i="56"/>
  <c r="O83" i="56" s="1"/>
  <c r="M77" i="56"/>
  <c r="Q77" i="56" s="1"/>
  <c r="AJ68" i="56"/>
  <c r="AL68" i="56" s="1"/>
  <c r="AJ62" i="56"/>
  <c r="AN62" i="56" s="1"/>
  <c r="AB107" i="56"/>
  <c r="AA119" i="56"/>
  <c r="AE119" i="56" s="1"/>
  <c r="AJ65" i="56"/>
  <c r="AN65" i="56" s="1"/>
  <c r="AA125" i="56"/>
  <c r="AA116" i="56"/>
  <c r="AA122" i="56"/>
  <c r="M86" i="56"/>
  <c r="M80" i="56"/>
  <c r="M89" i="56"/>
  <c r="AB98" i="56"/>
  <c r="AB104" i="56"/>
  <c r="AB95" i="56"/>
  <c r="AB101" i="56"/>
  <c r="AJ59" i="56"/>
  <c r="L39" i="5"/>
  <c r="O34" i="38"/>
  <c r="R38" i="18"/>
  <c r="R34" i="38"/>
  <c r="R29" i="17"/>
  <c r="I38" i="18"/>
  <c r="R48" i="38"/>
  <c r="L22" i="13"/>
  <c r="X24" i="13" s="1"/>
  <c r="R34" i="26"/>
  <c r="O44" i="22"/>
  <c r="L44" i="22"/>
  <c r="X46" i="22" s="1"/>
  <c r="U34" i="38"/>
  <c r="O34" i="26"/>
  <c r="L48" i="17"/>
  <c r="X50" i="17" s="1"/>
  <c r="I58" i="18"/>
  <c r="O58" i="18"/>
  <c r="O27" i="5"/>
  <c r="U39" i="5"/>
  <c r="V106" i="4"/>
  <c r="Y68" i="4"/>
  <c r="S106" i="4"/>
  <c r="AE108" i="4" s="1"/>
  <c r="O79" i="23"/>
  <c r="S68" i="4"/>
  <c r="AE70" i="4" s="1"/>
  <c r="O22" i="13"/>
  <c r="I48" i="17"/>
  <c r="L34" i="26"/>
  <c r="U44" i="22"/>
  <c r="X45" i="22" s="1"/>
  <c r="L67" i="22"/>
  <c r="X69" i="22" s="1"/>
  <c r="R54" i="20"/>
  <c r="L54" i="20"/>
  <c r="X56" i="20" s="1"/>
  <c r="I82" i="20"/>
  <c r="R22" i="13"/>
  <c r="U22" i="13"/>
  <c r="X23" i="13" s="1"/>
  <c r="U29" i="17"/>
  <c r="X30" i="17" s="1"/>
  <c r="R48" i="17"/>
  <c r="U58" i="18"/>
  <c r="X59" i="18" s="1"/>
  <c r="U38" i="18"/>
  <c r="X39" i="18" s="1"/>
  <c r="L38" i="18"/>
  <c r="X40" i="18" s="1"/>
  <c r="O54" i="26"/>
  <c r="U31" i="25"/>
  <c r="X32" i="25" s="1"/>
  <c r="L49" i="25"/>
  <c r="X51" i="25" s="1"/>
  <c r="O41" i="31"/>
  <c r="R39" i="5"/>
  <c r="P68" i="4"/>
  <c r="R49" i="25"/>
  <c r="L31" i="25"/>
  <c r="X33" i="25" s="1"/>
  <c r="P106" i="4"/>
  <c r="R36" i="13"/>
  <c r="U79" i="23"/>
  <c r="U28" i="31"/>
  <c r="X29" i="31" s="1"/>
  <c r="L82" i="20"/>
  <c r="X84" i="20" s="1"/>
  <c r="AB68" i="4"/>
  <c r="AE69" i="4" s="1"/>
  <c r="O50" i="23"/>
  <c r="U49" i="38"/>
  <c r="U48" i="38"/>
  <c r="U50" i="23"/>
  <c r="U41" i="31"/>
  <c r="X42" i="31" s="1"/>
  <c r="U28" i="5"/>
  <c r="U36" i="13"/>
  <c r="X37" i="13" s="1"/>
  <c r="O67" i="22"/>
  <c r="R82" i="20"/>
  <c r="L36" i="13"/>
  <c r="X38" i="13" s="1"/>
  <c r="U33" i="26"/>
  <c r="X34" i="26" s="1"/>
  <c r="R27" i="5"/>
  <c r="L28" i="31"/>
  <c r="X30" i="31" s="1"/>
  <c r="U40" i="5"/>
  <c r="L27" i="5"/>
  <c r="O49" i="25"/>
  <c r="Y106" i="4"/>
  <c r="O29" i="17"/>
  <c r="L58" i="18"/>
  <c r="X60" i="18" s="1"/>
  <c r="R28" i="31"/>
  <c r="AA50" i="23"/>
  <c r="AD51" i="23" s="1"/>
  <c r="U53" i="26"/>
  <c r="X54" i="26" s="1"/>
  <c r="L41" i="31"/>
  <c r="X43" i="31" s="1"/>
  <c r="O31" i="25"/>
  <c r="I31" i="25"/>
  <c r="O48" i="17"/>
  <c r="R79" i="23"/>
  <c r="AD81" i="23" s="1"/>
  <c r="L29" i="17"/>
  <c r="X31" i="17" s="1"/>
  <c r="I67" i="22"/>
  <c r="U35" i="38"/>
  <c r="R41" i="31"/>
  <c r="AA79" i="23"/>
  <c r="AD80" i="23" s="1"/>
  <c r="R58" i="18"/>
  <c r="V68" i="4"/>
  <c r="U49" i="25"/>
  <c r="X50" i="25" s="1"/>
  <c r="I49" i="25"/>
  <c r="I28" i="31"/>
  <c r="I44" i="22"/>
  <c r="R54" i="26"/>
  <c r="O39" i="5"/>
  <c r="U67" i="22"/>
  <c r="X68" i="22" s="1"/>
  <c r="U48" i="17"/>
  <c r="X49" i="17" s="1"/>
  <c r="R44" i="22"/>
  <c r="O28" i="31"/>
  <c r="O36" i="13"/>
  <c r="I41" i="31"/>
  <c r="I54" i="20"/>
  <c r="R50" i="23"/>
  <c r="AD52" i="23" s="1"/>
  <c r="AB106" i="4"/>
  <c r="AE107" i="4" s="1"/>
  <c r="O82" i="20"/>
  <c r="I36" i="13"/>
  <c r="U54" i="20"/>
  <c r="X55" i="20" s="1"/>
  <c r="X79" i="23"/>
  <c r="L34" i="38"/>
  <c r="O54" i="20"/>
  <c r="X50" i="23"/>
  <c r="I22" i="13"/>
  <c r="I29" i="17"/>
  <c r="U82" i="20"/>
  <c r="X83" i="20" s="1"/>
  <c r="O38" i="18"/>
  <c r="R31" i="25"/>
  <c r="R67" i="22"/>
  <c r="U57" i="3" l="1"/>
  <c r="L54" i="26"/>
  <c r="O56" i="3"/>
  <c r="O36" i="3"/>
  <c r="X36" i="3"/>
  <c r="L36" i="3"/>
  <c r="U47" i="56"/>
  <c r="L56" i="3"/>
  <c r="X56" i="3"/>
  <c r="W44" i="56"/>
  <c r="W41" i="56"/>
  <c r="X50" i="56"/>
  <c r="Z53" i="56" s="1"/>
  <c r="AC119" i="56"/>
  <c r="AE113" i="56"/>
  <c r="AN68" i="56"/>
  <c r="O77" i="56"/>
  <c r="AL62" i="56"/>
  <c r="U30" i="17"/>
  <c r="Q83" i="56"/>
  <c r="R30" i="17"/>
  <c r="U39" i="18"/>
  <c r="AL65" i="56"/>
  <c r="AC122" i="56"/>
  <c r="AE122" i="56"/>
  <c r="AC116" i="56"/>
  <c r="AE116" i="56"/>
  <c r="O80" i="56"/>
  <c r="Q80" i="56"/>
  <c r="O86" i="56"/>
  <c r="Q86" i="56"/>
  <c r="L39" i="18"/>
  <c r="AD101" i="56"/>
  <c r="AF101" i="56"/>
  <c r="AF95" i="56"/>
  <c r="AD95" i="56"/>
  <c r="AD104" i="56"/>
  <c r="AF104" i="56"/>
  <c r="AD98" i="56"/>
  <c r="AF98" i="56"/>
  <c r="AN59" i="56"/>
  <c r="AL59" i="56"/>
  <c r="O42" i="31"/>
  <c r="L59" i="18"/>
  <c r="U40" i="18"/>
  <c r="S107" i="4"/>
  <c r="R45" i="22"/>
  <c r="V107" i="4"/>
  <c r="L49" i="17"/>
  <c r="R80" i="23"/>
  <c r="L45" i="22"/>
  <c r="O55" i="20"/>
  <c r="U31" i="17"/>
  <c r="O39" i="18"/>
  <c r="L32" i="25"/>
  <c r="O29" i="31"/>
  <c r="S69" i="4"/>
  <c r="Y69" i="4"/>
  <c r="R42" i="31"/>
  <c r="L83" i="20"/>
  <c r="O23" i="13"/>
  <c r="U84" i="20"/>
  <c r="Y107" i="4"/>
  <c r="L23" i="13"/>
  <c r="L55" i="20"/>
  <c r="O45" i="22"/>
  <c r="O49" i="17"/>
  <c r="L68" i="22"/>
  <c r="R51" i="23"/>
  <c r="U60" i="18"/>
  <c r="L50" i="25"/>
  <c r="O50" i="25"/>
  <c r="V69" i="4"/>
  <c r="R23" i="13"/>
  <c r="R59" i="18"/>
  <c r="AA81" i="23"/>
  <c r="U24" i="13"/>
  <c r="U23" i="13"/>
  <c r="O37" i="13"/>
  <c r="L30" i="17"/>
  <c r="U59" i="18"/>
  <c r="R32" i="25"/>
  <c r="U80" i="23"/>
  <c r="U51" i="23"/>
  <c r="U38" i="13"/>
  <c r="U37" i="13"/>
  <c r="AB70" i="4"/>
  <c r="AB69" i="4"/>
  <c r="U55" i="20"/>
  <c r="U56" i="20"/>
  <c r="AA80" i="23"/>
  <c r="X80" i="23"/>
  <c r="U29" i="31"/>
  <c r="U30" i="31"/>
  <c r="R37" i="13"/>
  <c r="U54" i="26"/>
  <c r="U55" i="26"/>
  <c r="R55" i="20"/>
  <c r="U68" i="22"/>
  <c r="U69" i="22"/>
  <c r="U46" i="22"/>
  <c r="R49" i="17"/>
  <c r="AB108" i="4"/>
  <c r="AB107" i="4"/>
  <c r="U33" i="25"/>
  <c r="L37" i="13"/>
  <c r="U49" i="17"/>
  <c r="U50" i="17"/>
  <c r="O83" i="20"/>
  <c r="U43" i="31"/>
  <c r="U42" i="31"/>
  <c r="U34" i="26"/>
  <c r="U35" i="26"/>
  <c r="R39" i="18"/>
  <c r="O59" i="18"/>
  <c r="AA52" i="23"/>
  <c r="AA51" i="23"/>
  <c r="R29" i="31"/>
  <c r="L29" i="31"/>
  <c r="U45" i="22"/>
  <c r="U50" i="25"/>
  <c r="U51" i="25"/>
  <c r="U32" i="25"/>
  <c r="R50" i="25"/>
  <c r="O32" i="25"/>
  <c r="U83" i="20"/>
  <c r="R83" i="20"/>
  <c r="X51" i="23"/>
  <c r="L42" i="31"/>
  <c r="O30" i="17"/>
  <c r="R68" i="22"/>
  <c r="O68" i="22"/>
  <c r="Y50" i="56" l="1"/>
  <c r="AA53" i="56" s="1"/>
  <c r="AP68" i="56"/>
  <c r="AR71" i="56" s="1"/>
  <c r="AF122" i="56"/>
  <c r="AH125" i="56" s="1"/>
  <c r="AO68" i="56"/>
  <c r="AQ71" i="56" s="1"/>
  <c r="S86" i="56"/>
  <c r="U89" i="56" s="1"/>
  <c r="R86" i="56"/>
  <c r="T89" i="56" s="1"/>
  <c r="AG122" i="56"/>
  <c r="AI125" i="56" s="1"/>
  <c r="AH104" i="56"/>
  <c r="AJ107" i="56" s="1"/>
  <c r="AG104" i="56"/>
  <c r="AI107"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tc={2D9396B3-6FBF-45B1-B69C-1739E464690B}</author>
    <author>tc={93310B05-BE99-4E56-8C05-F468E5BD7079}</author>
    <author>tc={D0A81E51-2A6B-4DF5-A81E-E3A034B08BD6}</author>
    <author>tc={F9E546B5-793A-4C65-A312-4449686239BB}</author>
    <author>tc={F03395C3-AB74-4D0D-A5DD-F972AF0F1A4D}</author>
    <author>tc={F8B40939-9182-4F99-92BE-FDC754772DAF}</author>
    <author>tc={A1678B61-ADAA-484D-A887-DF647E309DA4}</author>
    <author>tc={218CC77C-9795-4214-B54E-0C70BF014BE3}</author>
    <author>tc={BBD1355A-1134-4EDE-9DCB-D6826A7C367B}</author>
    <author>tc={25D3F4C7-5760-4701-97F3-366ED4D66DF4}</author>
    <author>tc={54422567-71F7-4028-AD57-9B14D161CBD3}</author>
    <author>tc={A0BC244D-C772-4652-8E65-44221624AFBE}</author>
    <author>tc={D65437CB-3F41-4243-92D1-B51E791D7D26}</author>
    <author>tc={87B27EBD-0FE9-4957-9A96-19C51A9DDF35}</author>
    <author>tc={ACE0F99F-0F2C-4978-B443-5E1C6B6D1A02}</author>
    <author>tc={CC238E99-9BD3-454C-9B2D-1081EECED79D}</author>
    <author>tc={F2EBE565-7E83-4743-BE09-5521F8B19695}</author>
    <author>tc={ABFBBC19-5370-4FC2-9FBE-5B4CABE68DE7}</author>
  </authors>
  <commentList>
    <comment ref="S5" authorId="0" shapeId="0" xr:uid="{2D9396B3-6FBF-45B1-B69C-1739E464690B}">
      <text>
        <t>[Yorum yazışması]
Excel sürümünüz bu yorum yazışmasını okumanıza izin veriyor, ancak dosya daha yeni bir Excel sürümünde açılırsa, yapılan düzenlemeler kaldırılır. Daha fazla bilgi: https://go.microsoft.com/fwlink/?linkid=870924.
Açıklama:
    270 TERMİK 618 FUEL OIL</t>
      </text>
    </comment>
    <comment ref="AD5" authorId="1" shapeId="0" xr:uid="{93310B05-BE99-4E56-8C05-F468E5BD7079}">
      <text>
        <t xml:space="preserve">[Yorum yazışması]
Excel sürümünüz bu yorum yazışmasını okumanıza izin veriyor, ancak dosya daha yeni bir Excel sürümünde açılırsa, yapılan düzenlemeler kaldırılır. Daha fazla bilgi: https://go.microsoft.com/fwlink/?linkid=870924.
Açıklama:
    HFO AKARYAKIT
</t>
      </text>
    </comment>
    <comment ref="O6" authorId="2" shapeId="0" xr:uid="{D0A81E51-2A6B-4DF5-A81E-E3A034B08BD6}">
      <text>
        <t>[Yorum yazışması]
Excel sürümünüz bu yorum yazışmasını okumanıza izin veriyor, ancak dosya daha yeni bir Excel sürümünde açılırsa, yapılan düzenlemeler kaldırılır. Daha fazla bilgi: https://go.microsoft.com/fwlink/?linkid=870924.
Açıklama:
    26,54 MW GOLTS SAHİP OLDUĞU 104,3 MW KURULU GÜCÜNDEN GELMEKTEDİR. ŞİRKETİN GOLTS’DA %25,45 PAYI BULUNMAKTADIR.</t>
      </text>
    </comment>
    <comment ref="T7" authorId="3" shapeId="0" xr:uid="{F9E546B5-793A-4C65-A312-4449686239BB}">
      <text>
        <t xml:space="preserve">[Yorum yazışması]
Excel sürümünüz bu yorum yazışmasını okumanıza izin veriyor, ancak dosya daha yeni bir Excel sürümünde açılırsa, yapılan düzenlemeler kaldırılır. Daha fazla bilgi: https://go.microsoft.com/fwlink/?linkid=870924.
Açıklama:
    ALFAS SOLAR TOPLAMDA 39,88 MW GESDEN ENERJİ ÜRETİMİ GERÇEKLEŞTİRİYOR BUNUN 17 MW’NI FABRİKADA KENDİ İHTİYAÇLARI İÇİN KULLANIYOR </t>
      </text>
    </comment>
    <comment ref="AD7" authorId="4" shapeId="0" xr:uid="{F03395C3-AB74-4D0D-A5DD-F972AF0F1A4D}">
      <text>
        <t xml:space="preserve">[Yorum yazışması]
Excel sürümünüz bu yorum yazışmasını okumanıza izin veriyor, ancak dosya daha yeni bir Excel sürümünde açılırsa, yapılan düzenlemeler kaldırılır. Daha fazla bilgi: https://go.microsoft.com/fwlink/?linkid=870924.
Açıklama:
    EN YAKIN ZAMANDA TAMAMLANACAK DEMİŞLER
</t>
      </text>
    </comment>
    <comment ref="O9" authorId="5" shapeId="0" xr:uid="{F8B40939-9182-4F99-92BE-FDC754772DAF}">
      <text>
        <t xml:space="preserve">[Yorum yazışması]
Excel sürümünüz bu yorum yazışmasını okumanıza izin veriyor, ancak dosya daha yeni bir Excel sürümünde açılırsa, yapılan düzenlemeler kaldırılır. Daha fazla bilgi: https://go.microsoft.com/fwlink/?linkid=870924.
Açıklama:
    ŞİRKETİN ARNAVUTLUKTAKİ HES PROJELERİ KURULU GÜÇE DAHİL EDİLMEMİŞTİR.
</t>
      </text>
    </comment>
    <comment ref="AF9" authorId="6" shapeId="0" xr:uid="{A1678B61-ADAA-484D-A887-DF647E309DA4}">
      <text>
        <t>[Yorum yazışması]
Excel sürümünüz bu yorum yazışmasını okumanıza izin veriyor, ancak dosya daha yeni bir Excel sürümünde açılırsa, yapılan düzenlemeler kaldırılır. Daha fazla bilgi: https://go.microsoft.com/fwlink/?linkid=870924.
Açıklama:
    111 MW HES ARNAVUTLUKTA</t>
      </text>
    </comment>
    <comment ref="S12" authorId="7" shapeId="0" xr:uid="{218CC77C-9795-4214-B54E-0C70BF014BE3}">
      <text>
        <t xml:space="preserve">[Yorum yazışması]
Excel sürümünüz bu yorum yazışmasını okumanıza izin veriyor, ancak dosya daha yeni bir Excel sürümünde açılırsa, yapılan düzenlemeler kaldırılır. Daha fazla bilgi: https://go.microsoft.com/fwlink/?linkid=870924.
Açıklama:
    340 MWm ÜRETİLİYOR </t>
      </text>
    </comment>
    <comment ref="T14" authorId="8" shapeId="0" xr:uid="{BBD1355A-1134-4EDE-9DCB-D6826A7C367B}">
      <text>
        <t>[Yorum yazışması]
Excel sürümünüz bu yorum yazışmasını okumanıza izin veriyor, ancak dosya daha yeni bir Excel sürümünde açılırsa, yapılan düzenlemeler kaldırılır. Daha fazla bilgi: https://go.microsoft.com/fwlink/?linkid=870924.
Açıklama:
    Şirket toplam kurulu güçü 107,4 MW olup 62,4 MW kısmı dağıtık enerjiden gelmektedir. BU İŞLEM BAĞLI ORTAKLIK Tres Enerji üzerinden gerçekleştiirlmektedir.</t>
      </text>
    </comment>
    <comment ref="AE14" authorId="9" shapeId="0" xr:uid="{25D3F4C7-5760-4701-97F3-366ED4D66DF4}">
      <text>
        <t>[Yorum yazışması]
Excel sürümünüz bu yorum yazışmasını okumanıza izin veriyor, ancak dosya daha yeni bir Excel sürümünde açılırsa, yapılan düzenlemeler kaldırılır. Daha fazla bilgi: https://go.microsoft.com/fwlink/?linkid=870924.
Açıklama:
    SANTRALLER BAHAMADA KURULACAK</t>
      </text>
    </comment>
    <comment ref="M19" authorId="10" shapeId="0" xr:uid="{54422567-71F7-4028-AD57-9B14D161CBD3}">
      <text>
        <t>[Yorum yazışması]
Excel sürümünüz bu yorum yazışmasını okumanıza izin veriyor, ancak dosya daha yeni bir Excel sürümünde açılırsa, yapılan düzenlemeler kaldırılır. Daha fazla bilgi: https://go.microsoft.com/fwlink/?linkid=870924.
Açıklama:
    36,2 MW HİBRİT GES</t>
      </text>
    </comment>
    <comment ref="O20" authorId="11" shapeId="0" xr:uid="{A0BC244D-C772-4652-8E65-44221624AFBE}">
      <text>
        <t xml:space="preserve">[Yorum yazışması]
Excel sürümünüz bu yorum yazışmasını okumanıza izin veriyor, ancak dosya daha yeni bir Excel sürümünde açılırsa, yapılan düzenlemeler kaldırılır. Daha fazla bilgi: https://go.microsoft.com/fwlink/?linkid=870924.
Açıklama:
    14 MW KURULU GÜCE SAHİP BAĞBAŞI HES’İN ÇED OLUMLU RAPORUNUN KISMEN İPTAL EDİLMESİ NEDENİYLE FAALİYERLERİ GEÇİÇİ OLARAK DURDURULDU.
</t>
      </text>
    </comment>
    <comment ref="AF23" authorId="12" shapeId="0" xr:uid="{D65437CB-3F41-4243-92D1-B51E791D7D26}">
      <text>
        <t xml:space="preserve">[Yorum yazışması]
Excel sürümünüz bu yorum yazışmasını okumanıza izin veriyor, ancak dosya daha yeni bir Excel sürümünde açılırsa, yapılan düzenlemeler kaldırılır. Daha fazla bilgi: https://go.microsoft.com/fwlink/?linkid=870924.
Açıklama:
    ARNAVUTLUK </t>
      </text>
    </comment>
    <comment ref="R24" authorId="13" shapeId="0" xr:uid="{87B27EBD-0FE9-4957-9A96-19C51A9DDF35}">
      <text>
        <t>[Yorum yazışması]
Excel sürümünüz bu yorum yazışmasını okumanıza izin veriyor, ancak dosya daha yeni bir Excel sürümünde açılırsa, yapılan düzenlemeler kaldırılır. Daha fazla bilgi: https://go.microsoft.com/fwlink/?linkid=870924.
Açıklama:
    ÖZBEKİSTAN DOIĞALGAZ ÇEVRİM SANTRALİNDEN GELİYOR</t>
      </text>
    </comment>
    <comment ref="S24" authorId="14" shapeId="0" xr:uid="{ACE0F99F-0F2C-4978-B443-5E1C6B6D1A02}">
      <text>
        <t>[Yorum yazışması]
Excel sürümünüz bu yorum yazışmasını okumanıza izin veriyor, ancak dosya daha yeni bir Excel sürümünde açılırsa, yapılan düzenlemeler kaldırılır. Daha fazla bilgi: https://go.microsoft.com/fwlink/?linkid=870924.
Açıklama:
    CANTEDEKİ ORTAKLIĞINDAN GELİYOR</t>
      </text>
    </comment>
    <comment ref="M26" authorId="15" shapeId="0" xr:uid="{CC238E99-9BD3-454C-9B2D-1081EECED79D}">
      <text>
        <t>[Yorum yazışması]
Excel sürümünüz bu yorum yazışmasını okumanıza izin veriyor, ancak dosya daha yeni bir Excel sürümünde açılırsa, yapılan düzenlemeler kaldırılır. Daha fazla bilgi: https://go.microsoft.com/fwlink/?linkid=870924.
Açıklama:
    100 MWe kurulu güce sahip projenin %93,01’lik kısmı için kabul süreci tamamlandı.</t>
      </text>
    </comment>
    <comment ref="AF26" authorId="16" shapeId="0" xr:uid="{F2EBE565-7E83-4743-BE09-5521F8B19695}">
      <text>
        <t>[Yorum yazışması]
Excel sürümünüz bu yorum yazışmasını okumanıza izin veriyor, ancak dosya daha yeni bir Excel sürümünde açılırsa, yapılan düzenlemeler kaldırılır. Daha fazla bilgi: https://go.microsoft.com/fwlink/?linkid=870924.
Açıklama:
    60,6 MW ARNAVUTLUK</t>
      </text>
    </comment>
    <comment ref="T27" authorId="17" shapeId="0" xr:uid="{ABFBBC19-5370-4FC2-9FBE-5B4CABE68DE7}">
      <text>
        <t xml:space="preserve">[Yorum yazışması]
Excel sürümünüz bu yorum yazışmasını okumanıza izin veriyor, ancak dosya daha yeni bir Excel sürümünde açılırsa, yapılan düzenlemeler kaldırılır. Daha fazla bilgi: https://go.microsoft.com/fwlink/?linkid=870924.
Açıklama:
    YILI HEDEFİ 360 MW KURULU GÜÇ GÜNCEL KAP BİLGİLERİNE GÖRE HEDEF AŞILIP 362,5 MW KURULU GÜÇE ULAŞILMIŞTIR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tc={08D3825A-2E3A-4BBD-A5AD-DA1AADF8B028}</author>
    <author>tc={35B0A3CC-4B43-4755-BB52-C46EFDBA2F2C}</author>
  </authors>
  <commentList>
    <comment ref="A92" authorId="0" shapeId="0" xr:uid="{08D3825A-2E3A-4BBD-A5AD-DA1AADF8B028}">
      <text>
        <t xml:space="preserve">[Yorum yazışması]
Excel sürümünüz bu yorum yazışmasını okumanıza izin veriyor, ancak dosya daha yeni bir Excel sürümünde açılırsa, yapılan düzenlemeler kaldırılır. Daha fazla bilgi: https://go.microsoft.com/fwlink/?linkid=870924.
Açıklama:
    16/18 santral üretim verisi biliniyor faaliyet raporu verilerine göre şirketin RES üretim verileri 0 sapmayla hesaplanmıştır. HES de iki adet santralin bilinmediği için sapma oluşmuştur.  </t>
      </text>
    </comment>
    <comment ref="A110" authorId="1" shapeId="0" xr:uid="{35B0A3CC-4B43-4755-BB52-C46EFDBA2F2C}">
      <text>
        <t xml:space="preserve">[Yorum yazışması]
Excel sürümünüz bu yorum yazışmasını okumanıza izin veriyor, ancak dosya daha yeni bir Excel sürümünde açılırsa, yapılan düzenlemeler kaldırılır. Daha fazla bilgi: https://go.microsoft.com/fwlink/?linkid=870924.
Açıklama:
    16/18 santral üretim verisi biliniyor faaliyet raporu verilerine göre şirketin RES üretim verileri 0 sapmayla hesaplanmıştır. HES de iki adet santralin bilinmediği için sapma oluşmuştur.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Volkan Yilmaz</author>
  </authors>
  <commentList>
    <comment ref="D22" authorId="0" shapeId="0" xr:uid="{71B803E3-4BCE-481B-845C-7280D0E44FD2}">
      <text>
        <r>
          <rPr>
            <b/>
            <sz val="9"/>
            <color indexed="81"/>
            <rFont val="Tahoma"/>
            <family val="2"/>
            <charset val="162"/>
          </rPr>
          <t xml:space="preserve">Volkan Yilmaz: denizli tavas ges olarak geçiyor denizlideki tek ges bu
</t>
        </r>
      </text>
    </comment>
    <comment ref="D33" authorId="0" shapeId="0" xr:uid="{CB2ED107-E8AC-415C-A2E5-2BC0B05C3755}">
      <text>
        <r>
          <rPr>
            <b/>
            <sz val="9"/>
            <color indexed="81"/>
            <rFont val="Tahoma"/>
            <family val="2"/>
            <charset val="162"/>
          </rPr>
          <t>Volkan Yilmaz:</t>
        </r>
        <r>
          <rPr>
            <sz val="9"/>
            <color indexed="81"/>
            <rFont val="Tahoma"/>
            <family val="2"/>
            <charset val="162"/>
          </rPr>
          <t xml:space="preserve">
DENİZLİ RES
</t>
        </r>
      </text>
    </comment>
    <comment ref="D36" authorId="0" shapeId="0" xr:uid="{2AC1A448-0F56-4E4B-AA75-550E63122AA9}">
      <text>
        <r>
          <rPr>
            <b/>
            <sz val="9"/>
            <color indexed="81"/>
            <rFont val="Tahoma"/>
            <family val="2"/>
            <charset val="162"/>
          </rPr>
          <t>Volkan Yilmaz:</t>
        </r>
        <r>
          <rPr>
            <sz val="9"/>
            <color indexed="81"/>
            <rFont val="Tahoma"/>
            <family val="2"/>
            <charset val="162"/>
          </rPr>
          <t xml:space="preserve">
üçpınar res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tc={C0FF9A8A-7711-4EF7-AABE-959FCE7FBC25}</author>
  </authors>
  <commentList>
    <comment ref="E3" authorId="0" shapeId="0" xr:uid="{C0FF9A8A-7711-4EF7-AABE-959FCE7FBC25}">
      <text>
        <t>[Yorum yazışması]
Excel sürümünüz bu yorum yazışmasını okumanıza izin veriyor, ancak dosya daha yeni bir Excel sürümünde açılırsa, yapılan düzenlemeler kaldırılır. Daha fazla bilgi: https://go.microsoft.com/fwlink/?linkid=870924.
Açıklama:
    PTF fiyatı 75 doları aşarsa ptf fiyatı üzerinden satılır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tc={C03C580E-AF76-4C7A-AB0C-4406E1FA0D20}</author>
    <author>tc={F1683371-ED4D-46D1-B4F7-D1A628FC0026}</author>
  </authors>
  <commentList>
    <comment ref="B2" authorId="0" shapeId="0" xr:uid="{C03C580E-AF76-4C7A-AB0C-4406E1FA0D20}">
      <text>
        <t>[Yorum yazışması]
Excel sürümünüz bu yorum yazışmasını okumanıza izin veriyor, ancak dosya daha yeni bir Excel sürümünde açılırsa, yapılan düzenlemeler kaldırılır. Daha fazla bilgi: https://go.microsoft.com/fwlink/?linkid=870924.
Açıklama:
    İKİ SANTRAL OLUŞMAKTADIR SANTRALLERİN TOPLAM GÜCÜ HAKKINDA BİLGİ VERİLMEMİŞTİR.YAP-İŞLET-DEVRET MODELİYLE 1989 DA KURULAN İLK SANTRALDİR.</t>
      </text>
    </comment>
    <comment ref="A10" authorId="1" shapeId="0" xr:uid="{F1683371-ED4D-46D1-B4F7-D1A628FC0026}">
      <text>
        <t>[Yorum yazışması]
Excel sürümünüz bu yorum yazışmasını okumanıza izin veriyor, ancak dosya daha yeni bir Excel sürümünde açılırsa, yapılan düzenlemeler kaldırılır. Daha fazla bilgi: https://go.microsoft.com/fwlink/?linkid=870924.
Açıklama:
    GOLTS %25,45 PAY SAHİBİ</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Volkan Yilmaz</author>
  </authors>
  <commentList>
    <comment ref="D2" authorId="0" shapeId="0" xr:uid="{EEE1D5D9-AA1E-4546-A51C-E9A36C16F055}">
      <text>
        <r>
          <rPr>
            <b/>
            <sz val="9"/>
            <color indexed="81"/>
            <rFont val="Tahoma"/>
            <family val="2"/>
            <charset val="162"/>
          </rPr>
          <t>Volkan Yilmaz:</t>
        </r>
        <r>
          <rPr>
            <sz val="9"/>
            <color indexed="81"/>
            <rFont val="Tahoma"/>
            <family val="2"/>
            <charset val="162"/>
          </rPr>
          <t xml:space="preserve">
DÜZCE AKSU HES
</t>
        </r>
      </text>
    </comment>
    <comment ref="D4" authorId="0" shapeId="0" xr:uid="{9AB5FD3A-9BE2-405C-9682-8C8D179D81F7}">
      <text>
        <r>
          <rPr>
            <b/>
            <sz val="9"/>
            <color indexed="81"/>
            <rFont val="Tahoma"/>
            <family val="2"/>
            <charset val="162"/>
          </rPr>
          <t>Volkan Yilmaz:</t>
        </r>
        <r>
          <rPr>
            <sz val="9"/>
            <color indexed="81"/>
            <rFont val="Tahoma"/>
            <family val="2"/>
            <charset val="162"/>
          </rPr>
          <t xml:space="preserve">
FESLEK BEREKET HES
</t>
        </r>
      </text>
    </comment>
    <comment ref="D9" authorId="0" shapeId="0" xr:uid="{20803E69-8142-45EB-86D9-39133818102B}">
      <text>
        <r>
          <rPr>
            <b/>
            <sz val="9"/>
            <color indexed="81"/>
            <rFont val="Tahoma"/>
            <family val="2"/>
            <charset val="162"/>
          </rPr>
          <t>Volkan Yilmaz:</t>
        </r>
        <r>
          <rPr>
            <sz val="9"/>
            <color indexed="81"/>
            <rFont val="Tahoma"/>
            <family val="2"/>
            <charset val="162"/>
          </rPr>
          <t xml:space="preserve">
TOKAT AKINCI HES
</t>
        </r>
      </text>
    </comment>
    <comment ref="D10" authorId="0" shapeId="0" xr:uid="{196EB450-0466-40A3-89EA-68528C2593CC}">
      <text>
        <r>
          <rPr>
            <b/>
            <sz val="9"/>
            <color indexed="81"/>
            <rFont val="Tahoma"/>
            <family val="2"/>
            <charset val="162"/>
          </rPr>
          <t>Volkan Yilmaz:</t>
        </r>
        <r>
          <rPr>
            <sz val="9"/>
            <color indexed="81"/>
            <rFont val="Tahoma"/>
            <family val="2"/>
            <charset val="162"/>
          </rPr>
          <t xml:space="preserve">
KOYULHISAR BEREKET HES
</t>
        </r>
      </text>
    </comment>
    <comment ref="F18" authorId="0" shapeId="0" xr:uid="{73EC5ECA-65CF-4EE9-969A-18F6A5C731B0}">
      <text>
        <r>
          <rPr>
            <b/>
            <sz val="9"/>
            <color indexed="81"/>
            <rFont val="Tahoma"/>
            <family val="2"/>
            <charset val="162"/>
          </rPr>
          <t xml:space="preserve">Volkan Yilmaz: 
karma santral
ptf den ortalama 45 dolar yekdemden 73 dolar alıyor
</t>
        </r>
      </text>
    </comment>
    <comment ref="D20" authorId="0" shapeId="0" xr:uid="{58B975A4-AA09-4E3C-B35E-15F0E7362AFD}">
      <text>
        <r>
          <rPr>
            <b/>
            <sz val="9"/>
            <color indexed="81"/>
            <rFont val="Tahoma"/>
            <family val="2"/>
            <charset val="162"/>
          </rPr>
          <t>Volkan Yilmaz:</t>
        </r>
        <r>
          <rPr>
            <sz val="9"/>
            <color indexed="81"/>
            <rFont val="Tahoma"/>
            <family val="2"/>
            <charset val="162"/>
          </rPr>
          <t xml:space="preserve">
3 TANE JES VAR SİTELERİNDE BİR SANTRAL VAR GOZUKUYOR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Volkan Yilmaz</author>
    <author>tc={787CBAC7-0F9B-4620-8467-2573FDAB4F71}</author>
  </authors>
  <commentList>
    <comment ref="G8" authorId="0" shapeId="0" xr:uid="{91E43CC7-FF63-402A-BB20-6FDB4FE36E51}">
      <text>
        <r>
          <rPr>
            <b/>
            <sz val="9"/>
            <color indexed="81"/>
            <rFont val="Tahoma"/>
            <family val="2"/>
            <charset val="162"/>
          </rPr>
          <t>Volkan Yilmaz:</t>
        </r>
        <r>
          <rPr>
            <sz val="9"/>
            <color indexed="81"/>
            <rFont val="Tahoma"/>
            <family val="2"/>
            <charset val="162"/>
          </rPr>
          <t xml:space="preserve">
ocak ayında devreye alındı
</t>
        </r>
      </text>
    </comment>
    <comment ref="B9" authorId="1" shapeId="0" xr:uid="{787CBAC7-0F9B-4620-8467-2573FDAB4F71}">
      <text>
        <t>[Yorum yazışması]
Excel sürümünüz bu yorum yazışmasını okumanıza izin veriyor, ancak dosya daha yeni bir Excel sürümünde açılırsa, yapılan düzenlemeler kaldırılır. Daha fazla bilgi: https://go.microsoft.com/fwlink/?linkid=870924.
Açıklama:
    18000MWh CİNSİNDEN VERİLMİŞTİR. 18000 MWh /8760h YAKLAŞIK 2,05 MW YAPIYOR.</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tc={0B0F132F-5CC1-4697-AD39-3BEA555B3132}</author>
    <author>tc={98EADF1F-4467-44BE-9C30-C7D2A8E9F0C6}</author>
    <author>tc={DA552E6F-9144-4461-9F43-0D9874C2BF48}</author>
    <author>tc={0C19F1EF-FE65-4834-A911-13C0DD85114A}</author>
  </authors>
  <commentList>
    <comment ref="A5" authorId="0" shapeId="0" xr:uid="{0B0F132F-5CC1-4697-AD39-3BEA555B3132}">
      <text>
        <t xml:space="preserve">[Yorum yazışması]
Excel sürümünüz bu yorum yazışmasını okumanıza izin veriyor, ancak dosya daha yeni bir Excel sürümünde açılırsa, yapılan düzenlemeler kaldırılır. Daha fazla bilgi: https://go.microsoft.com/fwlink/?linkid=870924.
Açıklama:
    Kojenerasyon, trijinerasyon ve öz tüketim GES içerir
</t>
      </text>
    </comment>
    <comment ref="B5" authorId="1" shapeId="0" xr:uid="{98EADF1F-4467-44BE-9C30-C7D2A8E9F0C6}">
      <text>
        <t xml:space="preserve">[Yorum yazışması]
Excel sürümünüz bu yorum yazışmasını okumanıza izin veriyor, ancak dosya daha yeni bir Excel sürümünde açılırsa, yapılan düzenlemeler kaldırılır. Daha fazla bilgi: https://go.microsoft.com/fwlink/?linkid=870924.
Açıklama:
    +3,065 MW artarak toplam kurulu güç 65,5 MW ulaştı
</t>
      </text>
    </comment>
    <comment ref="A41" authorId="2" shapeId="0" xr:uid="{DA552E6F-9144-4461-9F43-0D9874C2BF48}">
      <text>
        <t xml:space="preserve">[Yorum yazışması]
Excel sürümünüz bu yorum yazışmasını okumanıza izin veriyor, ancak dosya daha yeni bir Excel sürümünde açılırsa, yapılan düzenlemeler kaldırılır. Daha fazla bilgi: https://go.microsoft.com/fwlink/?linkid=870924.
Açıklama:
    Bahamalardaki projede %50 oranında dolaylı ortaklığı bulunmaktadır.
</t>
      </text>
    </comment>
    <comment ref="A43" authorId="3" shapeId="0" xr:uid="{0C19F1EF-FE65-4834-A911-13C0DD85114A}">
      <text>
        <t xml:space="preserve">[Yorum yazışması]
Excel sürümünüz bu yorum yazışmasını okumanıza izin veriyor, ancak dosya daha yeni bir Excel sürümünde açılırsa, yapılan düzenlemeler kaldırılır. Daha fazla bilgi: https://go.microsoft.com/fwlink/?linkid=870924.
Açıklama:
    26 Kasım: Tres Enerji ile Boyner arasında imzalanan sözleşmeye konu güneş santrali, gerekli işlmler tamamlanarak 3,065 MWp kapasite ile işletmeye alınmıştır.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tc={47F3B6F8-8284-406F-8FA5-506633E083B9}</author>
  </authors>
  <commentList>
    <comment ref="B2" authorId="0" shapeId="0" xr:uid="{47F3B6F8-8284-406F-8FA5-506633E083B9}">
      <text>
        <t>[Yorum yazışması]
Excel sürümünüz bu yorum yazışmasını okumanıza izin veriyor, ancak dosya daha yeni bir Excel sürümünde açılırsa, yapılan düzenlemeler kaldırılır. Daha fazla bilgi: https://go.microsoft.com/fwlink/?linkid=870924.
Açıklama:
    340 MWm elektrik üretiliyor</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tc={499C1786-8067-4921-B5B2-3A6487423566}</author>
    <author>tc={65A620A4-76D3-4AE8-A95D-9D3BB603BA93}</author>
    <author>tc={4F4CC894-BB66-4A7A-BD37-8D0849EBBCF0}</author>
  </authors>
  <commentList>
    <comment ref="B2" authorId="0" shapeId="0" xr:uid="{499C1786-8067-4921-B5B2-3A6487423566}">
      <text>
        <t>[Yorum yazışması]
Excel sürümünüz bu yorum yazışmasını okumanıza izin veriyor, ancak dosya daha yeni bir Excel sürümünde açılırsa, yapılan düzenlemeler kaldırılır. Daha fazla bilgi: https://go.microsoft.com/fwlink/?linkid=870924.
Açıklama:
    TAMAMI MWp FORMATINDA
Yanıtla:
    8 YIL BOYUNCA 28 USD/MWH YEKDEM SATIŞ GARANTİSİ</t>
      </text>
    </comment>
    <comment ref="B9" authorId="1" shapeId="0" xr:uid="{65A620A4-76D3-4AE8-A95D-9D3BB603BA93}">
      <text>
        <t xml:space="preserve">[Yorum yazışması]
Excel sürümünüz bu yorum yazışmasını okumanıza izin veriyor, ancak dosya daha yeni bir Excel sürümünde açılırsa, yapılan düzenlemeler kaldırılır. Daha fazla bilgi: https://go.microsoft.com/fwlink/?linkid=870924.
Açıklama:
    TAMAMI MWe FORMATINDA
Yanıtla:
    133 USD/MWH YEKDEM SATIŞ GARANTİSİ
</t>
      </text>
    </comment>
    <comment ref="A43" authorId="2" shapeId="0" xr:uid="{4F4CC894-BB66-4A7A-BD37-8D0849EBBCF0}">
      <text>
        <t xml:space="preserve">[Yorum yazışması]
Excel sürümünüz bu yorum yazışmasını okumanıza izin veriyor, ancak dosya daha yeni bir Excel sürümünde açılırsa, yapılan düzenlemeler kaldırılır. Daha fazla bilgi: https://go.microsoft.com/fwlink/?linkid=870924.
Açıklama:
    İlk 5 yıl serbest fiyatından satışla yıllık yaklaşık 7,1 milyon Euro, sonraki 20 yıl alım garantisi kapsamında yaklasık 3,9 milyon Euro brüt gelir elde edecek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tc={53456DC3-B7B2-4205-8C79-515D521F1444}</author>
  </authors>
  <commentList>
    <comment ref="B1" authorId="0" shapeId="0" xr:uid="{53456DC3-B7B2-4205-8C79-515D521F1444}">
      <text>
        <t>[Yorum yazışması]
Excel sürümünüz bu yorum yazışmasını okumanıza izin veriyor, ancak dosya daha yeni bir Excel sürümünde açılırsa, yapılan düzenlemeler kaldırılır. Daha fazla bilgi: https://go.microsoft.com/fwlink/?linkid=870924.
Açıklama:
    TAMAMI MWE CİNSİNDEN
Yanıtla:
    BÜTÜN VERİLER ŞİRKETİN DOLAYLI ORTAKLIĞINDAKI SAHİP OLDUĞU PAY ORANIYLA ÇARPILDI.</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Volkan Yilmaz</author>
    <author>tc={4A2CB396-252E-4FA7-B562-3014FF1C8DA0}</author>
  </authors>
  <commentList>
    <comment ref="D2" authorId="0" shapeId="0" xr:uid="{85637956-EE07-4CCF-A6BC-D08B49B6BC1A}">
      <text>
        <r>
          <rPr>
            <b/>
            <sz val="9"/>
            <color indexed="81"/>
            <rFont val="Tahoma"/>
            <family val="2"/>
            <charset val="162"/>
          </rPr>
          <t>Volkan Yilmaz:</t>
        </r>
        <r>
          <rPr>
            <sz val="9"/>
            <color indexed="81"/>
            <rFont val="Tahoma"/>
            <family val="2"/>
            <charset val="162"/>
          </rPr>
          <t xml:space="preserve">
BAGISTAS 1 VE 2 OLMAK ÜZERE 2 TANE SANTRAL VER 
</t>
        </r>
      </text>
    </comment>
    <comment ref="B11" authorId="1" shapeId="0" xr:uid="{4A2CB396-252E-4FA7-B562-3014FF1C8DA0}">
      <text>
        <t xml:space="preserve">[Yorum yazışması]
Excel sürümünüz bu yorum yazışmasını okumanıza izin veriyor, ancak dosya daha yeni bir Excel sürümünde açılırsa, yapılan düzenlemeler kaldırılır. Daha fazla bilgi: https://go.microsoft.com/fwlink/?linkid=870924.
Açıklama:
    136 MWe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Volkan Yilmaz</author>
  </authors>
  <commentList>
    <comment ref="E3" authorId="0" shapeId="0" xr:uid="{F64900EC-D83D-4BBE-A9E1-E7C6368EA57B}">
      <text>
        <r>
          <rPr>
            <b/>
            <sz val="9"/>
            <color indexed="81"/>
            <rFont val="Tahoma"/>
            <family val="2"/>
            <charset val="162"/>
          </rPr>
          <t>Volkan Yilmaz:</t>
        </r>
        <r>
          <rPr>
            <sz val="9"/>
            <color indexed="81"/>
            <rFont val="Tahoma"/>
            <family val="2"/>
            <charset val="162"/>
          </rPr>
          <t xml:space="preserve">
2025 TE 94
</t>
        </r>
      </text>
    </comment>
    <comment ref="D7" authorId="0" shapeId="0" xr:uid="{E1C6F953-DBD5-49C7-A7E2-8201FE24E561}">
      <text>
        <r>
          <rPr>
            <b/>
            <sz val="9"/>
            <color indexed="81"/>
            <rFont val="Tahoma"/>
            <family val="2"/>
            <charset val="162"/>
          </rPr>
          <t>Volkan Yilmaz:</t>
        </r>
        <r>
          <rPr>
            <sz val="9"/>
            <color indexed="81"/>
            <rFont val="Tahoma"/>
            <family val="2"/>
            <charset val="162"/>
          </rPr>
          <t xml:space="preserve">
TAŞPINAR RES
</t>
        </r>
      </text>
    </comment>
    <comment ref="E7" authorId="0" shapeId="0" xr:uid="{177EDD99-3B83-4616-9198-678A922510D0}">
      <text>
        <r>
          <rPr>
            <b/>
            <sz val="9"/>
            <color indexed="81"/>
            <rFont val="Tahoma"/>
            <family val="2"/>
            <charset val="162"/>
          </rPr>
          <t>Volkan Yilmaz:</t>
        </r>
        <r>
          <rPr>
            <sz val="9"/>
            <color indexed="81"/>
            <rFont val="Tahoma"/>
            <family val="2"/>
            <charset val="162"/>
          </rPr>
          <t xml:space="preserve">
2025 94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tc={55B091FE-6C29-44AA-BE87-D5C31F301BA8}</author>
    <author>tc={EAD40642-BDBA-4D32-B418-5187B70DF2DA}</author>
    <author>tc={331727BE-75EE-4A37-8447-F9271A258643}</author>
    <author>tc={81B5E9E4-D801-4AFF-B263-8FF9B8713092}</author>
  </authors>
  <commentList>
    <comment ref="B1" authorId="0" shapeId="0" xr:uid="{55B091FE-6C29-44AA-BE87-D5C31F301BA8}">
      <text>
        <t xml:space="preserve">[Yorum yazışması]
Excel sürümünüz bu yorum yazışmasını okumanıza izin veriyor, ancak dosya daha yeni bir Excel sürümünde açılırsa, yapılan düzenlemeler kaldırılır. Daha fazla bilgi: https://go.microsoft.com/fwlink/?linkid=870924.
Açıklama:
    BÜTÜN VERİLER MWe CİNSİNDEN VERİLMİŞ OLUP HEPSİ MOGAN’IN ŞİRKETTE PAY SAHİBİ OLDUĞU ORANLARLA CARPILMIŞTIR.
</t>
      </text>
    </comment>
    <comment ref="E4" authorId="1" shapeId="0" xr:uid="{EAD40642-BDBA-4D32-B418-5187B70DF2DA}">
      <text>
        <t xml:space="preserve">[Yorum yazışması]
Excel sürümünüz bu yorum yazışmasını okumanıza izin veriyor, ancak dosya daha yeni bir Excel sürümünde açılırsa, yapılan düzenlemeler kaldırılır. Daha fazla bilgi: https://go.microsoft.com/fwlink/?linkid=870924.
Açıklama:
    105 125 ARALIGINDA YAZMIŞ RAPORDA
</t>
      </text>
    </comment>
    <comment ref="C7" authorId="2" shapeId="0" xr:uid="{331727BE-75EE-4A37-8447-F9271A258643}">
      <text>
        <t xml:space="preserve">[Yorum yazışması]
Excel sürümünüz bu yorum yazışmasını okumanıza izin veriyor, ancak dosya daha yeni bir Excel sürümünde açılırsa, yapılan düzenlemeler kaldırılır. Daha fazla bilgi: https://go.microsoft.com/fwlink/?linkid=870924.
Açıklama:
    Çeşmebaşı HES
</t>
      </text>
    </comment>
    <comment ref="B20" authorId="3" shapeId="0" xr:uid="{81B5E9E4-D801-4AFF-B263-8FF9B8713092}">
      <text>
        <t xml:space="preserve">[Yorum yazışması]
Excel sürümünüz bu yorum yazışmasını okumanıza izin veriyor, ancak dosya daha yeni bir Excel sürümünde açılırsa, yapılan düzenlemeler kaldırılır. Daha fazla bilgi: https://go.microsoft.com/fwlink/?linkid=870924.
Açıklama:
    32,5 MWm KURULU GÜCÜ VAR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tc={8B933A25-972E-40B7-A240-24F27D72D5FB}</author>
  </authors>
  <commentList>
    <comment ref="B2" authorId="0" shapeId="0" xr:uid="{8B933A25-972E-40B7-A240-24F27D72D5FB}">
      <text>
        <t>[Yorum yazışması]
Excel sürümünüz bu yorum yazışmasını okumanıza izin veriyor, ancak dosya daha yeni bir Excel sürümünde açılırsa, yapılan düzenlemeler kaldırılır. Daha fazla bilgi: https://go.microsoft.com/fwlink/?linkid=870924.
Açıklama:
    ÇAN2 TERMİK SANTRALİNDE %29,29 PAYA SAHİP</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tc={DD6B2B52-7559-4213-94C5-13CEF7A02612}</author>
    <author>tc={372CB43D-391E-4F2B-9D29-BEF29410A20A}</author>
  </authors>
  <commentList>
    <comment ref="B2" authorId="0" shapeId="0" xr:uid="{DD6B2B52-7559-4213-94C5-13CEF7A02612}">
      <text>
        <t>[Yorum yazışması]
Excel sürümünüz bu yorum yazışmasını okumanıza izin veriyor, ancak dosya daha yeni bir Excel sürümünde açılırsa, yapılan düzenlemeler kaldırılır. Daha fazla bilgi: https://go.microsoft.com/fwlink/?linkid=870924.
Açıklama:
    100 MWe kurulu güce sahip projenin %93,01’lik kısmı için kabul süreci tamamlandı.</t>
      </text>
    </comment>
    <comment ref="A9" authorId="1" shapeId="0" xr:uid="{372CB43D-391E-4F2B-9D29-BEF29410A20A}">
      <text>
        <t xml:space="preserve">[Yorum yazışması]
Excel sürümünüz bu yorum yazışmasını okumanıza izin veriyor, ancak dosya daha yeni bir Excel sürümünde açılırsa, yapılan düzenlemeler kaldırılır. Daha fazla bilgi: https://go.microsoft.com/fwlink/?linkid=870924.
Açıklama:
    Arnavutluklu yerel ortakla girilen ihalede Smart Holding %20 ve Smart Güneş %31 oranında pay sahibi olup. 40,3 MW lik santral için 53,53 euro / mwh ve 20,2 MW lık santral için 56,28 euro / mwh fiyatı üzerinden anlaşmaya varıldı.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tc={BFE63308-2313-469A-AB30-F958DD2A55D6}</author>
    <author>tc={DDC4A228-A056-4549-922B-989397BA40CE}</author>
    <author>tc={780C0736-4993-4A8B-80D7-38487699F854}</author>
  </authors>
  <commentList>
    <comment ref="B2" authorId="0" shapeId="0" xr:uid="{BFE63308-2313-469A-AB30-F958DD2A55D6}">
      <text>
        <t xml:space="preserve">[Yorum yazışması]
Excel sürümünüz bu yorum yazışmasını okumanıza izin veriyor, ancak dosya daha yeni bir Excel sürümünde açılırsa, yapılan düzenlemeler kaldırılır. Daha fazla bilgi: https://go.microsoft.com/fwlink/?linkid=870924.
Açıklama:
    50,1 MW ULAŞTI
</t>
      </text>
    </comment>
    <comment ref="B3" authorId="1" shapeId="0" xr:uid="{DDC4A228-A056-4549-922B-989397BA40CE}">
      <text>
        <t xml:space="preserve">[Yorum yazışması]
Excel sürümünüz bu yorum yazışmasını okumanıza izin veriyor, ancak dosya daha yeni bir Excel sürümünde açılırsa, yapılan düzenlemeler kaldırılır. Daha fazla bilgi: https://go.microsoft.com/fwlink/?linkid=870924.
Açıklama:
    59,6 MW ULAŞTI
</t>
      </text>
    </comment>
    <comment ref="B8" authorId="2" shapeId="0" xr:uid="{780C0736-4993-4A8B-80D7-38487699F854}">
      <text>
        <t>[Yorum yazışması]
Excel sürümünüz bu yorum yazışmasını okumanıza izin veriyor, ancak dosya daha yeni bir Excel sürümünde açılırsa, yapılan düzenlemeler kaldırılır. Daha fazla bilgi: https://go.microsoft.com/fwlink/?linkid=870924.
Açıklama:
    362,5 MW ULAŞTI</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tc={8141E20E-AB15-40AC-9078-28E32EACB874}</author>
    <author>tc={C1F77EC1-BAFC-4A4A-9DD3-D00895FA3FD3}</author>
    <author>tc={ED29DC9B-B941-4C8B-84AD-8A969B0D92F2}</author>
    <author>tc={C9B82217-0AC6-4EDC-B972-B02613F00561}</author>
  </authors>
  <commentList>
    <comment ref="B2" authorId="0" shapeId="0" xr:uid="{8141E20E-AB15-40AC-9078-28E32EACB874}">
      <text>
        <t xml:space="preserve">[Yorum yazışması]
Excel sürümünüz bu yorum yazışmasını okumanıza izin veriyor, ancak dosya daha yeni bir Excel sürümünde açılırsa, yapılan düzenlemeler kaldırılır. Daha fazla bilgi: https://go.microsoft.com/fwlink/?linkid=870924.
Açıklama:
    6 SANTRALLERDEN OLUŞUYOR HEPSİNİN KURULU GÜÇ KAPASİTESİ 1,148 MW
</t>
      </text>
    </comment>
    <comment ref="B3" authorId="1" shapeId="0" xr:uid="{C1F77EC1-BAFC-4A4A-9DD3-D00895FA3FD3}">
      <text>
        <t>[Yorum yazışması]
Excel sürümünüz bu yorum yazışmasını okumanıza izin veriyor, ancak dosya daha yeni bir Excel sürümünde açılırsa, yapılan düzenlemeler kaldırılır. Daha fazla bilgi: https://go.microsoft.com/fwlink/?linkid=870924.
Açıklama:
    6 SANTRALDEN OLUŞUP HER BİR SANTRALİN 0,598 MW KURULU GÜÇ KAPASİTESİNE SAHİP</t>
      </text>
    </comment>
    <comment ref="B4" authorId="2" shapeId="0" xr:uid="{ED29DC9B-B941-4C8B-84AD-8A969B0D92F2}">
      <text>
        <t>[Yorum yazışması]
Excel sürümünüz bu yorum yazışmasını okumanıza izin veriyor, ancak dosya daha yeni bir Excel sürümünde açılırsa, yapılan düzenlemeler kaldırılır. Daha fazla bilgi: https://go.microsoft.com/fwlink/?linkid=870924.
Açıklama:
    3 SANTRALDEN OLUŞUP HER BİR SANTRALİN 0,573 MW KURULU GÜÇ KAPASİTESİNE SAHİP</t>
      </text>
    </comment>
    <comment ref="B5" authorId="3" shapeId="0" xr:uid="{C9B82217-0AC6-4EDC-B972-B02613F00561}">
      <text>
        <t>[Yorum yazışması]
Excel sürümünüz bu yorum yazışmasını okumanıza izin veriyor, ancak dosya daha yeni bir Excel sürümünde açılırsa, yapılan düzenlemeler kaldırılır. Daha fazla bilgi: https://go.microsoft.com/fwlink/?linkid=870924.
Açıklama:
    4,0 MWm KURULUGÜÇ KAPASİTESİNE SAHİP.</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tc={3595B7B2-09D1-4BE6-BDC3-6A541686D7AD}</author>
    <author>tc={C16DE71D-950C-4EA0-818A-79231BCA3E9C}</author>
    <author>tc={D859A757-7FB0-4646-AACD-7690463815BA}</author>
    <author>tc={0AD9385E-9AD0-4AB2-8B90-23C8EE0BA4CC}</author>
  </authors>
  <commentList>
    <comment ref="B2" authorId="0" shapeId="0" xr:uid="{3595B7B2-09D1-4BE6-BDC3-6A541686D7AD}">
      <text>
        <t>[Yorum yazışması]
Excel sürümünüz bu yorum yazışmasını okumanıza izin veriyor, ancak dosya daha yeni bir Excel sürümünde açılırsa, yapılan düzenlemeler kaldırılır. Daha fazla bilgi: https://go.microsoft.com/fwlink/?linkid=870924.
Açıklama:
    0,9867 MW’lık kısmında ticari elektrik satısına başladı</t>
      </text>
    </comment>
    <comment ref="A6" authorId="1" shapeId="0" xr:uid="{C16DE71D-950C-4EA0-818A-79231BCA3E9C}">
      <text>
        <t>[Yorum yazışması]
Excel sürümünüz bu yorum yazışmasını okumanıza izin veriyor, ancak dosya daha yeni bir Excel sürümünde açılırsa, yapılan düzenlemeler kaldırılır. Daha fazla bilgi: https://go.microsoft.com/fwlink/?linkid=870924.
Açıklama:
    29 ARALIK 2025’TE RESMİ OLARAK SANTRALİ RÖNESANS YES DEVRETTİ</t>
      </text>
    </comment>
    <comment ref="A33" authorId="2" shapeId="0" xr:uid="{D859A757-7FB0-4646-AACD-7690463815BA}">
      <text>
        <t>[Yorum yazışması]
Excel sürümünüz bu yorum yazışmasını okumanıza izin veriyor, ancak dosya daha yeni bir Excel sürümünde açılırsa, yapılan düzenlemeler kaldırılır. Daha fazla bilgi: https://go.microsoft.com/fwlink/?linkid=870924.
Açıklama:
    29 ARALIK 2025’TE RESMİ OLARAK SANTRALİ RÖNESANS YES DEVRETTİ</t>
      </text>
    </comment>
    <comment ref="A57" authorId="3" shapeId="0" xr:uid="{0AD9385E-9AD0-4AB2-8B90-23C8EE0BA4CC}">
      <text>
        <t>[Yorum yazışması]
Excel sürümünüz bu yorum yazışmasını okumanıza izin veriyor, ancak dosya daha yeni bir Excel sürümünde açılırsa, yapılan düzenlemeler kaldırılır. Daha fazla bilgi: https://go.microsoft.com/fwlink/?linkid=870924.
Açıklama:
    29 ARALIK 2025’TE RESMİ OLARAK SANTRALİ RÖNESANS YES DEVRETTİ</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<sst xmlns="http://schemas.openxmlformats.org/spreadsheetml/2006/main" count="5314" uniqueCount="836">
  <si>
    <t>A1 Yenilenebilir Enerji</t>
  </si>
  <si>
    <t>Ak Enerji</t>
  </si>
  <si>
    <t>Akfen Yenilenebilir Enerji</t>
  </si>
  <si>
    <t>Aksa Enerji</t>
  </si>
  <si>
    <t>Aksu Enerji</t>
  </si>
  <si>
    <t>Alfa Solar Enerji</t>
  </si>
  <si>
    <t>Aydem Yenilenebilir Enerji</t>
  </si>
  <si>
    <t>Ayen Enerji</t>
  </si>
  <si>
    <t>Birleşim Grup Enerji</t>
  </si>
  <si>
    <t>Biotrend Çevre ve Enerji</t>
  </si>
  <si>
    <t>Consus Enerji</t>
  </si>
  <si>
    <t>CW Enerji</t>
  </si>
  <si>
    <t>EcoGreen Enerji</t>
  </si>
  <si>
    <t>Enda Enerji</t>
  </si>
  <si>
    <t>IC Enterra Yenilenebilir Enerji</t>
  </si>
  <si>
    <t>Galata Wind Enerji</t>
  </si>
  <si>
    <t>Hun Yenilenebilir Enerji</t>
  </si>
  <si>
    <t>İzdemir Enerji</t>
  </si>
  <si>
    <t>Mogan Enerji</t>
  </si>
  <si>
    <t>Odaş Elektrik</t>
  </si>
  <si>
    <t>Pamel Yenilenebilir Elektrik Üretimi</t>
  </si>
  <si>
    <t>Smart Güneş</t>
  </si>
  <si>
    <t>Tatlıpınar Enerji</t>
  </si>
  <si>
    <t>Zedur Enerj</t>
  </si>
  <si>
    <t>Zorlu Enerji</t>
  </si>
  <si>
    <t>KOD</t>
  </si>
  <si>
    <t>ŞİRKET</t>
  </si>
  <si>
    <t>GES</t>
  </si>
  <si>
    <t>RES</t>
  </si>
  <si>
    <t>HES</t>
  </si>
  <si>
    <t>BES</t>
  </si>
  <si>
    <t>JES</t>
  </si>
  <si>
    <t>Doğalgaz</t>
  </si>
  <si>
    <t>Termik + Linyit</t>
  </si>
  <si>
    <t>Toplam Kurulu Güç</t>
  </si>
  <si>
    <t>SANTRAL ADI</t>
  </si>
  <si>
    <t>KURULU GÜCÜ</t>
  </si>
  <si>
    <t>Toplam</t>
  </si>
  <si>
    <t>Ayyıldız RES</t>
  </si>
  <si>
    <t>Bulam HES</t>
  </si>
  <si>
    <t>Burç Bendi HES</t>
  </si>
  <si>
    <t>Uluabat HES</t>
  </si>
  <si>
    <t>Gökkaya HES</t>
  </si>
  <si>
    <t>Himmetli HES</t>
  </si>
  <si>
    <t>YATIRIM</t>
  </si>
  <si>
    <t>Sırma HES</t>
  </si>
  <si>
    <t>Saraçbendi HES</t>
  </si>
  <si>
    <t>Otluca HES</t>
  </si>
  <si>
    <t>Demirciler HES</t>
  </si>
  <si>
    <t>Yağmur HES</t>
  </si>
  <si>
    <t>Kavakçalı HES</t>
  </si>
  <si>
    <t>Gelinkaya HES</t>
  </si>
  <si>
    <t>Erzin DGKÇS</t>
  </si>
  <si>
    <t>Feke I HES</t>
  </si>
  <si>
    <t>Feke II HES</t>
  </si>
  <si>
    <t>Çamlıca III HES</t>
  </si>
  <si>
    <t>Doğançay HES</t>
  </si>
  <si>
    <t>Doruk HES</t>
  </si>
  <si>
    <t>Sekiyaka HES</t>
  </si>
  <si>
    <t>Çalıkobası HES</t>
  </si>
  <si>
    <t>Solentegre GES</t>
  </si>
  <si>
    <t>Omicron Engil208 GES</t>
  </si>
  <si>
    <t>Omicron Erciş GES</t>
  </si>
  <si>
    <t>Me-Se GES</t>
  </si>
  <si>
    <t>MT GES</t>
  </si>
  <si>
    <t>Yaysun GES</t>
  </si>
  <si>
    <t>Psi Engil207 GES</t>
  </si>
  <si>
    <t>Fırıncı GES</t>
  </si>
  <si>
    <t>Denizli GES (3)</t>
  </si>
  <si>
    <t>Karine GES</t>
  </si>
  <si>
    <t>Amasya (Boyalı) GES (3)</t>
  </si>
  <si>
    <t>Sarıtepe RES (1)</t>
  </si>
  <si>
    <t>Demirciler RES (2)</t>
  </si>
  <si>
    <t>Kocalar RES</t>
  </si>
  <si>
    <t>Üçpınar RES</t>
  </si>
  <si>
    <t>Hasanoba RES</t>
  </si>
  <si>
    <t>Denizli RES</t>
  </si>
  <si>
    <t>Sarıtepe Hibrit GES</t>
  </si>
  <si>
    <t>Denizli Hibrit GES</t>
  </si>
  <si>
    <t>Hasanoba Hibrit GES</t>
  </si>
  <si>
    <t>Kocalar Hibrit GES</t>
  </si>
  <si>
    <t>Üçpınar Hibrit GES</t>
  </si>
  <si>
    <t>Demirciler Hibrit GES</t>
  </si>
  <si>
    <t>Tokat (Kuşoturağı GES (3)</t>
  </si>
  <si>
    <t>19 Eylül: Üçpınar RES 9,6 MW  Sarıtepe RES 9,6 MW kapasite artışı gerçekleşti.</t>
  </si>
  <si>
    <t>7 Kasım:  Kocalar RES 5,9 MW kapasite artışı gerçekleşti.</t>
  </si>
  <si>
    <t>26 Aralık: Kocalar RES 11,8 MW kapasite artışı gerçekleşti.</t>
  </si>
  <si>
    <t>2025 yıl sonu hedefi olarak toplam kurulu gücün 877 MW ulaşılması hedeflenmektedir.  (Son kapasite artışlarıyla hedefe ulaşıldı.)</t>
  </si>
  <si>
    <t>Aksa Enerji Doğalgaz</t>
  </si>
  <si>
    <t>Aksa Göynük Termik</t>
  </si>
  <si>
    <t>Aksa Enerji Fuel Oil</t>
  </si>
  <si>
    <t>Aksa Gana Fuel Oil</t>
  </si>
  <si>
    <t>Aksa Mali Fuel Oil</t>
  </si>
  <si>
    <t>Aksa Energy Buhara Doğalgaz</t>
  </si>
  <si>
    <t>Aksa Energy Tashkent Doğalgaz</t>
  </si>
  <si>
    <t>Aksa Energy Talimarjan Doğalgaz</t>
  </si>
  <si>
    <t>Aksa Energy Congo Doğalgaz</t>
  </si>
  <si>
    <t>Mersin Depolamalı RES 100,08 MWe üretim lisansı alındı.</t>
  </si>
  <si>
    <t>Gaziantep Pamuk Depolamalı GES 40,5 MWe üretim lisanlı alındı.</t>
  </si>
  <si>
    <t>Kırşehir Alıç Depolamalı GES 50 MWe 80 milyon dolarlık kredi sözleşmesi imzalandı.</t>
  </si>
  <si>
    <t xml:space="preserve">Karahisar 110,76 Mwe, Balıkesir 118,04 Mwe, Kayseri 88,96 Mwe, Manisa 82,16 MWe geliştirme aşamasında </t>
  </si>
  <si>
    <t>Bolu Göynük GES 35 MW 2025 yıl sonunda devreye alınacak</t>
  </si>
  <si>
    <t>1 Ağustosta Gabonda 145 MW kurulu güçe sahip 10 yıllık sözleşme imzaladı ve kurulum süreci başladı.</t>
  </si>
  <si>
    <t xml:space="preserve">Kazakistan ve Senegalde bağlı ortaklıkların yatırım döneminde olduğu belirtilmiş ve detay verilmemiştir. </t>
  </si>
  <si>
    <t>NAKİT AKIŞINI ETKİLEYECEK GELİŞMELER</t>
  </si>
  <si>
    <t>Bolu Göynük Santrali için imzalanan sözleşmeyle üretilen kömürün 2029 yılına kadar minimum 75 USD/MWh sabit gelire bağlandı.</t>
  </si>
  <si>
    <r>
      <t xml:space="preserve">Yıl sonu hasılat beklentisini 36,85 milyar TL'den 38 milyar TL'ye, FAVÖK beklentisini 11 milyar TL'den 12 milyar TL'ye </t>
    </r>
    <r>
      <rPr>
        <b/>
        <sz val="11"/>
        <color theme="1"/>
        <rFont val="Calibri"/>
        <family val="2"/>
        <charset val="162"/>
        <scheme val="minor"/>
      </rPr>
      <t>YATIRIM HARCAMLARI BEKLENTİSİNİ 23 MİLYAR TL'DEN 20 MİLYAR TL'YE REVİZE ETTİ.</t>
    </r>
  </si>
  <si>
    <t xml:space="preserve">18 Kasım :  Kayseride 10 MWe kurulu güçe sahip depolamalı GES projesine ÇED onayı verildi. </t>
  </si>
  <si>
    <t>25 Kasım: Burkino Faso elektrik kurumuyla 20 yıl vadeli elektrik alım sozleşmesi imzaladı 119 MW kurulu güce sahip HFO(akaryakıt) kayanklı elektrik üretim santralini 2026 yılı son çeyreğinde devreye alacak.</t>
  </si>
  <si>
    <t xml:space="preserve">15 Ocak: 50 MWe  kurulu güçe sahip Tokur Depolamalı GES ve Köknar Depolamalı GES projelerine ÇED olumlu raporu verildi. </t>
  </si>
  <si>
    <t>19 Ocak:  Ganada kurulan 350 MW kurulu güçe sahip projede Gana 20 yıl boyunca ödeme yapacak olup ocak ayı itibariyle 130 MW lık kapasiteyle elektrik üretimekte olup Mart ayı sonuna kadar 179 MW'a çıkacak.</t>
  </si>
  <si>
    <t>KURULU GÜÇ</t>
  </si>
  <si>
    <t>Çan2 Termik Santrali</t>
  </si>
  <si>
    <t>Nisan 2024'te Denarius Pumping Services LLC'ye %65 oranında ortak oldu.(Bu şirkelle dolaylı olarak şirketin  Venezuela daki iştiraki ortak olunmuş olup, iştirak petrol çıkarma hizmeti vermektedir.)</t>
  </si>
  <si>
    <t>Çatalağzı Termik Santrali</t>
  </si>
  <si>
    <t xml:space="preserve">Üretim lisansi 2063 yılına kadar geçerli. </t>
  </si>
  <si>
    <t>Zonguldak Bağlık - İnağzı sahasında sondaj çalışmaları sonrası proje hazırlık aşamasında olup henüz üretime başlamamıştır.</t>
  </si>
  <si>
    <t>Santralin emre amedelik oranı %75'den %80,25'e yükseldi. (2021 %48 seviyesinde)</t>
  </si>
  <si>
    <t>Esenköy RES</t>
  </si>
  <si>
    <t>Kürekdağı RES</t>
  </si>
  <si>
    <t>Tatlıpınar RES</t>
  </si>
  <si>
    <t>Tatlıpınar GES</t>
  </si>
  <si>
    <t>Umutlu GES</t>
  </si>
  <si>
    <t>Umutlu HES</t>
  </si>
  <si>
    <t>Güneşgün 4 Enerjiyi  satın alındı.</t>
  </si>
  <si>
    <t>Yılı sonu kurulu güç hedefi 360 MW</t>
  </si>
  <si>
    <t>41,3 MW kapasite artışı için Almanya Merkezli LBBW Bankasından 12 yıl vadeli 21,395 milyon Euro kredi alındı.</t>
  </si>
  <si>
    <t>6 Kasım: Kürekdağı RES'in kurulu güçü 17,7 MW arttırlarak 53,7 MW ulaştı</t>
  </si>
  <si>
    <t>20 Kasım: Kürekdağı RES'in kurulu güçü 5,9 MW arttırılarak 59,6 MW ulaştı</t>
  </si>
  <si>
    <t>28 Kasım: Esenköy RES'in kapasitesi 5,9 MW arttırılarak 38,3 MW ulaştı</t>
  </si>
  <si>
    <t>Dolaylı ortaklığı Bakır Enerji tarafından TEİAŞ açılan davada, 2023 yılı RES katkı payı kısmen haklı bulunarak 13 milyon TL'nin avans faiziyle birlikte şirkete ödenmesine karar verilmiş olup hukuki süreç kesinleşmemiştir.</t>
  </si>
  <si>
    <t>Bağlı ortaklığı Ağaoğlu Yen. Enerji Yat. Holding Kürekdağı ve Esenköy RES projelerindeki kapasite artışlarının finansmanı amacıyla TSKB'den 8 milyon euro ek finansman temin etti.</t>
  </si>
  <si>
    <t>19 Aralık: Esenköy RES'in kapasitesi 11,8 MW arttırılarak 50,1 mw ulaştı</t>
  </si>
  <si>
    <t>YIL SONU İTİBARİYLE TOPLAM KURULU GÜÇ KAPASİTESİ 362,5 MW ULAŞMIŞ OLDU</t>
  </si>
  <si>
    <t>TEİAŞ'a açılan davada, 327,4 milyon TL'nin 85,4 milyon TL'si 11 Şubat 2025 temerrüt tarihinden itibaren, 241,9 milyon TL ise 25 Şubat 2025 itibaren avans faiziyle birlikte odenmesine karar verilmiş olup, karar henüz kesinleşmemiştir.</t>
  </si>
  <si>
    <t>Mavibayrak Doğu BES</t>
  </si>
  <si>
    <t>Mavibayrak Enerji BES</t>
  </si>
  <si>
    <t>Ra Güneş GES</t>
  </si>
  <si>
    <t>Dağıtık Enerji</t>
  </si>
  <si>
    <t>Bahamalarda iki adanın elektrik ihtiyacnıı karsılamak üzere 75  MW doğalgaz ve güneş enerji santrali ile 25 MWh enerji depolama sistemi kurulacaktır. Yaklaşık 135 milyon doarlık yatırım içeren projenin 2026 yılı içerinden devreye alınması beklenmektedir.</t>
  </si>
  <si>
    <t>GES kapasite artışı üzerine çalışmaktadır.</t>
  </si>
  <si>
    <t>2025 yılı son çeyreğinde devreye alınması planan 3,1 MWp kapasiteli yeni bir yap-işlet-devret GES projesi bulunmaktadır.</t>
  </si>
  <si>
    <t>Şah RES</t>
  </si>
  <si>
    <t>Taşpınar RES</t>
  </si>
  <si>
    <t>Mersin RES</t>
  </si>
  <si>
    <t>Erzurum GES</t>
  </si>
  <si>
    <t>Çorum GES</t>
  </si>
  <si>
    <t>Taşpınar Hibrit GES</t>
  </si>
  <si>
    <t>Almanyada SunSpark GmbH 20 MW kurulu güçe sahip Güneş enerji santral projesini satın aldı.</t>
  </si>
  <si>
    <t>2025-2027 yılları arsını kapsayan yurtdışı yatırımları kapsamında 300 MW kapasiteye ulaşılma hedefi vardır.</t>
  </si>
  <si>
    <t>2030 yılı kurulu güç hedefi 1000 MW</t>
  </si>
  <si>
    <t>Almanyada kesineleşen ve devam eden görüşmelerle bilrlikte toplam 123 MW kapasiteye ulaşılmsı öngörülmektedir.</t>
  </si>
  <si>
    <t xml:space="preserve">SANTRAL ADI </t>
  </si>
  <si>
    <t>Aliağa Termik Santrali</t>
  </si>
  <si>
    <t>Salihli GES 1</t>
  </si>
  <si>
    <t>Salihli GES 2</t>
  </si>
  <si>
    <t>Salihli GES 3</t>
  </si>
  <si>
    <t>Salihli GES projeleri için Samayi Bakanlığındana 1,5 milyar TL tutarından iki adet yatırım teşvik belgesi aldı. Teşvik kapsamında %30 yatırım katkı oranı, KDV istisnası ve 6 yıl süreli sigorta primi desteği alacak</t>
  </si>
  <si>
    <t>6 Haziran 2009 da 49 yıl süreli üretim lisansı almıştır.</t>
  </si>
  <si>
    <t>İzmir BB kapatma tebligatına karşı açılan davada, 14 Mart 2025'te yürütmeyi durdurma kararı alınmış olup hukuki süreç devam etmektedir.</t>
  </si>
  <si>
    <t>Attalos GES</t>
  </si>
  <si>
    <t>Dombaylı GES</t>
  </si>
  <si>
    <t>Şifrin HES</t>
  </si>
  <si>
    <t>Tortum HES</t>
  </si>
  <si>
    <t>Bala GES</t>
  </si>
  <si>
    <t>VERUSA HOLDİNG İŞTİRAKI OLMASI NEDENİYLE 23 KASIMDA ŞİRKETE TMSF KAYYIM OLARAK ATANDI.</t>
  </si>
  <si>
    <t>Kadıncık 2 HES</t>
  </si>
  <si>
    <t>Kadıncık 1 HES</t>
  </si>
  <si>
    <t>Niksar HES</t>
  </si>
  <si>
    <t>Çileklitepe HES</t>
  </si>
  <si>
    <t>Üçharmanlar HES</t>
  </si>
  <si>
    <t>Kemerçayır HES</t>
  </si>
  <si>
    <t>Üçhanlar HES</t>
  </si>
  <si>
    <t>Erzin GES</t>
  </si>
  <si>
    <t xml:space="preserve">Toplam </t>
  </si>
  <si>
    <t>Bağıştaş Hibrit GES 61</t>
  </si>
  <si>
    <t>11 Aralık: Depolamalı Çelebi RES (49,4 MWm/ 45 Mwe + 45 MWh) ve Kanara RES (49,4 MWm / 45 Mwe + 45 MWh) projelerine ÇED olumlu rapro verilmiş olup 98,8 Mwe kurulu güç ve 90 Mwe depolama kapasitesi onaylanmış oldu.)</t>
  </si>
  <si>
    <t xml:space="preserve">12 Ocak:  Depolamalı Yörgüç RES (49,4 Mwm / 45 MWe + 45 MWh) projesine ÇED olumlu raporu verildi. </t>
  </si>
  <si>
    <t>Akçay HES</t>
  </si>
  <si>
    <t>Eğlence | HES</t>
  </si>
  <si>
    <t>Eğlence || HES</t>
  </si>
  <si>
    <t>Çaygören HES</t>
  </si>
  <si>
    <t>Alaçatı RES</t>
  </si>
  <si>
    <t>Yaylaköy RES</t>
  </si>
  <si>
    <t>Mordoğan RES</t>
  </si>
  <si>
    <t>Urla RES</t>
  </si>
  <si>
    <t>Germiyan RES</t>
  </si>
  <si>
    <t>Soma GES</t>
  </si>
  <si>
    <t>Kemalpaşa GES</t>
  </si>
  <si>
    <t>Ödemiş GES</t>
  </si>
  <si>
    <t>Tuzla JES</t>
  </si>
  <si>
    <t>Urla RES kapasitesine ek olarak 8,4 Mwe ek kapasite artışı planlanmaktadır.</t>
  </si>
  <si>
    <t>Romanyadaki 10 MWp kapasiteli GES projesi için Zenit Solar S.R.L paylarının 1.5 milyon euro bedelle satın alınması için ön protokol imzaladı.</t>
  </si>
  <si>
    <t xml:space="preserve">Şirketin 15 Nisan'da başlatmış olduğu 11 milyon lot pay geri alım programında 8,3 milyon lot pay geri alımı gerçekleştirdi. </t>
  </si>
  <si>
    <t>Lydia Yenilebilir Enerji</t>
  </si>
  <si>
    <t>Galip Hoca JES</t>
  </si>
  <si>
    <t>Efeler JES( Efe 1,2,3,4)</t>
  </si>
  <si>
    <t>Efe 7 JES</t>
  </si>
  <si>
    <t>Efe 8 JES</t>
  </si>
  <si>
    <t>Çeşmebaşı REG ve HES</t>
  </si>
  <si>
    <t>Arpa HES</t>
  </si>
  <si>
    <t>Akköy-Espiye HES</t>
  </si>
  <si>
    <t>Çermikler HES</t>
  </si>
  <si>
    <t>Belen RES</t>
  </si>
  <si>
    <t>Şenköy RES</t>
  </si>
  <si>
    <t>Albay Çiğiltepe RES</t>
  </si>
  <si>
    <t>Kanije RES</t>
  </si>
  <si>
    <t>Zeliha RES</t>
  </si>
  <si>
    <t>Fatma RES</t>
  </si>
  <si>
    <t>Kocatepe RES</t>
  </si>
  <si>
    <t>Ulu RES</t>
  </si>
  <si>
    <t>Seyit Onbaşı RES</t>
  </si>
  <si>
    <t>Kocatepe RES Yardımcı Kaynak GES</t>
  </si>
  <si>
    <t>Tire GES</t>
  </si>
  <si>
    <t>Seydikemer GES</t>
  </si>
  <si>
    <t>YEKA GES-4 Bor 2</t>
  </si>
  <si>
    <t>Yatağan GES</t>
  </si>
  <si>
    <t>Karahıdır GES</t>
  </si>
  <si>
    <t>Karatay GES</t>
  </si>
  <si>
    <t>Sarayköy GES</t>
  </si>
  <si>
    <t>Kırklareli 3 RES depolamalı 100 MWe inşaatına 2025 yıl sonunda başlaması hedefleniyor</t>
  </si>
  <si>
    <t>Ecofer Biyogaz</t>
  </si>
  <si>
    <t>Karacabey Biyogaz</t>
  </si>
  <si>
    <t>Honaz Biyokütle</t>
  </si>
  <si>
    <t>Denizli Biyogaz</t>
  </si>
  <si>
    <t>17 Aralık: Kırklareli 100 MW DRES projesi için ÇED olumlu kararı verildi.</t>
  </si>
  <si>
    <t>6 Ocak: YEKA GES 2025 yarışmaları kapsamında kaznadığı G25 Bolu GES projesi için sözleşme süreci tamamlanmış olup, proje 50 MWe kurulu güç ve 70 MWp mekanik kapasiteye sahip olucak</t>
  </si>
  <si>
    <t>Kızıldere 1 JES</t>
  </si>
  <si>
    <t>Kızıldere 2 JES</t>
  </si>
  <si>
    <t>Kızıldere 3 JES</t>
  </si>
  <si>
    <t>Gökçedağ RES</t>
  </si>
  <si>
    <t>Tercan HES</t>
  </si>
  <si>
    <t>Kuzgun HES</t>
  </si>
  <si>
    <t>Ataköy HES</t>
  </si>
  <si>
    <t>Mercan HES</t>
  </si>
  <si>
    <t>Çıldır HES</t>
  </si>
  <si>
    <t>İkizdere HES</t>
  </si>
  <si>
    <t>Beyköy HES</t>
  </si>
  <si>
    <t>Yurtdışı</t>
  </si>
  <si>
    <t>Jhimpir RES</t>
  </si>
  <si>
    <t>Deadsea GES</t>
  </si>
  <si>
    <t>18,6 MW kurulu güç kapasitesine sahip Alkan JES için sondaj ve inşaat faaliyetleriyle finansman görüşmeleri sürmektedir.</t>
  </si>
  <si>
    <t>10 MW kurulu güç kapasitesine sahip Alkan 2 JES içn önlisans alındı.</t>
  </si>
  <si>
    <t>35 MW kurulu güç kapasitesine sahip Tekkehamam 2 JES projesi için önlisans süresi 85 aya uzatılmış olup arama ve sondaj çalışmaları devam etmektedir.</t>
  </si>
  <si>
    <t>Kızıldere 3 (57,35 MWm ek), Kızıldere 2 (11,99 MWm ek) ve Gökçedağ (ek kapasite) için izin ve geliştirme süreçleri yürütülmektedir.</t>
  </si>
  <si>
    <t>250 MW Yeniçiftlik RES ve 125 MW Hamitabat RES lokasyonlarında depolamalı rüzgar projeleri için önlisans alınmıştır. Ayrıca 7 farklı GES projesi için 202,5 MWe depolama başvurusu yapılmıştır</t>
  </si>
  <si>
    <t>20 Kasım:  %100 iştiraki olan Gökçedağ Rüzgar Enerji Üretim A.Ş.’deki toplam 31.583.503.586 adet payın (her biri 0,01 TL nominal değerli) Rönesans Yenilenebilir Enerji Yatırım A.Ş.’ye satış ve devrine ilişkin Hisse Alım Anlaşması imzalandı.</t>
  </si>
  <si>
    <t xml:space="preserve">Feslek HES </t>
  </si>
  <si>
    <t>Aksu HES</t>
  </si>
  <si>
    <t>Kemer HES</t>
  </si>
  <si>
    <t>Bereket |-|| HES</t>
  </si>
  <si>
    <t>Adıgüzel HES</t>
  </si>
  <si>
    <t>Gökyar HES</t>
  </si>
  <si>
    <t>Dalaman I-II-III-IV-V HES</t>
  </si>
  <si>
    <t>Akıncı HES</t>
  </si>
  <si>
    <t>Koyulhisar HES</t>
  </si>
  <si>
    <t>Çırakdamı HES</t>
  </si>
  <si>
    <t>Mentaş HES</t>
  </si>
  <si>
    <t>Toros HES</t>
  </si>
  <si>
    <t>Armutlu RES</t>
  </si>
  <si>
    <t>Banaz RES</t>
  </si>
  <si>
    <t>Söke RES</t>
  </si>
  <si>
    <t>Kızıldere JES</t>
  </si>
  <si>
    <t>Banaz Hibrit GES</t>
  </si>
  <si>
    <t>20 Ekim: Atlantis 1 DGES 300 MWm GES ve 200 MWh elektrik depolama tesisinden oluşmakta olup ÇED olumlu kararı aldı.</t>
  </si>
  <si>
    <t>Dereli HES</t>
  </si>
  <si>
    <t>Akbük 1 RES</t>
  </si>
  <si>
    <t>Akbük 2 RES</t>
  </si>
  <si>
    <t>Korkmaz RES</t>
  </si>
  <si>
    <t>Büyükdüz HES</t>
  </si>
  <si>
    <t>Çaypınar RES</t>
  </si>
  <si>
    <t>100MW KURULU GÜCE SAHİP YAMULA HES YAP-İŞLET-DEVRET KAPSAMINDA 31 TEMMUZDA EÜAŞ'A DEVREDİLDİ.</t>
  </si>
  <si>
    <t>Akbük 1 RES 6MW ek kurulu güç çalışmaları devam etmektedir.</t>
  </si>
  <si>
    <t>Korkmaz 1 RES 6 MW ek kurulu güç çalışmaları devam etmektedir.</t>
  </si>
  <si>
    <t>Peshqeshit HES</t>
  </si>
  <si>
    <t>Fangut HES</t>
  </si>
  <si>
    <t>Fangut Cansuyu HES</t>
  </si>
  <si>
    <t>Orduzu Çöp Gazı BES</t>
  </si>
  <si>
    <t>Sivas Çöp Gazı BES</t>
  </si>
  <si>
    <t>İskenderun Çöp Gazı BES</t>
  </si>
  <si>
    <t>Harmandalı Çöp Gazı BES</t>
  </si>
  <si>
    <t>Malatya 2 Çöp Gazı BES</t>
  </si>
  <si>
    <t>Menderes Biyogaz BES</t>
  </si>
  <si>
    <t>Yörük 1 GES</t>
  </si>
  <si>
    <t>Yörük 2 GES</t>
  </si>
  <si>
    <t>Yörük 3 GES</t>
  </si>
  <si>
    <t>Yörük 4 GES</t>
  </si>
  <si>
    <t>Yörük 5 GES</t>
  </si>
  <si>
    <t>İnegöl Çöp Gazı BES</t>
  </si>
  <si>
    <t>İnegöl Biyogaz BES</t>
  </si>
  <si>
    <t>Balıkesir Çöp Gazı GES</t>
  </si>
  <si>
    <t>Ezine Biyokütle BES</t>
  </si>
  <si>
    <t>Bergama Çöp Gazı BES</t>
  </si>
  <si>
    <t>Çine Biyokütle BES</t>
  </si>
  <si>
    <t>Uşak Biyogaz BES</t>
  </si>
  <si>
    <t>Malatya Çöp Gazı BES</t>
  </si>
  <si>
    <r>
      <t>19 Kasım: Günlük 840 ton ayıklama kapasitesi ve 8,484 MW kurulu güçe sahip Bergama tesisinde günlük atık işleme kapasitesi 2 bin tona çıkarılacak.</t>
    </r>
    <r>
      <rPr>
        <sz val="11"/>
        <color rgb="FFFF0000"/>
        <rFont val="Calibri"/>
        <family val="2"/>
        <charset val="162"/>
        <scheme val="minor"/>
      </rPr>
      <t>(Oran orantı sonucu bu tesiste yaklaşık 20 MW enerji ütetimi beklenmektedir.)</t>
    </r>
  </si>
  <si>
    <t>9,2 Milyar TL'lik teşvik aldı.</t>
  </si>
  <si>
    <t>Mevcut biyokütle ve biyogaz santrallerini güneş enerjisi ile hibritleştirmek üzere 7,5 MW kapasite onayı alındı.</t>
  </si>
  <si>
    <t>Çayköy HES</t>
  </si>
  <si>
    <t>İŞTİRAKTEN GELEN KAPASİTE</t>
  </si>
  <si>
    <t>İştirak Toplam</t>
  </si>
  <si>
    <t>Santral Toplam</t>
  </si>
  <si>
    <t>Eşen I HES</t>
  </si>
  <si>
    <t>Eşen II HES</t>
  </si>
  <si>
    <t>Kocadere GES 1-6</t>
  </si>
  <si>
    <t>Nif GES 1-3</t>
  </si>
  <si>
    <t>Çukurçayı Narlı HES</t>
  </si>
  <si>
    <t>Çenger GES 1-6</t>
  </si>
  <si>
    <t>Yunak DGES 22MWm/15MWe projesi için çed olumlu kararı alınmış olup imar çalışmaları sürmektedir.</t>
  </si>
  <si>
    <t>Özbekistan Doğalgaz Çevrim Santrali</t>
  </si>
  <si>
    <t>Edikli GES</t>
  </si>
  <si>
    <t>Gülbahar Bitlis GES</t>
  </si>
  <si>
    <t>Gülbahar Ankara GES</t>
  </si>
  <si>
    <t>Gülbahar Antalya GES</t>
  </si>
  <si>
    <t>Gülbahar Antalya 2 GES</t>
  </si>
  <si>
    <t>Menekşe RES</t>
  </si>
  <si>
    <t>Uluder Kahramanmaraş 2 GES</t>
  </si>
  <si>
    <t>Uluder Kahramanmaraş GES</t>
  </si>
  <si>
    <t>Zen Burdur GES</t>
  </si>
  <si>
    <t>Zen Eskişehir GES</t>
  </si>
  <si>
    <t>Zen Kırıkkale GES</t>
  </si>
  <si>
    <t>Zen Kütahya GES</t>
  </si>
  <si>
    <t>Zen Isparta GES</t>
  </si>
  <si>
    <t>Zen Uşak GES</t>
  </si>
  <si>
    <t>29 Ocak: Menekşe RES'te 24 MW ek kurulu güç için EPDK'ya başvurdu.</t>
  </si>
  <si>
    <t>YEKA GES-4 Bor-1</t>
  </si>
  <si>
    <t>Bor-1 GES projesi için kalan %7'lık kısım için kapasite kabul başvurusu yapıldı.</t>
  </si>
  <si>
    <t>Arnavutlukta düzenlenen ihalede 40,3 MW ve 20,2 MW toplamda 60,5 MW kurulu güçe sahip olacak GES projelerinin kurulumu ve elektrik satış ihalesini aldı.</t>
  </si>
  <si>
    <t>Esenyazı GES</t>
  </si>
  <si>
    <t>Başıbüyük GES</t>
  </si>
  <si>
    <t>Çorbacılar GES</t>
  </si>
  <si>
    <t>İmamdamı 1 GES</t>
  </si>
  <si>
    <t>İmamdamı 2 GES</t>
  </si>
  <si>
    <t>Ağzıkarahan GES</t>
  </si>
  <si>
    <t>Alanya GES</t>
  </si>
  <si>
    <t>Çubuk GES</t>
  </si>
  <si>
    <t>Yunak GES</t>
  </si>
  <si>
    <t>EIC KODU</t>
  </si>
  <si>
    <t>40W000000000761W</t>
  </si>
  <si>
    <t>40W000000003383N</t>
  </si>
  <si>
    <t>40W000000004082W</t>
  </si>
  <si>
    <t>40W000000007585S</t>
  </si>
  <si>
    <t>40W000000005631K</t>
  </si>
  <si>
    <t>40W000000004345Q</t>
  </si>
  <si>
    <t>40W000000005555A</t>
  </si>
  <si>
    <t>40W000000008278W</t>
  </si>
  <si>
    <t>40W0000000040621</t>
  </si>
  <si>
    <t>40W000000005670A</t>
  </si>
  <si>
    <t>40W000000011102O</t>
  </si>
  <si>
    <t>40W000000008180C</t>
  </si>
  <si>
    <t>40W0000000066365</t>
  </si>
  <si>
    <t>40W000000006299Y</t>
  </si>
  <si>
    <t>40W000000012482K</t>
  </si>
  <si>
    <t>40W000000012349M</t>
  </si>
  <si>
    <t>40W000000012346S</t>
  </si>
  <si>
    <t>40W000000004815F</t>
  </si>
  <si>
    <t>40W000000007478T</t>
  </si>
  <si>
    <t>40W000000000692P</t>
  </si>
  <si>
    <t>40W000000010590R</t>
  </si>
  <si>
    <t>40W000000012663G</t>
  </si>
  <si>
    <t>40W000000005830E</t>
  </si>
  <si>
    <t>40W000000012348O</t>
  </si>
  <si>
    <t>40W000000011206C</t>
  </si>
  <si>
    <t>40W000000007201Z</t>
  </si>
  <si>
    <t>40W0000000099828</t>
  </si>
  <si>
    <t>40W000000011207A</t>
  </si>
  <si>
    <t>40W000000000410O</t>
  </si>
  <si>
    <t>40W000000009583M</t>
  </si>
  <si>
    <t>40W000000006541G</t>
  </si>
  <si>
    <t>40W000000005634E</t>
  </si>
  <si>
    <t>40W000000009763K</t>
  </si>
  <si>
    <t>40W000000005510W</t>
  </si>
  <si>
    <t>40W0000000080783</t>
  </si>
  <si>
    <t>40W0000000156259</t>
  </si>
  <si>
    <t>40W000000016664V</t>
  </si>
  <si>
    <t>40W000000017824U</t>
  </si>
  <si>
    <t>40W000000000738R</t>
  </si>
  <si>
    <t>40W000000010064B</t>
  </si>
  <si>
    <t>40W000000010013S</t>
  </si>
  <si>
    <t>40W000000001321I</t>
  </si>
  <si>
    <t>40W000000009922Q</t>
  </si>
  <si>
    <t>40W000000000407D</t>
  </si>
  <si>
    <t>40W000000001401K</t>
  </si>
  <si>
    <t>40W000000016043Q</t>
  </si>
  <si>
    <t>40W000000004812L</t>
  </si>
  <si>
    <t>40W000000005936Z</t>
  </si>
  <si>
    <t>40W0000000051143</t>
  </si>
  <si>
    <t>40W0000000007411</t>
  </si>
  <si>
    <t>40W000000012357N</t>
  </si>
  <si>
    <t>40W000000015243N</t>
  </si>
  <si>
    <t>40W000000000683Q</t>
  </si>
  <si>
    <t>40W000000009643U</t>
  </si>
  <si>
    <t>40W000000013604R</t>
  </si>
  <si>
    <t>40W000000010241F</t>
  </si>
  <si>
    <t>40W000000006496W</t>
  </si>
  <si>
    <t>40W000000005313Y</t>
  </si>
  <si>
    <t>40W000000011525X</t>
  </si>
  <si>
    <t>40W000000013923B</t>
  </si>
  <si>
    <t>40W000000009862I</t>
  </si>
  <si>
    <t>40W000000000645Y</t>
  </si>
  <si>
    <t>40W100000000627N</t>
  </si>
  <si>
    <t>40W000000000694L</t>
  </si>
  <si>
    <t>40W0000000006253</t>
  </si>
  <si>
    <t>40W000000000636Z</t>
  </si>
  <si>
    <t>40W000000006879G</t>
  </si>
  <si>
    <t>40W000000011205E</t>
  </si>
  <si>
    <t>40W000000000629W</t>
  </si>
  <si>
    <t>40W000000000628Y</t>
  </si>
  <si>
    <t>40W000000000647U</t>
  </si>
  <si>
    <t>40W0000000006415</t>
  </si>
  <si>
    <t>40W000000011524Z</t>
  </si>
  <si>
    <t>40W0000000102619</t>
  </si>
  <si>
    <t>40W0000000102627</t>
  </si>
  <si>
    <t>40W000000005091Q</t>
  </si>
  <si>
    <t>40W000000009546S</t>
  </si>
  <si>
    <t>40W000000005697R</t>
  </si>
  <si>
    <t>40W000000006356B</t>
  </si>
  <si>
    <t>Yukarı Mercan HES</t>
  </si>
  <si>
    <t>40W000000007798B</t>
  </si>
  <si>
    <t>40W000000005056S</t>
  </si>
  <si>
    <t>40W000005011621Y</t>
  </si>
  <si>
    <t>40W0000000002762</t>
  </si>
  <si>
    <t>40W000000011803V</t>
  </si>
  <si>
    <t>40W000000008225G</t>
  </si>
  <si>
    <t>40W000000004427O</t>
  </si>
  <si>
    <t>40W0000000053111</t>
  </si>
  <si>
    <t>40W000000010584M</t>
  </si>
  <si>
    <t>40W0000000166238</t>
  </si>
  <si>
    <t>40W0000000050341</t>
  </si>
  <si>
    <t>40W000000020704W</t>
  </si>
  <si>
    <t>40W0000000137661</t>
  </si>
  <si>
    <t>40W000000008559O</t>
  </si>
  <si>
    <t>40W000000012395F</t>
  </si>
  <si>
    <t>40W000000016748P</t>
  </si>
  <si>
    <t>40W000000013903H</t>
  </si>
  <si>
    <t>40W0000000159215</t>
  </si>
  <si>
    <t>40W000000007459X</t>
  </si>
  <si>
    <t>40W000000009683I</t>
  </si>
  <si>
    <t>40W000000010741W</t>
  </si>
  <si>
    <t>40W0000000178031</t>
  </si>
  <si>
    <t>40W0000000150036</t>
  </si>
  <si>
    <t>40W0000050043210</t>
  </si>
  <si>
    <t>40W000000015165H</t>
  </si>
  <si>
    <t>40W000000007023X</t>
  </si>
  <si>
    <t>40W000000000675P</t>
  </si>
  <si>
    <t>40W000000000271C</t>
  </si>
  <si>
    <t>40W100000000110N</t>
  </si>
  <si>
    <t>40W000000012703U</t>
  </si>
  <si>
    <t>40W000000004467C</t>
  </si>
  <si>
    <t>40W000000011282X</t>
  </si>
  <si>
    <t>40W000000010062F</t>
  </si>
  <si>
    <t>40W000000013004E</t>
  </si>
  <si>
    <t>40W000000009481U</t>
  </si>
  <si>
    <t>ID</t>
  </si>
  <si>
    <t>40W000000000655V</t>
  </si>
  <si>
    <t>Arnavutluk'ta 74,88 MW kurulu güce sahip RES inşası içi izin süreci devam etmektedir,</t>
  </si>
  <si>
    <t>6 Ağustos 2024'te Arnavutluk Altyapı ve Enerji Bakanlığı ile Arnavutluk Proje Geliştirme Anlaşması (PDA) imzaladı,</t>
  </si>
  <si>
    <t>8 Aralık: 25 MW'lık Efe 9 JES için proje sahasında yeterli kaynak bulunamadığı tesopit edilmiş olup, EPDK 'YA yapılan lisans sonlandırma başvurusu kabul edilmiştir,</t>
  </si>
  <si>
    <t>40W0000000045694</t>
  </si>
  <si>
    <t>40W0000000123500</t>
  </si>
  <si>
    <t>40W000000013023A</t>
  </si>
  <si>
    <t>40W000000012347Q</t>
  </si>
  <si>
    <t>40W000000015043V</t>
  </si>
  <si>
    <t>40W000000013743D</t>
  </si>
  <si>
    <t>Alaşehir JES</t>
  </si>
  <si>
    <t>40W000000009241D</t>
  </si>
  <si>
    <t>40W000000005872Z</t>
  </si>
  <si>
    <t>40W000000013163V</t>
  </si>
  <si>
    <t>40W000000007460B</t>
  </si>
  <si>
    <t>40W000000000270E</t>
  </si>
  <si>
    <t>40W0000000123233</t>
  </si>
  <si>
    <t>40W0000000007322</t>
  </si>
  <si>
    <t>Göktaş I HES</t>
  </si>
  <si>
    <t>Göktaş II HES</t>
  </si>
  <si>
    <t>40W000000009545U</t>
  </si>
  <si>
    <t>40W000000000272A</t>
  </si>
  <si>
    <t>40W000000012391N</t>
  </si>
  <si>
    <t>40W0000000065369</t>
  </si>
  <si>
    <t>40W000000006156J</t>
  </si>
  <si>
    <t>Bağıştaş 1 HES</t>
  </si>
  <si>
    <t>40W000000011203I</t>
  </si>
  <si>
    <t>40W000000010081B</t>
  </si>
  <si>
    <t>40W0000000062769</t>
  </si>
  <si>
    <t>1A25</t>
  </si>
  <si>
    <t>2A25</t>
  </si>
  <si>
    <t>3A25</t>
  </si>
  <si>
    <t>4A25</t>
  </si>
  <si>
    <t>5A25</t>
  </si>
  <si>
    <t>6A25</t>
  </si>
  <si>
    <t>7A25</t>
  </si>
  <si>
    <t>8A25</t>
  </si>
  <si>
    <t>9A25</t>
  </si>
  <si>
    <t>10A25</t>
  </si>
  <si>
    <t>11A25</t>
  </si>
  <si>
    <t>12A25</t>
  </si>
  <si>
    <t>1A26</t>
  </si>
  <si>
    <t>2A26</t>
  </si>
  <si>
    <t>EPIAS ID</t>
  </si>
  <si>
    <t>EIC Kodu</t>
  </si>
  <si>
    <t>Santral Adı</t>
  </si>
  <si>
    <t>Kurulu Güç (MW)</t>
  </si>
  <si>
    <t>ADIGÜZEL HES</t>
  </si>
  <si>
    <t>40W100000000580N</t>
  </si>
  <si>
    <t xml:space="preserve">BEREKET JES </t>
  </si>
  <si>
    <t>BEREKET1-2 HES</t>
  </si>
  <si>
    <t>ÇIRAKDAMI HES</t>
  </si>
  <si>
    <t>DALAMAN HES</t>
  </si>
  <si>
    <t>DERELİ HES</t>
  </si>
  <si>
    <t>DÜZCE AKSU HES</t>
  </si>
  <si>
    <t>FESLEK BEREKET HES</t>
  </si>
  <si>
    <t>GÖKTAŞ 1 - 2 HES</t>
  </si>
  <si>
    <t>GÖKYAR HES</t>
  </si>
  <si>
    <t>KEMER HES</t>
  </si>
  <si>
    <t>KOYULHİSAR BEREKET HES</t>
  </si>
  <si>
    <t>MENTAŞ HES</t>
  </si>
  <si>
    <t>SÖKE RES</t>
  </si>
  <si>
    <t>TOKAT AKINCI HES</t>
  </si>
  <si>
    <t>TOROS HES</t>
  </si>
  <si>
    <t>UŞAK RES – Hibrit GES</t>
  </si>
  <si>
    <t>40W000000009582O</t>
  </si>
  <si>
    <t>YALOVA RES</t>
  </si>
  <si>
    <t>TOPLAM</t>
  </si>
  <si>
    <t>40W0000000100829</t>
  </si>
  <si>
    <t>PTF</t>
  </si>
  <si>
    <t>11.11.2025 tarihinde YEKDEM anlaşması sona ermiş PTF ile satıyor</t>
  </si>
  <si>
    <t>HES Kümülatif Değişimi</t>
  </si>
  <si>
    <t>DGKÇS Geçen Yılın Aynı Dönemine Göre Değişim</t>
  </si>
  <si>
    <t>DGKÇS Kümülatif Değişim</t>
  </si>
  <si>
    <t>Toplamın Geçen Yılın Aynı Dönemine Göre Değişimi</t>
  </si>
  <si>
    <t>Toplam Kümülatif Değişimi</t>
  </si>
  <si>
    <t>RES Geçen Yılın Aynı Dönemine Göre Değişimi</t>
  </si>
  <si>
    <t>HES Geçen Yılın Aynı Dönemine Göre Değişimi</t>
  </si>
  <si>
    <t>RES Kümülatif Değişim</t>
  </si>
  <si>
    <t>GES Geçen Yılın Aynı Dönemine Göre Değişimi</t>
  </si>
  <si>
    <t>GES Kümülatif Değişim</t>
  </si>
  <si>
    <t>Termik Geçen Yılın Aynı Döenmine Göre Değişim</t>
  </si>
  <si>
    <t>Termik Kümülatif Değişim</t>
  </si>
  <si>
    <t>Toplam Geçen Yılın Aynı Dönemine Göre Değişim</t>
  </si>
  <si>
    <t>Toplam Kümülatif Değişim</t>
  </si>
  <si>
    <t>İştirak : HES Geçen Yılın Aynı Dönemine Göre Değişimi</t>
  </si>
  <si>
    <t>İştirak : HES Kümülatif Değişimi</t>
  </si>
  <si>
    <t>JES Geçen Yılın Aynı Dönemine Göre Değişimi</t>
  </si>
  <si>
    <t>-</t>
  </si>
  <si>
    <t>JES Kümülatif Değişim</t>
  </si>
  <si>
    <t>BES Geçen Yılın Aynı Dönemine Göre Değişimi</t>
  </si>
  <si>
    <t>BES Kümülatif Değişim</t>
  </si>
  <si>
    <t>GES Kümülatif Değişimi</t>
  </si>
  <si>
    <t>Termik Geçen Yılın Aynı Dönemine Göre Değişim</t>
  </si>
  <si>
    <t>RES Kümülatif Değişimi</t>
  </si>
  <si>
    <t>JES Kümülatif Değişimi</t>
  </si>
  <si>
    <t>SATIŞ FİYATI</t>
  </si>
  <si>
    <t>SÜRE (YIL SONU)</t>
  </si>
  <si>
    <t>SATIŞ FIYATI</t>
  </si>
  <si>
    <t>YIL (SENE SONU)</t>
  </si>
  <si>
    <t>SÜRE(YIL SONU)</t>
  </si>
  <si>
    <t xml:space="preserve">SATIŞ FİYATI </t>
  </si>
  <si>
    <t>Gönen GES</t>
  </si>
  <si>
    <t>Kayı1 GES</t>
  </si>
  <si>
    <t>Kayı2 GES</t>
  </si>
  <si>
    <t>Serince 1 GES</t>
  </si>
  <si>
    <t>Serince 2-3 GES</t>
  </si>
  <si>
    <t xml:space="preserve">RES ve Hibrit GES Kapasite Artışları </t>
  </si>
  <si>
    <t xml:space="preserve">Depolamalı RES ve GES Projeleri </t>
  </si>
  <si>
    <t>2027+</t>
  </si>
  <si>
    <t xml:space="preserve">Pil Tesisi ve Yeni Depolamalı Yatırımlar Dahil Toplam </t>
  </si>
  <si>
    <t>KURULU GÜÇ HEDEFİ</t>
  </si>
  <si>
    <t>SATIŞ FİYATİ</t>
  </si>
  <si>
    <t>SÜRE(YILSONU)</t>
  </si>
  <si>
    <t>SÜRE (YIL SONU9</t>
  </si>
  <si>
    <t>HES Geçen Yılın Aynı Dönemine Göre Değişim</t>
  </si>
  <si>
    <t>HES Kümülatif Değişim</t>
  </si>
  <si>
    <t>RES Geçen Yılın Aynı Dönemine Göre Değişim</t>
  </si>
  <si>
    <t>PTF FİYATI</t>
  </si>
  <si>
    <t>3A26</t>
  </si>
  <si>
    <t>TL</t>
  </si>
  <si>
    <t>DOLAR</t>
  </si>
  <si>
    <t>35,48</t>
  </si>
  <si>
    <t>AYLIK ORT</t>
  </si>
  <si>
    <t>73 TL</t>
  </si>
  <si>
    <t>EPİAŞ SİSTEMİNE KAYITLI SANTRALLERİN YEKDEM/TOPLAM ORANI</t>
  </si>
  <si>
    <t>8/9</t>
  </si>
  <si>
    <t>15/26</t>
  </si>
  <si>
    <t>1/2</t>
  </si>
  <si>
    <t>4/6</t>
  </si>
  <si>
    <t>3/18</t>
  </si>
  <si>
    <t>2/6</t>
  </si>
  <si>
    <t>13/14</t>
  </si>
  <si>
    <t>12/14</t>
  </si>
  <si>
    <t>0/1</t>
  </si>
  <si>
    <t>3/3</t>
  </si>
  <si>
    <t>8/13</t>
  </si>
  <si>
    <t>1/11</t>
  </si>
  <si>
    <t>2/10</t>
  </si>
  <si>
    <t>0/4</t>
  </si>
  <si>
    <t>0/5</t>
  </si>
  <si>
    <t>8/18</t>
  </si>
  <si>
    <t>6/6</t>
  </si>
  <si>
    <t>3/4</t>
  </si>
  <si>
    <t>2/13</t>
  </si>
  <si>
    <t>FD/Kurulu Güç (USD/MW)</t>
  </si>
  <si>
    <t>A1YEN:IS</t>
  </si>
  <si>
    <t>AKENR:IS</t>
  </si>
  <si>
    <t>AKFYE:IS</t>
  </si>
  <si>
    <t>AKSEN:IS</t>
  </si>
  <si>
    <t>AKSUE:IS</t>
  </si>
  <si>
    <t>ALFAS:IS</t>
  </si>
  <si>
    <t>AYDEM:IS</t>
  </si>
  <si>
    <t>AYEN:IS</t>
  </si>
  <si>
    <t>BIGEN:IS</t>
  </si>
  <si>
    <t>BIOEN:IS</t>
  </si>
  <si>
    <t>CANTE:IS</t>
  </si>
  <si>
    <t>CATES:IS</t>
  </si>
  <si>
    <t>CONSE:IS</t>
  </si>
  <si>
    <t>CWENE:IS</t>
  </si>
  <si>
    <t>ECOGR:IS</t>
  </si>
  <si>
    <t>ENDAE:IS</t>
  </si>
  <si>
    <t>ENTRA:IS</t>
  </si>
  <si>
    <t>GWIND:IS</t>
  </si>
  <si>
    <t>HUNER:IS</t>
  </si>
  <si>
    <t>IZENR:IS</t>
  </si>
  <si>
    <t>LYDYE:IS</t>
  </si>
  <si>
    <t>MOGAN:IS</t>
  </si>
  <si>
    <t>ODAS:IS</t>
  </si>
  <si>
    <t>PAMEL:IS</t>
  </si>
  <si>
    <t>SMRTG:IS</t>
  </si>
  <si>
    <t>TATEN:IS</t>
  </si>
  <si>
    <t>ZEDUR:IS</t>
  </si>
  <si>
    <t>ZOREN:IS</t>
  </si>
  <si>
    <t>Firma Değeri (Milyon TL)</t>
  </si>
  <si>
    <t>Net Borç (Milyon TL)</t>
  </si>
  <si>
    <t>Piyasa Değeri (Milyon TL)</t>
  </si>
  <si>
    <t>Firma Değeri/ Kurulu Güç (Milyon TL/MW)</t>
  </si>
  <si>
    <t>FAVÖK (Milyon TL)</t>
  </si>
  <si>
    <t>FD/ FAVÖK (X)</t>
  </si>
  <si>
    <t>Tarih</t>
  </si>
  <si>
    <t>USD_DS:TFX</t>
  </si>
  <si>
    <t>FAVÖK (Milyon USD)</t>
  </si>
  <si>
    <t xml:space="preserve"> FAVÖK/Kurulu Güç (Milyon USD/MW)</t>
  </si>
  <si>
    <t>2025 YATIRIM</t>
  </si>
  <si>
    <t>2026 YATIRIM</t>
  </si>
  <si>
    <t>2030 YATIRIM</t>
  </si>
  <si>
    <t>8,1 MW Biyokütle Hibrit GES</t>
  </si>
  <si>
    <t>7,70 MW DGKÇS Hibrit GES</t>
  </si>
  <si>
    <t>2027 YATIRIM</t>
  </si>
  <si>
    <t>95 MW GES + 215 MW RES</t>
  </si>
  <si>
    <t>HFO 119 MW + DGKÇS 130 MW + 25 MW RES + 100 MW GES</t>
  </si>
  <si>
    <t xml:space="preserve">100,08 MW RES + 90,5MW GES </t>
  </si>
  <si>
    <t>19,39 MW GES</t>
  </si>
  <si>
    <t xml:space="preserve">27,2 MW RES </t>
  </si>
  <si>
    <t>300 MW RES + 110 MW GES</t>
  </si>
  <si>
    <t>12 MW RES + 111 MW HES</t>
  </si>
  <si>
    <t>30 MW BES</t>
  </si>
  <si>
    <t>24 MW BES</t>
  </si>
  <si>
    <t>24 MW RES</t>
  </si>
  <si>
    <t>25 MW GES +  50 MW DGKÇS</t>
  </si>
  <si>
    <t xml:space="preserve">50 MW GES </t>
  </si>
  <si>
    <t>17,95 MW RES + 2,2 MW HES + 54 MW GES</t>
  </si>
  <si>
    <t>244,85 MW GES</t>
  </si>
  <si>
    <t>74,88 MW RES</t>
  </si>
  <si>
    <t>5,08 MW GES</t>
  </si>
  <si>
    <t>SANTRALLERİN DOLAR BAZLI GELİRLERİ</t>
  </si>
  <si>
    <t>1000 MW  KURULU GÜÇ HEDEFİ</t>
  </si>
  <si>
    <t>1000 MW KURULU GÜÇHEDEFİ</t>
  </si>
  <si>
    <t>TR DE 1000 MW KURULU GÜÇ HEDEFİ</t>
  </si>
  <si>
    <t>112 MW RES + 600 MW Depolamalı GES</t>
  </si>
  <si>
    <t>34 MW Depolamalı RES</t>
  </si>
  <si>
    <t>SANTRALLERİN DOLAR BAZLI GETİRİLERİ</t>
  </si>
  <si>
    <t>Efe 6  JES</t>
  </si>
  <si>
    <t>15 MW Depolamalı GES</t>
  </si>
  <si>
    <t>7,76 Hibrit RES</t>
  </si>
  <si>
    <t>100 MW RES + 100 MW Depolamalı RES</t>
  </si>
  <si>
    <t>135 MW RES</t>
  </si>
  <si>
    <t>375 MW RES + 63,6 JES</t>
  </si>
  <si>
    <t>TOPLAM HEDEFLENEN YATIRIM</t>
  </si>
  <si>
    <t xml:space="preserve">3A26 </t>
  </si>
  <si>
    <t xml:space="preserve"> ÇEYREKLİK GELİR</t>
  </si>
  <si>
    <t>ÖNCEKİ ÇEYREĞE GÖRE DEĞİŞİM</t>
  </si>
  <si>
    <t>GEÇEN YILIN AYNI DÖNEMİNE GÖRE DEĞİŞİM</t>
  </si>
  <si>
    <t>SANTRALLERİN TL  BAZLI GETİRİLERİ</t>
  </si>
  <si>
    <t>SANTRALLERİN TL BAZLI GELİRLERİ</t>
  </si>
  <si>
    <t>SANTRALLERİN TL BAZLI GETİRİLERİ</t>
  </si>
  <si>
    <t>ÇEYREKLİK GELİR</t>
  </si>
  <si>
    <t>Sütun1</t>
  </si>
  <si>
    <t>Sütun2</t>
  </si>
  <si>
    <t>Sütun3</t>
  </si>
  <si>
    <t>Sütun4</t>
  </si>
  <si>
    <t>Sütun5</t>
  </si>
  <si>
    <t>KAPASİTE ARTTIRIM HEDEFİ</t>
  </si>
  <si>
    <t>Çan2 Termik Santrali (MWh)</t>
  </si>
  <si>
    <t>Yıllık Bazda Sapma Oranı</t>
  </si>
  <si>
    <t>Faaliyet Rapor Üretim Verisi (MWh)</t>
  </si>
  <si>
    <t>PTF Ağırlıklı Ort (MWh/TL)</t>
  </si>
  <si>
    <t xml:space="preserve">Aylık Ort Dolar Kuru </t>
  </si>
  <si>
    <t>PTF Ağırlıklı Ort (MWh/USD)</t>
  </si>
  <si>
    <t>Ciro (Milyon TL)</t>
  </si>
  <si>
    <t>Ciro EM Hariç (Milyon TL)</t>
  </si>
  <si>
    <t>Ciro Sapma</t>
  </si>
  <si>
    <t>Ciro EM Hariç Sapma</t>
  </si>
  <si>
    <t xml:space="preserve">PTF Ağırlıklı  Ort Ciro Tahmin(Milyon TL) </t>
  </si>
  <si>
    <t>Ortalama Ciro Sapma Oranı</t>
  </si>
  <si>
    <t>Ortalama EM Hariç Ciro Sapma Oranı</t>
  </si>
  <si>
    <t>Ciro Tahmini (Milyon TL)</t>
  </si>
  <si>
    <t>CATES</t>
  </si>
  <si>
    <t>EM Hariç Ciro Tahmini (Milyon TL)</t>
  </si>
  <si>
    <t>COGS (Milyon TL)</t>
  </si>
  <si>
    <t xml:space="preserve">Average COGS  per Unit </t>
  </si>
  <si>
    <t>Gross Profit (Milyon TL)</t>
  </si>
  <si>
    <t>2025/4Q</t>
  </si>
  <si>
    <t>2025/3Q</t>
  </si>
  <si>
    <t>2025/2Q</t>
  </si>
  <si>
    <t>2025/1Q</t>
  </si>
  <si>
    <t>2026/1Q</t>
  </si>
  <si>
    <t>EM Hariç COGS (Milyon TL)</t>
  </si>
  <si>
    <t>CANTE</t>
  </si>
  <si>
    <t>AKENR</t>
  </si>
  <si>
    <t>Ciro Tahmini (PTF ve YEKDEM) (Milyon TL)</t>
  </si>
  <si>
    <t>AKFYE</t>
  </si>
  <si>
    <t>GWIND</t>
  </si>
  <si>
    <t>AYDEM</t>
  </si>
  <si>
    <t>Bereket JES</t>
  </si>
  <si>
    <t>Bereket 1-2 HES</t>
  </si>
  <si>
    <t>Dalaman HES</t>
  </si>
  <si>
    <t>Düzce Aksu HES</t>
  </si>
  <si>
    <t>Feslek Bereket HES</t>
  </si>
  <si>
    <t>Göktaş 1-2 HES</t>
  </si>
  <si>
    <t>Koyulhisar Bereket HES</t>
  </si>
  <si>
    <t>Tokat Akıncı HES</t>
  </si>
  <si>
    <t>Uşak RES – Hibrit GES</t>
  </si>
  <si>
    <t>Yalova RES</t>
  </si>
  <si>
    <t>MOGAN</t>
  </si>
  <si>
    <t>4A26</t>
  </si>
  <si>
    <t>5A26</t>
  </si>
  <si>
    <t>6A26</t>
  </si>
  <si>
    <t>milyar tl</t>
  </si>
  <si>
    <t>1q25</t>
  </si>
  <si>
    <t>2q25</t>
  </si>
  <si>
    <t>3q25</t>
  </si>
  <si>
    <t>4q25</t>
  </si>
  <si>
    <t>1q26</t>
  </si>
  <si>
    <t>2q26</t>
  </si>
  <si>
    <t>gerçekleşen</t>
  </si>
  <si>
    <t>üretim</t>
  </si>
  <si>
    <t xml:space="preserve">tahminler </t>
  </si>
  <si>
    <t xml:space="preserve">iş </t>
  </si>
  <si>
    <t>yfas</t>
  </si>
  <si>
    <t>phillip</t>
  </si>
  <si>
    <t>marbaş</t>
  </si>
  <si>
    <t>pusula</t>
  </si>
  <si>
    <t>üretim gelir tahmini</t>
  </si>
  <si>
    <t>aracı kurum tahminleri</t>
  </si>
  <si>
    <t>milyon tl</t>
  </si>
  <si>
    <t>deniz</t>
  </si>
  <si>
    <t>HES ÜRETİM</t>
  </si>
  <si>
    <t>RES ÜRETİM</t>
  </si>
  <si>
    <t>DGKÇS ÜRETİM</t>
  </si>
  <si>
    <t>1Q25</t>
  </si>
  <si>
    <t>2Q25</t>
  </si>
  <si>
    <t>3Q25</t>
  </si>
  <si>
    <t>4Q25</t>
  </si>
  <si>
    <t>1Q26</t>
  </si>
  <si>
    <t>2Q26</t>
  </si>
  <si>
    <t>AYEN</t>
  </si>
  <si>
    <t>BIOEN</t>
  </si>
  <si>
    <t>TERMİK</t>
  </si>
  <si>
    <t xml:space="preserve">CANTE </t>
  </si>
  <si>
    <t>ENDAE</t>
  </si>
  <si>
    <t>ENTRA</t>
  </si>
  <si>
    <t xml:space="preserve">GWIND </t>
  </si>
  <si>
    <t>TATEN</t>
  </si>
  <si>
    <t>ZOREN</t>
  </si>
  <si>
    <t>Barajlı</t>
  </si>
  <si>
    <t>Linyit</t>
  </si>
  <si>
    <t>Akarsu</t>
  </si>
  <si>
    <t>İthal Kömür</t>
  </si>
  <si>
    <t>Rüzgar</t>
  </si>
  <si>
    <t>Güneş</t>
  </si>
  <si>
    <t>Fuel Oil</t>
  </si>
  <si>
    <t>Jeotermal</t>
  </si>
  <si>
    <t>Asfaltit Kömür</t>
  </si>
  <si>
    <t>Taş Kömür</t>
  </si>
  <si>
    <t>Biyokütle</t>
  </si>
  <si>
    <t>Nafta</t>
  </si>
  <si>
    <t>LNG</t>
  </si>
  <si>
    <t xml:space="preserve">Uluslararası </t>
  </si>
  <si>
    <t>Atık Isı</t>
  </si>
  <si>
    <t>Mwh üretim</t>
  </si>
  <si>
    <t>tüketim mwh</t>
  </si>
  <si>
    <t>85,439,509.18</t>
  </si>
  <si>
    <t>82,538,168.01</t>
  </si>
  <si>
    <t>99,322,757.51</t>
  </si>
  <si>
    <t>83,355,495.20</t>
  </si>
  <si>
    <t>80,505,466.25</t>
  </si>
  <si>
    <t>83,244,799.25</t>
  </si>
  <si>
    <t>SANTRAL</t>
  </si>
  <si>
    <t>SATIŞ TÜRÜ</t>
  </si>
  <si>
    <t>Adala Ges</t>
  </si>
  <si>
    <t>A1YEN</t>
  </si>
  <si>
    <t>X</t>
  </si>
  <si>
    <t>ÜRETİM VERİSİ</t>
  </si>
  <si>
    <t>YEKDEM</t>
  </si>
  <si>
    <t>KURULU GÜÇ(MW)</t>
  </si>
  <si>
    <t>E</t>
  </si>
  <si>
    <t xml:space="preserve">Denizli GES </t>
  </si>
  <si>
    <t xml:space="preserve">Amasya (Boyalı) GES </t>
  </si>
  <si>
    <t xml:space="preserve">Tokat (Kuşoturağı GES </t>
  </si>
  <si>
    <t>Sarıtepe RES</t>
  </si>
  <si>
    <t xml:space="preserve">Demirciler RES </t>
  </si>
  <si>
    <t>AKSEN</t>
  </si>
  <si>
    <t>75 USD</t>
  </si>
  <si>
    <t>Bereket I-II HES</t>
  </si>
  <si>
    <t>Göktaş I -II HES</t>
  </si>
  <si>
    <t>Banaz RES Hibrit GES</t>
  </si>
  <si>
    <t>BIGEN</t>
  </si>
  <si>
    <t>SEPET FİYAT</t>
  </si>
  <si>
    <t>CONSE</t>
  </si>
  <si>
    <t>ECOGR</t>
  </si>
  <si>
    <t>Eğlence I HES</t>
  </si>
  <si>
    <t>Eğlence II HES</t>
  </si>
  <si>
    <t>IZENR</t>
  </si>
  <si>
    <t>LYDYE</t>
  </si>
  <si>
    <r>
      <t xml:space="preserve">Şirket, Çankırı'daki Güneş Enerji Santralleri ile ürettiği elektrik enerjisini </t>
    </r>
    <r>
      <rPr>
        <b/>
        <sz val="11"/>
        <color theme="1"/>
        <rFont val="Calibri"/>
        <family val="2"/>
        <scheme val="minor"/>
      </rPr>
      <t>EPDK yenilenebilir enerji düzenlemeleri kapsamında (yani YEKDEM çerçevesinde)</t>
    </r>
    <r>
      <rPr>
        <sz val="11"/>
        <color theme="1"/>
        <rFont val="Calibri"/>
        <family val="2"/>
        <scheme val="minor"/>
      </rPr>
      <t xml:space="preserve"> bağlı bulunduğu elektrik dağıtım kuruluşuna satmaktadır</t>
    </r>
  </si>
  <si>
    <t>GMB RENEWABLE ENERG GES</t>
  </si>
  <si>
    <t xml:space="preserve">MWE </t>
  </si>
  <si>
    <t>PAMEL</t>
  </si>
  <si>
    <t>ZEDUR</t>
  </si>
  <si>
    <t>Lüleburgaz Doğalgaz</t>
  </si>
  <si>
    <t>taten</t>
  </si>
  <si>
    <t>sonuç</t>
  </si>
  <si>
    <t>üretim geliri</t>
  </si>
  <si>
    <t>Aksa Gana Kumasi Doğalgaz</t>
  </si>
  <si>
    <t>Balıkesir Çöp Gazı BES</t>
  </si>
  <si>
    <t>FAVÖK</t>
  </si>
  <si>
    <t>Net Borç</t>
  </si>
  <si>
    <t>Net Borç/FAVÖK</t>
  </si>
  <si>
    <t>Özkaynaklar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</si>
</sst>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d\.mm\.yyyy"/>
    <numFmt numFmtId="165" formatCode="_-* #,##0.00\ _₺_-;\-* #,##0.00\ _₺_-;_-* &quot;-&quot;??\ _₺_-;_-@_-"/>
    <numFmt numFmtId="166" formatCode="0.0"/>
    <numFmt numFmtId="167" formatCode="_-* #,##0\ _₺_-;\-* #,##0\ _₺_-;_-* &quot;-&quot;??\ _₺_-;_-@_-"/>
    <numFmt numFmtId="168" formatCode="0.0%"/>
    <numFmt numFmtId="169" formatCode="_-* #,##0_-;\-* #,##0_-;_-* &quot;-&quot;??_-;_-@_-"/>
  </numFmts>
  <fonts count="61"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sz val="11"/>
      <color theme="1"/>
      <name val="Calibri"/>
      <family val="2"/>
      <charset val="162"/>
    </font>
    <font>
      <sz val="11"/>
      <color theme="9"/>
      <name val="Calibri"/>
      <family val="2"/>
      <scheme val="minor"/>
    </font>
    <font>
      <sz val="11"/>
      <color rgb="FF1F1F1F"/>
      <name val="Calibri"/>
      <family val="2"/>
      <charset val="162"/>
      <scheme val="minor"/>
    </font>
    <font>
      <sz val="11"/>
      <name val="Calibri"/>
      <family val="2"/>
      <scheme val="minor"/>
    </font>
    <font>
      <sz val="11"/>
      <color theme="9"/>
      <name val="Calibri"/>
      <family val="2"/>
      <charset val="162"/>
      <scheme val="minor"/>
    </font>
    <font>
      <sz val="11"/>
      <color rgb="FFFF0000"/>
      <name val="Calibri"/>
      <family val="2"/>
      <charset val="162"/>
      <scheme val="minor"/>
    </font>
    <font>
      <sz val="11"/>
      <color rgb="FFFF0000"/>
      <name val="Calibri"/>
      <family val="2"/>
      <scheme val="minor"/>
    </font>
    <font>
      <sz val="11"/>
      <color rgb="FF333333"/>
      <name val="Calibri"/>
      <family val="2"/>
      <charset val="162"/>
      <scheme val="minor"/>
    </font>
    <font>
      <sz val="11"/>
      <color rgb="FF4D4D4D"/>
      <name val="Calibri"/>
      <family val="2"/>
      <charset val="162"/>
      <scheme val="minor"/>
    </font>
    <font>
      <sz val="11"/>
      <color rgb="FF9C0006"/>
      <name val="Calibri"/>
      <family val="2"/>
      <charset val="162"/>
      <scheme val="minor"/>
    </font>
    <font>
      <sz val="12"/>
      <color theme="1"/>
      <name val="Aptos"/>
      <family val="2"/>
    </font>
    <font>
      <sz val="9"/>
      <color indexed="81"/>
      <name val="Tahoma"/>
      <family val="2"/>
      <charset val="162"/>
    </font>
    <font>
      <b/>
      <sz val="9"/>
      <color indexed="81"/>
      <name val="Tahoma"/>
      <family val="2"/>
      <charset val="162"/>
    </font>
    <font>
      <b/>
      <sz val="11"/>
      <color rgb="FFFFFFFF"/>
      <name val="Aptos"/>
      <family val="2"/>
    </font>
    <font>
      <sz val="11"/>
      <color theme="1"/>
      <name val="Aptos"/>
      <family val="2"/>
    </font>
    <font>
      <sz val="11"/>
      <color theme="1"/>
      <name val="Calibri"/>
      <family val="2"/>
      <scheme val="minor"/>
    </font>
    <font>
      <sz val="11"/>
      <name val="Calibri"/>
      <family val="2"/>
      <charset val="162"/>
      <scheme val="minor"/>
    </font>
    <font>
      <sz val="7"/>
      <name val="Arial"/>
      <family val="2"/>
      <charset val="162"/>
    </font>
    <font>
      <sz val="11"/>
      <color rgb="FF1F1F1F"/>
      <name val="Calibri"/>
      <family val="2"/>
      <scheme val="minor"/>
    </font>
    <font>
      <sz val="9"/>
      <color theme="1"/>
      <name val="Arial"/>
      <family val="2"/>
      <charset val="162"/>
    </font>
    <font>
      <sz val="10"/>
      <color theme="1"/>
      <name val="Arial"/>
      <family val="2"/>
      <charset val="162"/>
    </font>
    <font>
      <sz val="8"/>
      <name val="Calibri"/>
      <family val="2"/>
      <scheme val="minor"/>
    </font>
    <font>
      <sz val="6"/>
      <color theme="1"/>
      <name val="Calibri"/>
      <family val="2"/>
      <scheme val="minor"/>
    </font>
    <font>
      <sz val="6"/>
      <color theme="1"/>
      <name val="Calibri"/>
      <family val="2"/>
      <charset val="162"/>
      <scheme val="minor"/>
    </font>
    <font>
      <b/>
      <sz val="11"/>
      <color theme="0"/>
      <name val="Calibri"/>
      <family val="2"/>
      <scheme val="minor"/>
    </font>
    <font>
      <sz val="11"/>
      <color theme="1"/>
      <name val="Work Sans"/>
      <charset val="162"/>
    </font>
    <font>
      <sz val="11"/>
      <color rgb="FFFF0000"/>
      <name val="Work Sans"/>
      <charset val="162"/>
    </font>
    <font>
      <b/>
      <sz val="11"/>
      <color theme="1"/>
      <name val="Work Sans"/>
      <charset val="162"/>
    </font>
    <font>
      <b/>
      <sz val="11"/>
      <color rgb="FFFF0000"/>
      <name val="Work Sans"/>
      <charset val="162"/>
    </font>
    <font>
      <b/>
      <sz val="11"/>
      <color rgb="FF1F1F1F"/>
      <name val="Work Sans"/>
      <charset val="162"/>
    </font>
    <font>
      <sz val="9"/>
      <color rgb="FF098658"/>
      <name val="Courier New"/>
      <family val="3"/>
      <charset val="162"/>
    </font>
    <font>
      <b/>
      <sz val="11"/>
      <color rgb="FF000000"/>
      <name val="Calibri"/>
      <family val="2"/>
      <charset val="162"/>
      <scheme val="minor"/>
    </font>
    <font>
      <b/>
      <sz val="11"/>
      <color theme="1"/>
      <name val="Calibri"/>
      <family val="2"/>
      <scheme val="minor"/>
    </font>
    <font>
      <sz val="11"/>
      <color rgb="FF000000"/>
      <name val="Calibri"/>
      <family val="2"/>
      <charset val="162"/>
    </font>
  </fonts>
  <fills count="24">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2" tint="-0.249977111117893"/>
        <bgColor indexed="64"/>
      </patternFill>
    </fill>
    <fill>
      <patternFill patternType="solid">
        <fgColor rgb="FFFFFF00"/>
        <bgColor indexed="64"/>
      </patternFill>
    </fill>
    <fill>
      <patternFill patternType="solid">
        <fgColor rgb="FFFFC7CE"/>
      </patternFill>
    </fill>
    <fill>
      <patternFill patternType="solid">
        <fgColor rgb="FFFF6C0E"/>
        <bgColor indexed="64"/>
      </patternFill>
    </fill>
    <fill>
      <patternFill patternType="solid">
        <fgColor theme="0"/>
        <bgColor theme="4"/>
      </patternFill>
    </fill>
    <fill>
      <patternFill patternType="solid">
        <fgColor rgb="FFFF0000"/>
        <bgColor indexed="64"/>
      </patternFill>
    </fill>
    <fill>
      <patternFill patternType="solid">
        <fgColor theme="4"/>
        <bgColor indexed="64"/>
      </patternFill>
    </fill>
    <fill>
      <patternFill patternType="solid">
        <fgColor theme="4"/>
        <bgColor theme="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00B050"/>
        <bgColor indexed="64"/>
      </patternFill>
    </fill>
    <fill>
      <patternFill patternType="solid">
        <fgColor theme="9" tint="0.59999389629810485"/>
        <bgColor indexed="64"/>
      </patternFill>
    </fill>
    <fill>
      <patternFill patternType="solid">
        <fgColor theme="0"/>
        <bgColor theme="4" tint="0.79998168889431442"/>
      </patternFill>
    </fill>
    <fill>
      <patternFill patternType="solid">
        <fgColor theme="7" tint="0.79998168889431442"/>
        <bgColor theme="4" tint="0.79998168889431442"/>
      </patternFill>
    </fill>
    <fill>
      <patternFill patternType="solid">
        <fgColor theme="8" tint="0.79998168889431442"/>
        <bgColor theme="4" tint="0.79998168889431442"/>
      </patternFill>
    </fill>
    <fill>
      <patternFill patternType="solid">
        <fgColor theme="6" tint="0.79998168889431442"/>
        <bgColor theme="4" tint="0.79998168889431442"/>
      </patternFill>
    </fill>
    <fill>
      <patternFill patternType="solid">
        <fgColor rgb="FFFFFFFF"/>
        <bgColor indexed="64"/>
      </patternFill>
    </fill>
  </fills>
  <borders count="30">
    <border>
      <left/>
      <right/>
      <top/>
      <bottom/>
      <diagonal/>
    </border>
    <border>
      <left/>
      <right/>
      <top/>
      <bottom style="medium">
        <color rgb="FFDDDDDD"/>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theme="2" tint="-9.9978637043366805E-2"/>
      </right>
      <top style="thin">
        <color indexed="64"/>
      </top>
      <bottom/>
      <diagonal/>
    </border>
    <border>
      <left style="thin">
        <color theme="2" tint="-9.9978637043366805E-2"/>
      </left>
      <right style="thin">
        <color theme="2" tint="-9.9978637043366805E-2"/>
      </right>
      <top style="thin">
        <color indexed="64"/>
      </top>
      <bottom style="thin">
        <color theme="2" tint="-9.9978637043366805E-2"/>
      </bottom>
      <diagonal/>
    </border>
    <border>
      <left style="thin">
        <color indexed="64"/>
      </left>
      <right/>
      <top style="thin">
        <color indexed="64"/>
      </top>
      <bottom style="thin">
        <color indexed="64"/>
      </bottom>
      <diagonal/>
    </border>
    <border>
      <left/>
      <right style="medium">
        <color indexed="64"/>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bottom/>
      <diagonal/>
    </border>
    <border>
      <left style="thin">
        <color theme="2"/>
      </left>
      <right style="thin">
        <color theme="2"/>
      </right>
      <top style="thin">
        <color theme="2"/>
      </top>
      <bottom style="thin">
        <color theme="2"/>
      </bottom>
      <diagonal/>
    </border>
    <border>
      <left style="thin">
        <color theme="2"/>
      </left>
      <right/>
      <top/>
      <bottom style="thin">
        <color theme="2"/>
      </bottom>
      <diagonal/>
    </border>
    <border>
      <left/>
      <right style="thin">
        <color theme="2"/>
      </right>
      <top style="thin">
        <color theme="2"/>
      </top>
      <bottom style="thin">
        <color theme="2"/>
      </bottom>
      <diagonal/>
    </border>
    <border>
      <left/>
      <right/>
      <top style="thin">
        <color theme="2"/>
      </top>
      <bottom style="thin">
        <color theme="2"/>
      </bottom>
      <diagonal/>
    </border>
    <border>
      <left style="thin">
        <color theme="2"/>
      </left>
      <right/>
      <top style="thin">
        <color theme="2"/>
      </top>
      <bottom style="thin">
        <color theme="2"/>
      </bottom>
      <diagonal/>
    </border>
    <border>
      <left/>
      <right style="thin">
        <color theme="2"/>
      </right>
      <top style="thin">
        <color theme="2"/>
      </top>
      <bottom/>
      <diagonal/>
    </border>
    <border>
      <left/>
      <right/>
      <top/>
      <bottom style="thin">
        <color theme="2"/>
      </bottom>
      <diagonal/>
    </border>
    <border>
      <left/>
      <right style="thin">
        <color theme="2"/>
      </right>
      <top/>
      <bottom style="thin">
        <color theme="2"/>
      </bottom>
      <diagonal/>
    </border>
    <border>
      <left style="thin">
        <color theme="2"/>
      </left>
      <right style="thin">
        <color theme="2"/>
      </right>
      <top/>
      <bottom style="thin">
        <color theme="2"/>
      </bottom>
      <diagonal/>
    </border>
    <border>
      <left style="thin">
        <color theme="2"/>
      </left>
      <right style="thin">
        <color theme="2"/>
      </right>
      <top style="thin">
        <color theme="2"/>
      </top>
      <bottom/>
      <diagonal/>
    </border>
    <border>
      <left style="thin">
        <color theme="2"/>
      </left>
      <right style="thin">
        <color theme="2"/>
      </right>
      <top style="thin">
        <color theme="4" tint="0.39997558519241921"/>
      </top>
      <bottom style="thin">
        <color theme="2"/>
      </bottom>
      <diagonal/>
    </border>
    <border>
      <left style="thin">
        <color theme="2"/>
      </left>
      <right style="thin">
        <color theme="2"/>
      </right>
      <top/>
      <bottom/>
      <diagonal/>
    </border>
    <border>
      <left/>
      <right style="medium">
        <color rgb="FFBFBFBF"/>
      </right>
      <top/>
      <bottom style="medium">
        <color rgb="FFBFBFBF"/>
      </bottom>
      <diagonal/>
    </border>
  </borders>
  <cellStyleXfs count="7">
    <xf numFmtId="0" fontId="0" fillId="0" borderId="0"/>
    <xf numFmtId="0" fontId="36" fillId="6" borderId="0" applyNumberFormat="0" applyBorder="0" applyAlignment="0" applyProtection="0"/>
    <xf numFmtId="9" fontId="42" fillId="0" borderId="0" applyFont="0" applyFill="0" applyBorder="0" applyAlignment="0" applyProtection="0"/>
    <xf numFmtId="43" fontId="42" fillId="0" borderId="0" applyFont="0" applyFill="0" applyBorder="0" applyAlignment="0" applyProtection="0"/>
    <xf numFmtId="0" fontId="8" fillId="0" borderId="0"/>
    <xf numFmtId="165" fontId="8" fillId="0" borderId="0" applyFont="0" applyFill="0" applyBorder="0" applyAlignment="0" applyProtection="0"/>
    <xf numFmtId="9" fontId="8" fillId="0" borderId="0" applyFont="0" applyFill="0" applyBorder="0" applyAlignment="0" applyProtection="0"/>
  </cellStyleXfs>
  <cellXfs count="333">
    <xf numFmtId="0" fontId="0" fillId="0" borderId="0" xfId="0"/>
    <xf numFmtId="164"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vertical="top"/>
    </xf>
    <xf numFmtId="49" fontId="0" fillId="0" borderId="0" xfId="0" applyNumberFormat="1" applyAlignment="1">
      <alignment horizontal="left" vertical="center"/>
    </xf>
    <xf numFmtId="0" fontId="0" fillId="0" borderId="9" xfId="0" applyBorder="1" applyAlignment="1">
      <alignment horizontal="center"/>
    </xf>
    <xf numFmtId="9" fontId="0" fillId="0" borderId="9" xfId="2" applyFont="1" applyBorder="1" applyAlignment="1">
      <alignment horizontal="center"/>
    </xf>
    <xf numFmtId="9" fontId="0" fillId="0" borderId="12" xfId="2" applyFont="1" applyBorder="1" applyAlignment="1">
      <alignment horizontal="center"/>
    </xf>
    <xf numFmtId="16" fontId="0" fillId="0" borderId="9" xfId="0" quotePrefix="1" applyNumberFormat="1" applyBorder="1" applyAlignment="1">
      <alignment horizontal="center"/>
    </xf>
    <xf numFmtId="0" fontId="0" fillId="0" borderId="9" xfId="0" quotePrefix="1" applyBorder="1" applyAlignment="1">
      <alignment horizontal="center"/>
    </xf>
    <xf numFmtId="9" fontId="0" fillId="0" borderId="9" xfId="2" applyFont="1" applyFill="1" applyBorder="1" applyAlignment="1">
      <alignment horizontal="center"/>
    </xf>
    <xf numFmtId="0" fontId="0" fillId="0" borderId="9" xfId="0" applyBorder="1"/>
    <xf numFmtId="0" fontId="14" fillId="8" borderId="9" xfId="0" applyFont="1" applyFill="1" applyBorder="1" applyAlignment="1">
      <alignment horizontal="center" wrapText="1"/>
    </xf>
    <xf numFmtId="0" fontId="15" fillId="8" borderId="9" xfId="0" applyFont="1" applyFill="1" applyBorder="1" applyAlignment="1">
      <alignment horizontal="center" wrapText="1"/>
    </xf>
    <xf numFmtId="0" fontId="0" fillId="0" borderId="12" xfId="0" applyBorder="1" applyAlignment="1">
      <alignment horizontal="center"/>
    </xf>
    <xf numFmtId="0" fontId="27" fillId="2" borderId="9" xfId="0" applyFont="1" applyFill="1" applyBorder="1" applyAlignment="1">
      <alignment horizontal="left" wrapText="1"/>
    </xf>
    <xf numFmtId="2" fontId="27" fillId="2" borderId="9" xfId="0" applyNumberFormat="1" applyFont="1" applyFill="1" applyBorder="1" applyAlignment="1">
      <alignment horizontal="center" wrapText="1"/>
    </xf>
    <xf numFmtId="9" fontId="0" fillId="0" borderId="9" xfId="2" applyFont="1" applyBorder="1" applyAlignment="1"/>
    <xf numFmtId="0" fontId="25" fillId="0" borderId="9" xfId="0" applyFont="1" applyBorder="1" applyAlignment="1">
      <alignment horizontal="center"/>
    </xf>
    <xf numFmtId="2" fontId="0" fillId="0" borderId="9" xfId="0" applyNumberFormat="1" applyBorder="1" applyAlignment="1">
      <alignment horizontal="center"/>
    </xf>
    <xf numFmtId="0" fontId="0" fillId="0" borderId="10" xfId="0" applyBorder="1"/>
    <xf numFmtId="0" fontId="27" fillId="2" borderId="11" xfId="0" applyFont="1" applyFill="1" applyBorder="1" applyAlignment="1">
      <alignment horizontal="left" wrapText="1"/>
    </xf>
    <xf numFmtId="14" fontId="0" fillId="0" borderId="0" xfId="0" applyNumberFormat="1"/>
    <xf numFmtId="0" fontId="27" fillId="2" borderId="0" xfId="0" applyFont="1" applyFill="1" applyAlignment="1">
      <alignment horizontal="left" wrapText="1"/>
    </xf>
    <xf numFmtId="49" fontId="0" fillId="0" borderId="0" xfId="0" applyNumberFormat="1" applyAlignment="1">
      <alignment horizontal="left"/>
    </xf>
    <xf numFmtId="0" fontId="0" fillId="0" borderId="0" xfId="0" applyAlignment="1">
      <alignment horizontal="left"/>
    </xf>
    <xf numFmtId="0" fontId="46" fillId="0" borderId="0" xfId="0" applyFont="1" applyAlignment="1">
      <alignment horizontal="left"/>
    </xf>
    <xf numFmtId="164" fontId="0" fillId="0" borderId="0" xfId="0" applyNumberFormat="1" applyAlignment="1">
      <alignment horizontal="left"/>
    </xf>
    <xf numFmtId="4" fontId="47" fillId="0" borderId="0" xfId="0" applyNumberFormat="1" applyFont="1" applyAlignment="1">
      <alignment horizontal="right"/>
    </xf>
    <xf numFmtId="4" fontId="0" fillId="0" borderId="0" xfId="0" applyNumberFormat="1" applyAlignment="1">
      <alignment horizontal="right"/>
    </xf>
    <xf numFmtId="14" fontId="0" fillId="0" borderId="0" xfId="0" applyNumberFormat="1" applyAlignment="1">
      <alignment horizontal="left"/>
    </xf>
    <xf numFmtId="4" fontId="0" fillId="0" borderId="0" xfId="0" applyNumberFormat="1" applyAlignment="1">
      <alignment horizontal="left"/>
    </xf>
    <xf numFmtId="4" fontId="0" fillId="0" borderId="0" xfId="0" applyNumberFormat="1" applyAlignment="1">
      <alignment horizontal="left" vertical="center"/>
    </xf>
    <xf numFmtId="0" fontId="28" fillId="0" borderId="0" xfId="0" applyFont="1" applyAlignment="1">
      <alignment horizontal="left"/>
    </xf>
    <xf numFmtId="0" fontId="29" fillId="0" borderId="0" xfId="0" applyFont="1" applyAlignment="1">
      <alignment horizontal="left" wrapText="1" readingOrder="1"/>
    </xf>
    <xf numFmtId="0" fontId="23" fillId="0" borderId="0" xfId="0" applyFont="1" applyAlignment="1">
      <alignment horizontal="left"/>
    </xf>
    <xf numFmtId="0" fontId="22" fillId="0" borderId="0" xfId="0" applyFont="1" applyAlignment="1">
      <alignment horizontal="left"/>
    </xf>
    <xf numFmtId="0" fontId="18" fillId="0" borderId="0" xfId="0" applyFont="1" applyAlignment="1">
      <alignment horizontal="left"/>
    </xf>
    <xf numFmtId="0" fontId="14" fillId="0" borderId="0" xfId="0" applyFont="1" applyAlignment="1">
      <alignment horizontal="left"/>
    </xf>
    <xf numFmtId="0" fontId="49" fillId="0" borderId="0" xfId="0" applyFont="1" applyAlignment="1">
      <alignment horizontal="left" wrapText="1"/>
    </xf>
    <xf numFmtId="9" fontId="0" fillId="0" borderId="0" xfId="2" applyFont="1" applyAlignment="1">
      <alignment horizontal="left"/>
    </xf>
    <xf numFmtId="0" fontId="16" fillId="0" borderId="0" xfId="0" applyFont="1" applyAlignment="1">
      <alignment horizontal="left"/>
    </xf>
    <xf numFmtId="0" fontId="0" fillId="0" borderId="0" xfId="0" applyAlignment="1">
      <alignment horizontal="left" wrapText="1"/>
    </xf>
    <xf numFmtId="0" fontId="36" fillId="6" borderId="0" xfId="1" applyAlignment="1">
      <alignment horizontal="left"/>
    </xf>
    <xf numFmtId="0" fontId="45" fillId="0" borderId="0" xfId="0" applyFont="1" applyAlignment="1">
      <alignment horizontal="left" wrapText="1" readingOrder="1"/>
    </xf>
    <xf numFmtId="0" fontId="43" fillId="2" borderId="0" xfId="1" applyFont="1" applyFill="1" applyAlignment="1">
      <alignment horizontal="left"/>
    </xf>
    <xf numFmtId="0" fontId="16" fillId="0" borderId="0" xfId="0" applyFont="1"/>
    <xf numFmtId="0" fontId="29" fillId="0" borderId="0" xfId="0" applyFont="1" applyAlignment="1">
      <alignment wrapText="1" readingOrder="1"/>
    </xf>
    <xf numFmtId="0" fontId="45" fillId="2" borderId="0" xfId="0" applyFont="1" applyFill="1" applyAlignment="1">
      <alignment wrapText="1" readingOrder="1"/>
    </xf>
    <xf numFmtId="0" fontId="0" fillId="2" borderId="0" xfId="0" applyFill="1"/>
    <xf numFmtId="0" fontId="36" fillId="6" borderId="0" xfId="1" applyAlignment="1"/>
    <xf numFmtId="14" fontId="36" fillId="2" borderId="0" xfId="1" applyNumberFormat="1" applyFill="1" applyAlignment="1"/>
    <xf numFmtId="14" fontId="16" fillId="0" borderId="0" xfId="0" applyNumberFormat="1" applyFont="1"/>
    <xf numFmtId="0" fontId="0" fillId="2" borderId="0" xfId="0" applyFill="1" applyAlignment="1">
      <alignment wrapText="1" readingOrder="1"/>
    </xf>
    <xf numFmtId="0" fontId="45" fillId="0" borderId="0" xfId="0" applyFont="1" applyAlignment="1">
      <alignment wrapText="1" readingOrder="1"/>
    </xf>
    <xf numFmtId="9" fontId="0" fillId="0" borderId="0" xfId="2" applyFont="1" applyAlignment="1"/>
    <xf numFmtId="0" fontId="43" fillId="2" borderId="0" xfId="1" applyFont="1" applyFill="1" applyAlignment="1"/>
    <xf numFmtId="0" fontId="16" fillId="2" borderId="0" xfId="1" applyFont="1" applyFill="1" applyAlignment="1"/>
    <xf numFmtId="0" fontId="28" fillId="0" borderId="0" xfId="0" applyFont="1"/>
    <xf numFmtId="0" fontId="30" fillId="0" borderId="0" xfId="0" applyFont="1"/>
    <xf numFmtId="49" fontId="0" fillId="0" borderId="0" xfId="0" applyNumberFormat="1"/>
    <xf numFmtId="0" fontId="20" fillId="0" borderId="0" xfId="0" applyFont="1" applyAlignment="1">
      <alignment horizontal="left"/>
    </xf>
    <xf numFmtId="2" fontId="0" fillId="0" borderId="0" xfId="0" applyNumberFormat="1" applyAlignment="1">
      <alignment horizontal="left"/>
    </xf>
    <xf numFmtId="2" fontId="0" fillId="0" borderId="0" xfId="0" applyNumberFormat="1"/>
    <xf numFmtId="0" fontId="13" fillId="0" borderId="0" xfId="0" applyFont="1" applyAlignment="1">
      <alignment horizontal="left"/>
    </xf>
    <xf numFmtId="14" fontId="23" fillId="0" borderId="0" xfId="0" applyNumberFormat="1" applyFont="1" applyAlignment="1">
      <alignment horizontal="left"/>
    </xf>
    <xf numFmtId="3" fontId="0" fillId="0" borderId="0" xfId="0" applyNumberFormat="1" applyAlignment="1">
      <alignment horizontal="left"/>
    </xf>
    <xf numFmtId="0" fontId="19" fillId="0" borderId="0" xfId="0" applyFont="1" applyAlignment="1">
      <alignment horizontal="left"/>
    </xf>
    <xf numFmtId="0" fontId="18" fillId="0" borderId="0" xfId="0" applyFont="1" applyAlignment="1">
      <alignment horizontal="left" wrapText="1"/>
    </xf>
    <xf numFmtId="0" fontId="40" fillId="10" borderId="2" xfId="0" applyFont="1" applyFill="1" applyBorder="1" applyAlignment="1">
      <alignment horizontal="left" wrapText="1"/>
    </xf>
    <xf numFmtId="0" fontId="40" fillId="10" borderId="3" xfId="0" applyFont="1" applyFill="1" applyBorder="1" applyAlignment="1">
      <alignment horizontal="left" wrapText="1"/>
    </xf>
    <xf numFmtId="0" fontId="40" fillId="7" borderId="3" xfId="0" applyFont="1" applyFill="1" applyBorder="1" applyAlignment="1">
      <alignment horizontal="left" wrapText="1"/>
    </xf>
    <xf numFmtId="0" fontId="40" fillId="7" borderId="0" xfId="0" applyFont="1" applyFill="1" applyAlignment="1">
      <alignment horizontal="left" wrapText="1"/>
    </xf>
    <xf numFmtId="0" fontId="37" fillId="0" borderId="0" xfId="0" applyFont="1" applyAlignment="1">
      <alignment horizontal="left"/>
    </xf>
    <xf numFmtId="0" fontId="41" fillId="0" borderId="4" xfId="0" applyFont="1" applyBorder="1" applyAlignment="1">
      <alignment horizontal="left"/>
    </xf>
    <xf numFmtId="0" fontId="41" fillId="0" borderId="5" xfId="0" applyFont="1" applyBorder="1" applyAlignment="1">
      <alignment horizontal="left"/>
    </xf>
    <xf numFmtId="0" fontId="41" fillId="0" borderId="0" xfId="0" applyFont="1" applyAlignment="1">
      <alignment horizontal="left"/>
    </xf>
    <xf numFmtId="0" fontId="41" fillId="0" borderId="7" xfId="0" applyFont="1" applyBorder="1" applyAlignment="1">
      <alignment horizontal="left"/>
    </xf>
    <xf numFmtId="0" fontId="41" fillId="0" borderId="6" xfId="0" applyFont="1" applyBorder="1" applyAlignment="1">
      <alignment horizontal="left"/>
    </xf>
    <xf numFmtId="0" fontId="41" fillId="0" borderId="8" xfId="0" applyFont="1" applyBorder="1" applyAlignment="1">
      <alignment horizontal="left"/>
    </xf>
    <xf numFmtId="0" fontId="50" fillId="0" borderId="0" xfId="0" applyFont="1" applyAlignment="1">
      <alignment horizontal="left"/>
    </xf>
    <xf numFmtId="0" fontId="34" fillId="0" borderId="1" xfId="0" applyFont="1" applyBorder="1" applyAlignment="1">
      <alignment horizontal="left" wrapText="1"/>
    </xf>
    <xf numFmtId="0" fontId="35" fillId="0" borderId="0" xfId="0" applyFont="1" applyAlignment="1">
      <alignment horizontal="left"/>
    </xf>
    <xf numFmtId="2" fontId="35" fillId="0" borderId="0" xfId="0" applyNumberFormat="1" applyFont="1" applyAlignment="1">
      <alignment horizontal="left"/>
    </xf>
    <xf numFmtId="0" fontId="44" fillId="2" borderId="0" xfId="0" applyFont="1" applyFill="1" applyAlignment="1">
      <alignment horizontal="left" wrapText="1"/>
    </xf>
    <xf numFmtId="3" fontId="44" fillId="2" borderId="0" xfId="0" applyNumberFormat="1" applyFont="1" applyFill="1" applyAlignment="1">
      <alignment horizontal="left" wrapText="1"/>
    </xf>
    <xf numFmtId="0" fontId="31" fillId="0" borderId="0" xfId="0" applyFont="1" applyAlignment="1">
      <alignment horizontal="left"/>
    </xf>
    <xf numFmtId="0" fontId="24" fillId="0" borderId="0" xfId="0" applyFont="1" applyAlignment="1">
      <alignment horizontal="left"/>
    </xf>
    <xf numFmtId="0" fontId="32" fillId="0" borderId="0" xfId="0" applyFont="1" applyAlignment="1">
      <alignment horizontal="left"/>
    </xf>
    <xf numFmtId="0" fontId="17" fillId="0" borderId="0" xfId="0" applyFont="1" applyAlignment="1">
      <alignment horizontal="left"/>
    </xf>
    <xf numFmtId="14" fontId="17" fillId="0" borderId="0" xfId="0" applyNumberFormat="1" applyFont="1" applyAlignment="1">
      <alignment horizontal="left"/>
    </xf>
    <xf numFmtId="0" fontId="12" fillId="0" borderId="0" xfId="0" applyFont="1" applyAlignment="1">
      <alignment horizontal="left"/>
    </xf>
    <xf numFmtId="0" fontId="28" fillId="2" borderId="0" xfId="0" applyFont="1" applyFill="1" applyAlignment="1">
      <alignment horizontal="left"/>
    </xf>
    <xf numFmtId="0" fontId="0" fillId="3" borderId="0" xfId="0" applyFill="1" applyAlignment="1">
      <alignment horizontal="left"/>
    </xf>
    <xf numFmtId="0" fontId="0" fillId="4" borderId="0" xfId="0" applyFill="1" applyAlignment="1">
      <alignment horizontal="left"/>
    </xf>
    <xf numFmtId="0" fontId="11" fillId="0" borderId="0" xfId="0" applyFont="1" applyAlignment="1">
      <alignment horizontal="left"/>
    </xf>
    <xf numFmtId="0" fontId="11" fillId="0" borderId="0" xfId="0" applyFont="1"/>
    <xf numFmtId="2" fontId="16" fillId="0" borderId="0" xfId="0" applyNumberFormat="1" applyFont="1"/>
    <xf numFmtId="0" fontId="12" fillId="0" borderId="0" xfId="0" applyFont="1"/>
    <xf numFmtId="9" fontId="16" fillId="0" borderId="0" xfId="2" applyFont="1" applyAlignment="1">
      <alignment horizontal="left"/>
    </xf>
    <xf numFmtId="0" fontId="10" fillId="0" borderId="0" xfId="0" applyFont="1" applyAlignment="1">
      <alignment horizontal="left"/>
    </xf>
    <xf numFmtId="0" fontId="21" fillId="0" borderId="0" xfId="0" applyFont="1" applyAlignment="1">
      <alignment horizontal="left"/>
    </xf>
    <xf numFmtId="0" fontId="33" fillId="0" borderId="0" xfId="0" applyFont="1" applyAlignment="1">
      <alignment horizontal="left"/>
    </xf>
    <xf numFmtId="2" fontId="0" fillId="0" borderId="0" xfId="2" applyNumberFormat="1" applyFont="1" applyAlignment="1">
      <alignment horizontal="left"/>
    </xf>
    <xf numFmtId="0" fontId="16" fillId="5" borderId="0" xfId="0" applyFont="1" applyFill="1" applyAlignment="1">
      <alignment horizontal="left"/>
    </xf>
    <xf numFmtId="0" fontId="16" fillId="9" borderId="0" xfId="0" applyFont="1" applyFill="1" applyAlignment="1">
      <alignment horizontal="left"/>
    </xf>
    <xf numFmtId="43" fontId="0" fillId="0" borderId="0" xfId="3" applyFont="1"/>
    <xf numFmtId="43" fontId="0" fillId="0" borderId="0" xfId="3" applyFont="1" applyAlignment="1">
      <alignment horizontal="left"/>
    </xf>
    <xf numFmtId="0" fontId="9" fillId="0" borderId="0" xfId="0" applyFont="1" applyAlignment="1">
      <alignment horizontal="left"/>
    </xf>
    <xf numFmtId="2" fontId="0" fillId="0" borderId="0" xfId="0" applyNumberFormat="1" applyAlignment="1">
      <alignment horizontal="left" vertical="center"/>
    </xf>
    <xf numFmtId="43" fontId="0" fillId="0" borderId="0" xfId="3" applyFont="1" applyAlignment="1"/>
    <xf numFmtId="0" fontId="51" fillId="11" borderId="14" xfId="0" applyFont="1" applyFill="1" applyBorder="1" applyAlignment="1">
      <alignment horizontal="left"/>
    </xf>
    <xf numFmtId="0" fontId="51" fillId="11" borderId="15" xfId="0" applyFont="1" applyFill="1" applyBorder="1" applyAlignment="1">
      <alignment horizontal="left"/>
    </xf>
    <xf numFmtId="43" fontId="29" fillId="0" borderId="0" xfId="3" applyFont="1" applyAlignment="1">
      <alignment horizontal="left" wrapText="1" readingOrder="1"/>
    </xf>
    <xf numFmtId="43" fontId="41" fillId="0" borderId="5" xfId="3" applyFont="1" applyBorder="1" applyAlignment="1">
      <alignment horizontal="left"/>
    </xf>
    <xf numFmtId="43" fontId="41" fillId="0" borderId="7" xfId="3" applyFont="1" applyBorder="1" applyAlignment="1">
      <alignment horizontal="left"/>
    </xf>
    <xf numFmtId="43" fontId="41" fillId="0" borderId="13" xfId="3" applyFont="1" applyBorder="1" applyAlignment="1">
      <alignment horizontal="left"/>
    </xf>
    <xf numFmtId="43" fontId="23" fillId="0" borderId="0" xfId="3" applyFont="1" applyAlignment="1">
      <alignment horizontal="left"/>
    </xf>
    <xf numFmtId="43" fontId="12" fillId="0" borderId="0" xfId="3" applyFont="1" applyAlignment="1">
      <alignment horizontal="left"/>
    </xf>
    <xf numFmtId="43" fontId="29" fillId="0" borderId="0" xfId="3" applyFont="1" applyAlignment="1">
      <alignment wrapText="1" readingOrder="1"/>
    </xf>
    <xf numFmtId="43" fontId="16" fillId="0" borderId="0" xfId="3" applyFont="1"/>
    <xf numFmtId="43" fontId="12" fillId="0" borderId="0" xfId="3" applyFont="1"/>
    <xf numFmtId="43" fontId="16" fillId="0" borderId="0" xfId="3" applyFont="1" applyAlignment="1">
      <alignment horizontal="left"/>
    </xf>
    <xf numFmtId="43" fontId="52" fillId="15" borderId="0" xfId="3" applyFont="1" applyFill="1" applyBorder="1"/>
    <xf numFmtId="169" fontId="52" fillId="15" borderId="0" xfId="3" applyNumberFormat="1" applyFont="1" applyFill="1" applyBorder="1"/>
    <xf numFmtId="169" fontId="52" fillId="16" borderId="0" xfId="3" applyNumberFormat="1" applyFont="1" applyFill="1" applyBorder="1"/>
    <xf numFmtId="43" fontId="52" fillId="16" borderId="0" xfId="3" applyFont="1" applyFill="1" applyBorder="1" applyAlignment="1">
      <alignment horizontal="left" vertical="center"/>
    </xf>
    <xf numFmtId="43" fontId="52" fillId="16" borderId="0" xfId="3" applyFont="1" applyFill="1" applyBorder="1"/>
    <xf numFmtId="43" fontId="52" fillId="21" borderId="0" xfId="3" applyFont="1" applyFill="1" applyBorder="1" applyAlignment="1">
      <alignment horizontal="left"/>
    </xf>
    <xf numFmtId="43" fontId="52" fillId="15" borderId="0" xfId="3" applyFont="1" applyFill="1" applyBorder="1" applyAlignment="1">
      <alignment horizontal="left"/>
    </xf>
    <xf numFmtId="43" fontId="52" fillId="22" borderId="0" xfId="3" applyFont="1" applyFill="1" applyBorder="1" applyAlignment="1">
      <alignment horizontal="left"/>
    </xf>
    <xf numFmtId="43" fontId="52" fillId="16" borderId="0" xfId="3" applyFont="1" applyFill="1" applyBorder="1" applyAlignment="1">
      <alignment horizontal="left"/>
    </xf>
    <xf numFmtId="0" fontId="52" fillId="0" borderId="0" xfId="0" applyFont="1"/>
    <xf numFmtId="0" fontId="54" fillId="12" borderId="0" xfId="4" applyFont="1" applyFill="1" applyAlignment="1">
      <alignment horizontal="center" vertical="center" wrapText="1"/>
    </xf>
    <xf numFmtId="0" fontId="54" fillId="13" borderId="0" xfId="4" applyFont="1" applyFill="1" applyAlignment="1">
      <alignment horizontal="center" vertical="center" wrapText="1"/>
    </xf>
    <xf numFmtId="0" fontId="54" fillId="14" borderId="0" xfId="4" applyFont="1" applyFill="1" applyAlignment="1">
      <alignment horizontal="center" vertical="center" wrapText="1"/>
    </xf>
    <xf numFmtId="0" fontId="54" fillId="18" borderId="0" xfId="4" applyFont="1" applyFill="1" applyAlignment="1">
      <alignment horizontal="center" vertical="center" wrapText="1"/>
    </xf>
    <xf numFmtId="0" fontId="54" fillId="2" borderId="0" xfId="4" applyFont="1" applyFill="1" applyAlignment="1">
      <alignment horizontal="center" vertical="center" wrapText="1"/>
    </xf>
    <xf numFmtId="17" fontId="54" fillId="15" borderId="0" xfId="4" applyNumberFormat="1" applyFont="1" applyFill="1"/>
    <xf numFmtId="166" fontId="52" fillId="15" borderId="0" xfId="5" applyNumberFormat="1" applyFont="1" applyFill="1" applyBorder="1"/>
    <xf numFmtId="43" fontId="52" fillId="15" borderId="0" xfId="3" applyFont="1" applyFill="1" applyBorder="1" applyAlignment="1">
      <alignment horizontal="left" vertical="center"/>
    </xf>
    <xf numFmtId="43" fontId="52" fillId="15" borderId="0" xfId="4" applyNumberFormat="1" applyFont="1" applyFill="1"/>
    <xf numFmtId="167" fontId="52" fillId="15" borderId="0" xfId="4" applyNumberFormat="1" applyFont="1" applyFill="1"/>
    <xf numFmtId="2" fontId="52" fillId="15" borderId="0" xfId="4" applyNumberFormat="1" applyFont="1" applyFill="1"/>
    <xf numFmtId="0" fontId="52" fillId="15" borderId="0" xfId="4" applyFont="1" applyFill="1"/>
    <xf numFmtId="0" fontId="52" fillId="2" borderId="0" xfId="0" applyFont="1" applyFill="1"/>
    <xf numFmtId="49" fontId="52" fillId="0" borderId="0" xfId="0" applyNumberFormat="1" applyFont="1" applyAlignment="1">
      <alignment horizontal="left" vertical="center"/>
    </xf>
    <xf numFmtId="0" fontId="52" fillId="0" borderId="0" xfId="0" applyFont="1" applyAlignment="1">
      <alignment horizontal="left" vertical="center"/>
    </xf>
    <xf numFmtId="165" fontId="52" fillId="15" borderId="0" xfId="5" applyFont="1" applyFill="1" applyBorder="1"/>
    <xf numFmtId="1" fontId="52" fillId="15" borderId="0" xfId="4" applyNumberFormat="1" applyFont="1" applyFill="1"/>
    <xf numFmtId="9" fontId="52" fillId="15" borderId="0" xfId="2" applyFont="1" applyFill="1" applyBorder="1"/>
    <xf numFmtId="2" fontId="52" fillId="2" borderId="0" xfId="3" applyNumberFormat="1" applyFont="1" applyFill="1" applyBorder="1"/>
    <xf numFmtId="0" fontId="52" fillId="0" borderId="0" xfId="0" applyFont="1" applyAlignment="1">
      <alignment horizontal="left"/>
    </xf>
    <xf numFmtId="17" fontId="54" fillId="16" borderId="0" xfId="4" applyNumberFormat="1" applyFont="1" applyFill="1"/>
    <xf numFmtId="166" fontId="52" fillId="16" borderId="0" xfId="4" applyNumberFormat="1" applyFont="1" applyFill="1"/>
    <xf numFmtId="9" fontId="52" fillId="16" borderId="0" xfId="2" applyFont="1" applyFill="1" applyBorder="1"/>
    <xf numFmtId="1" fontId="52" fillId="16" borderId="0" xfId="4" applyNumberFormat="1" applyFont="1" applyFill="1"/>
    <xf numFmtId="2" fontId="52" fillId="16" borderId="0" xfId="6" applyNumberFormat="1" applyFont="1" applyFill="1" applyBorder="1"/>
    <xf numFmtId="167" fontId="52" fillId="16" borderId="0" xfId="5" applyNumberFormat="1" applyFont="1" applyFill="1" applyBorder="1"/>
    <xf numFmtId="2" fontId="52" fillId="16" borderId="0" xfId="4" applyNumberFormat="1" applyFont="1" applyFill="1"/>
    <xf numFmtId="2" fontId="52" fillId="16" borderId="0" xfId="4" applyNumberFormat="1" applyFont="1" applyFill="1" applyAlignment="1">
      <alignment horizontal="left" vertical="center"/>
    </xf>
    <xf numFmtId="2" fontId="52" fillId="2" borderId="0" xfId="0" applyNumberFormat="1" applyFont="1" applyFill="1"/>
    <xf numFmtId="166" fontId="52" fillId="15" borderId="0" xfId="4" applyNumberFormat="1" applyFont="1" applyFill="1"/>
    <xf numFmtId="0" fontId="52" fillId="0" borderId="0" xfId="0" applyFont="1" applyAlignment="1">
      <alignment horizontal="center" vertical="center"/>
    </xf>
    <xf numFmtId="0" fontId="54" fillId="0" borderId="0" xfId="0" applyFont="1" applyAlignment="1">
      <alignment horizontal="left" vertical="center"/>
    </xf>
    <xf numFmtId="0" fontId="52" fillId="16" borderId="0" xfId="4" applyFont="1" applyFill="1"/>
    <xf numFmtId="164" fontId="52" fillId="0" borderId="0" xfId="0" applyNumberFormat="1" applyFont="1" applyAlignment="1">
      <alignment horizontal="center" vertical="center"/>
    </xf>
    <xf numFmtId="168" fontId="52" fillId="16" borderId="0" xfId="2" applyNumberFormat="1" applyFont="1" applyFill="1" applyBorder="1"/>
    <xf numFmtId="4" fontId="52" fillId="0" borderId="0" xfId="0" applyNumberFormat="1" applyFont="1" applyAlignment="1">
      <alignment horizontal="center" vertical="center"/>
    </xf>
    <xf numFmtId="4" fontId="54" fillId="0" borderId="0" xfId="0" applyNumberFormat="1" applyFont="1" applyAlignment="1">
      <alignment horizontal="right" vertical="center"/>
    </xf>
    <xf numFmtId="0" fontId="53" fillId="2" borderId="0" xfId="4" applyFont="1" applyFill="1" applyAlignment="1">
      <alignment vertical="center"/>
    </xf>
    <xf numFmtId="17" fontId="55" fillId="2" borderId="0" xfId="4" applyNumberFormat="1" applyFont="1" applyFill="1"/>
    <xf numFmtId="166" fontId="53" fillId="2" borderId="0" xfId="4" applyNumberFormat="1" applyFont="1" applyFill="1"/>
    <xf numFmtId="1" fontId="53" fillId="2" borderId="0" xfId="4" applyNumberFormat="1" applyFont="1" applyFill="1"/>
    <xf numFmtId="167" fontId="53" fillId="2" borderId="0" xfId="5" applyNumberFormat="1" applyFont="1" applyFill="1" applyBorder="1"/>
    <xf numFmtId="2" fontId="53" fillId="2" borderId="0" xfId="4" applyNumberFormat="1" applyFont="1" applyFill="1"/>
    <xf numFmtId="0" fontId="53" fillId="2" borderId="0" xfId="4" applyFont="1" applyFill="1"/>
    <xf numFmtId="2" fontId="53" fillId="2" borderId="0" xfId="6" applyNumberFormat="1" applyFont="1" applyFill="1" applyBorder="1"/>
    <xf numFmtId="14" fontId="53" fillId="2" borderId="0" xfId="4" applyNumberFormat="1" applyFont="1" applyFill="1" applyAlignment="1">
      <alignment horizontal="left" vertical="center"/>
    </xf>
    <xf numFmtId="4" fontId="52" fillId="0" borderId="0" xfId="0" applyNumberFormat="1" applyFont="1" applyAlignment="1">
      <alignment horizontal="right" vertical="center"/>
    </xf>
    <xf numFmtId="43" fontId="52" fillId="2" borderId="0" xfId="3" applyFont="1" applyFill="1" applyBorder="1"/>
    <xf numFmtId="0" fontId="54" fillId="2" borderId="0" xfId="0" applyFont="1" applyFill="1" applyAlignment="1">
      <alignment horizontal="left" vertical="center"/>
    </xf>
    <xf numFmtId="4" fontId="54" fillId="2" borderId="0" xfId="0" applyNumberFormat="1" applyFont="1" applyFill="1" applyAlignment="1">
      <alignment horizontal="right" vertical="center"/>
    </xf>
    <xf numFmtId="0" fontId="52" fillId="2" borderId="0" xfId="0" applyFont="1" applyFill="1" applyAlignment="1">
      <alignment horizontal="left" vertical="center"/>
    </xf>
    <xf numFmtId="4" fontId="52" fillId="2" borderId="0" xfId="0" applyNumberFormat="1" applyFont="1" applyFill="1" applyAlignment="1">
      <alignment horizontal="right" vertical="center"/>
    </xf>
    <xf numFmtId="43" fontId="52" fillId="19" borderId="0" xfId="3" applyFont="1" applyFill="1" applyBorder="1" applyAlignment="1">
      <alignment horizontal="left"/>
    </xf>
    <xf numFmtId="0" fontId="54" fillId="19" borderId="0" xfId="0" applyFont="1" applyFill="1" applyAlignment="1">
      <alignment horizontal="left" vertical="center"/>
    </xf>
    <xf numFmtId="4" fontId="54" fillId="19" borderId="0" xfId="0" applyNumberFormat="1" applyFont="1" applyFill="1" applyAlignment="1">
      <alignment horizontal="right" vertical="center"/>
    </xf>
    <xf numFmtId="0" fontId="52" fillId="19" borderId="0" xfId="0" applyFont="1" applyFill="1" applyAlignment="1">
      <alignment horizontal="left"/>
    </xf>
    <xf numFmtId="0" fontId="53" fillId="2" borderId="0" xfId="4" applyFont="1" applyFill="1" applyAlignment="1">
      <alignment horizontal="left" vertical="center"/>
    </xf>
    <xf numFmtId="4" fontId="53" fillId="2" borderId="0" xfId="4" applyNumberFormat="1" applyFont="1" applyFill="1" applyAlignment="1">
      <alignment horizontal="right" vertical="center"/>
    </xf>
    <xf numFmtId="0" fontId="56" fillId="20" borderId="0" xfId="0" applyFont="1" applyFill="1" applyAlignment="1">
      <alignment horizontal="center" vertical="center" wrapText="1" readingOrder="1"/>
    </xf>
    <xf numFmtId="0" fontId="56" fillId="12" borderId="0" xfId="0" applyFont="1" applyFill="1" applyAlignment="1">
      <alignment horizontal="center" vertical="center" wrapText="1" readingOrder="1"/>
    </xf>
    <xf numFmtId="0" fontId="52" fillId="15" borderId="0" xfId="3" applyNumberFormat="1" applyFont="1" applyFill="1" applyBorder="1"/>
    <xf numFmtId="0" fontId="52" fillId="15" borderId="0" xfId="0" applyFont="1" applyFill="1"/>
    <xf numFmtId="0" fontId="54" fillId="15" borderId="0" xfId="0" applyFont="1" applyFill="1" applyAlignment="1">
      <alignment horizontal="left" vertical="center"/>
    </xf>
    <xf numFmtId="0" fontId="52" fillId="15" borderId="0" xfId="0" applyFont="1" applyFill="1" applyAlignment="1">
      <alignment horizontal="left" vertical="center"/>
    </xf>
    <xf numFmtId="0" fontId="52" fillId="16" borderId="0" xfId="0" applyFont="1" applyFill="1"/>
    <xf numFmtId="0" fontId="54" fillId="16" borderId="0" xfId="0" applyFont="1" applyFill="1" applyAlignment="1">
      <alignment horizontal="left" vertical="center"/>
    </xf>
    <xf numFmtId="9" fontId="52" fillId="16" borderId="0" xfId="2" applyFont="1" applyFill="1" applyBorder="1" applyAlignment="1">
      <alignment horizontal="left" vertical="center"/>
    </xf>
    <xf numFmtId="43" fontId="52" fillId="15" borderId="0" xfId="0" applyNumberFormat="1" applyFont="1" applyFill="1"/>
    <xf numFmtId="43" fontId="52" fillId="15" borderId="0" xfId="0" applyNumberFormat="1" applyFont="1" applyFill="1" applyAlignment="1">
      <alignment horizontal="left" vertical="center"/>
    </xf>
    <xf numFmtId="0" fontId="54" fillId="20" borderId="0" xfId="0" applyFont="1" applyFill="1" applyAlignment="1">
      <alignment horizontal="center" vertical="center"/>
    </xf>
    <xf numFmtId="0" fontId="54" fillId="12" borderId="0" xfId="0" applyFont="1" applyFill="1" applyAlignment="1">
      <alignment horizontal="center" vertical="center"/>
    </xf>
    <xf numFmtId="43" fontId="52" fillId="15" borderId="0" xfId="3" applyFont="1" applyFill="1" applyBorder="1" applyAlignment="1">
      <alignment horizontal="center" vertical="center"/>
    </xf>
    <xf numFmtId="43" fontId="52" fillId="15" borderId="0" xfId="3" applyFont="1" applyFill="1" applyBorder="1" applyAlignment="1">
      <alignment horizontal="center"/>
    </xf>
    <xf numFmtId="43" fontId="52" fillId="16" borderId="0" xfId="3" applyFont="1" applyFill="1" applyBorder="1" applyAlignment="1">
      <alignment horizontal="center" vertical="center"/>
    </xf>
    <xf numFmtId="43" fontId="52" fillId="16" borderId="0" xfId="3" applyFont="1" applyFill="1" applyBorder="1" applyAlignment="1">
      <alignment horizontal="center"/>
    </xf>
    <xf numFmtId="0" fontId="53" fillId="0" borderId="0" xfId="0" applyFont="1" applyAlignment="1">
      <alignment horizontal="center" vertical="center"/>
    </xf>
    <xf numFmtId="0" fontId="53" fillId="2" borderId="0" xfId="4" applyFont="1" applyFill="1" applyAlignment="1">
      <alignment horizontal="center" vertical="center"/>
    </xf>
    <xf numFmtId="0" fontId="32" fillId="19" borderId="0" xfId="0" applyFont="1" applyFill="1" applyAlignment="1">
      <alignment horizontal="center" vertical="center"/>
    </xf>
    <xf numFmtId="0" fontId="32" fillId="2" borderId="0" xfId="0" applyFont="1" applyFill="1" applyAlignment="1">
      <alignment horizontal="center" vertical="center"/>
    </xf>
    <xf numFmtId="0" fontId="33" fillId="2" borderId="0" xfId="0" applyFont="1" applyFill="1" applyAlignment="1">
      <alignment horizontal="center" vertical="center"/>
    </xf>
    <xf numFmtId="0" fontId="33" fillId="19" borderId="0" xfId="0" applyFont="1" applyFill="1" applyAlignment="1">
      <alignment horizontal="center" vertical="center"/>
    </xf>
    <xf numFmtId="9" fontId="52" fillId="2" borderId="0" xfId="2" applyFont="1" applyFill="1" applyBorder="1"/>
    <xf numFmtId="43" fontId="52" fillId="2" borderId="0" xfId="3" applyFont="1" applyFill="1" applyBorder="1" applyAlignment="1">
      <alignment horizontal="left" vertical="center"/>
    </xf>
    <xf numFmtId="9" fontId="52" fillId="2" borderId="0" xfId="2" applyFont="1" applyFill="1" applyBorder="1" applyAlignment="1">
      <alignment horizontal="left" vertical="center"/>
    </xf>
    <xf numFmtId="0" fontId="52" fillId="2" borderId="0" xfId="3" applyNumberFormat="1" applyFont="1" applyFill="1" applyBorder="1"/>
    <xf numFmtId="43" fontId="52" fillId="2" borderId="0" xfId="0" applyNumberFormat="1" applyFont="1" applyFill="1"/>
    <xf numFmtId="43" fontId="52" fillId="2" borderId="0" xfId="0" applyNumberFormat="1" applyFont="1" applyFill="1" applyAlignment="1">
      <alignment horizontal="left" vertical="center"/>
    </xf>
    <xf numFmtId="0" fontId="57" fillId="0" borderId="0" xfId="0" applyFont="1" applyAlignment="1">
      <alignment vertical="center"/>
    </xf>
    <xf numFmtId="43" fontId="52" fillId="15" borderId="0" xfId="3" applyFont="1" applyFill="1"/>
    <xf numFmtId="43" fontId="52" fillId="16" borderId="0" xfId="3" applyFont="1" applyFill="1"/>
    <xf numFmtId="43" fontId="52" fillId="16" borderId="0" xfId="3" applyFont="1" applyFill="1" applyAlignment="1">
      <alignment horizontal="left" vertical="center"/>
    </xf>
    <xf numFmtId="9" fontId="52" fillId="15" borderId="0" xfId="2" applyFont="1" applyFill="1"/>
    <xf numFmtId="9" fontId="52" fillId="16" borderId="0" xfId="2" applyFont="1" applyFill="1"/>
    <xf numFmtId="43" fontId="52" fillId="15" borderId="0" xfId="3" applyFont="1" applyFill="1" applyAlignment="1">
      <alignment horizontal="left" vertical="center"/>
    </xf>
    <xf numFmtId="169" fontId="52" fillId="15" borderId="0" xfId="3" applyNumberFormat="1" applyFont="1" applyFill="1"/>
    <xf numFmtId="169" fontId="52" fillId="16" borderId="0" xfId="3" applyNumberFormat="1" applyFont="1" applyFill="1"/>
    <xf numFmtId="43" fontId="0" fillId="21" borderId="0" xfId="3" applyFont="1" applyFill="1"/>
    <xf numFmtId="43" fontId="0" fillId="15" borderId="0" xfId="3" applyFont="1" applyFill="1"/>
    <xf numFmtId="43" fontId="0" fillId="22" borderId="0" xfId="3" applyFont="1" applyFill="1"/>
    <xf numFmtId="43" fontId="0" fillId="16" borderId="0" xfId="3" applyFont="1" applyFill="1"/>
    <xf numFmtId="43" fontId="0" fillId="21" borderId="0" xfId="3" applyFont="1" applyFill="1" applyAlignment="1">
      <alignment horizontal="left"/>
    </xf>
    <xf numFmtId="43" fontId="0" fillId="15" borderId="0" xfId="3" applyFont="1" applyFill="1" applyAlignment="1">
      <alignment horizontal="left"/>
    </xf>
    <xf numFmtId="43" fontId="0" fillId="22" borderId="0" xfId="3" applyFont="1" applyFill="1" applyAlignment="1">
      <alignment horizontal="left"/>
    </xf>
    <xf numFmtId="43" fontId="0" fillId="16" borderId="0" xfId="3" applyFont="1" applyFill="1" applyAlignment="1">
      <alignment horizontal="left"/>
    </xf>
    <xf numFmtId="43" fontId="52" fillId="15" borderId="0" xfId="3" applyFont="1" applyFill="1" applyAlignment="1">
      <alignment horizontal="center" vertical="center"/>
    </xf>
    <xf numFmtId="43" fontId="52" fillId="16" borderId="0" xfId="3" applyFont="1" applyFill="1" applyAlignment="1">
      <alignment horizontal="center" vertical="center"/>
    </xf>
    <xf numFmtId="43" fontId="52" fillId="21" borderId="0" xfId="3" applyFont="1" applyFill="1" applyBorder="1" applyAlignment="1">
      <alignment horizontal="center" vertical="center"/>
    </xf>
    <xf numFmtId="43" fontId="0" fillId="21" borderId="0" xfId="3" applyFont="1" applyFill="1" applyBorder="1"/>
    <xf numFmtId="43" fontId="52" fillId="22" borderId="0" xfId="3" applyFont="1" applyFill="1" applyBorder="1" applyAlignment="1">
      <alignment horizontal="center" vertical="center"/>
    </xf>
    <xf numFmtId="43" fontId="0" fillId="22" borderId="0" xfId="3" applyFont="1" applyFill="1" applyBorder="1"/>
    <xf numFmtId="43" fontId="52" fillId="21" borderId="0" xfId="3" quotePrefix="1" applyFont="1" applyFill="1" applyBorder="1" applyAlignment="1">
      <alignment horizontal="center" vertical="center"/>
    </xf>
    <xf numFmtId="0" fontId="29" fillId="0" borderId="0" xfId="0" applyFont="1" applyAlignment="1">
      <alignment vertical="center" readingOrder="1"/>
    </xf>
    <xf numFmtId="0" fontId="29" fillId="0" borderId="0" xfId="0" applyFont="1" applyAlignment="1">
      <alignment horizontal="left" vertical="center" readingOrder="1"/>
    </xf>
    <xf numFmtId="0" fontId="7" fillId="0" borderId="0" xfId="0" applyFont="1"/>
    <xf numFmtId="0" fontId="7" fillId="0" borderId="0" xfId="0" applyFont="1" applyAlignment="1">
      <alignment horizontal="left"/>
    </xf>
    <xf numFmtId="0" fontId="43" fillId="9" borderId="0" xfId="0" applyFont="1" applyFill="1" applyAlignment="1">
      <alignment vertical="center" readingOrder="1"/>
    </xf>
    <xf numFmtId="0" fontId="0" fillId="0" borderId="16" xfId="0" applyBorder="1" applyAlignment="1">
      <alignment horizontal="center"/>
    </xf>
    <xf numFmtId="4" fontId="0" fillId="0" borderId="0" xfId="0" applyNumberFormat="1" applyAlignment="1">
      <alignment horizontal="right" vertical="center"/>
    </xf>
    <xf numFmtId="43" fontId="6" fillId="0" borderId="0" xfId="3" applyFont="1" applyAlignment="1">
      <alignment horizontal="left"/>
    </xf>
    <xf numFmtId="0" fontId="49" fillId="0" borderId="0" xfId="0" applyFont="1" applyAlignment="1">
      <alignment horizontal="left"/>
    </xf>
    <xf numFmtId="2" fontId="29" fillId="0" borderId="0" xfId="0" applyNumberFormat="1" applyFont="1" applyAlignment="1">
      <alignment horizontal="left" vertical="center" readingOrder="1"/>
    </xf>
    <xf numFmtId="2" fontId="0" fillId="0" borderId="0" xfId="3" applyNumberFormat="1" applyFont="1"/>
    <xf numFmtId="0" fontId="51" fillId="11" borderId="0" xfId="0" applyFont="1" applyFill="1" applyAlignment="1">
      <alignment horizontal="left"/>
    </xf>
    <xf numFmtId="0" fontId="0" fillId="2" borderId="17" xfId="0" applyFill="1" applyBorder="1" applyAlignment="1">
      <alignment horizontal="left"/>
    </xf>
    <xf numFmtId="0" fontId="0" fillId="2" borderId="19" xfId="0" applyFill="1" applyBorder="1" applyAlignment="1">
      <alignment horizontal="left"/>
    </xf>
    <xf numFmtId="0" fontId="0" fillId="2" borderId="20" xfId="0" applyFill="1" applyBorder="1" applyAlignment="1">
      <alignment horizontal="left"/>
    </xf>
    <xf numFmtId="0" fontId="0" fillId="2" borderId="21" xfId="0" applyFill="1" applyBorder="1" applyAlignment="1">
      <alignment horizontal="left"/>
    </xf>
    <xf numFmtId="0" fontId="0" fillId="0" borderId="18"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43" fontId="0" fillId="2" borderId="19" xfId="0" applyNumberFormat="1" applyFill="1" applyBorder="1" applyAlignment="1">
      <alignment horizontal="left"/>
    </xf>
    <xf numFmtId="43" fontId="0" fillId="2" borderId="17" xfId="0" applyNumberFormat="1" applyFill="1" applyBorder="1" applyAlignment="1">
      <alignment horizontal="left"/>
    </xf>
    <xf numFmtId="43" fontId="0" fillId="2" borderId="25" xfId="0" applyNumberFormat="1" applyFill="1" applyBorder="1" applyAlignment="1">
      <alignment horizontal="left"/>
    </xf>
    <xf numFmtId="43" fontId="0" fillId="2" borderId="23" xfId="0" applyNumberFormat="1" applyFill="1" applyBorder="1" applyAlignment="1">
      <alignment horizontal="left"/>
    </xf>
    <xf numFmtId="43" fontId="0" fillId="0" borderId="22" xfId="3" applyFont="1" applyBorder="1" applyAlignment="1">
      <alignment horizontal="left"/>
    </xf>
    <xf numFmtId="0" fontId="0" fillId="2" borderId="24" xfId="0" applyFill="1" applyBorder="1" applyAlignment="1">
      <alignment horizontal="left"/>
    </xf>
    <xf numFmtId="0" fontId="0" fillId="2" borderId="25" xfId="0" applyFill="1" applyBorder="1" applyAlignment="1">
      <alignment horizontal="left"/>
    </xf>
    <xf numFmtId="0" fontId="5" fillId="0" borderId="0" xfId="0" applyFont="1"/>
    <xf numFmtId="43" fontId="5" fillId="0" borderId="0" xfId="3" applyFont="1" applyAlignment="1"/>
    <xf numFmtId="43" fontId="5" fillId="0" borderId="0" xfId="3" applyFont="1"/>
    <xf numFmtId="0" fontId="5" fillId="0" borderId="0" xfId="0" applyFont="1" applyAlignment="1">
      <alignment horizontal="left"/>
    </xf>
    <xf numFmtId="43" fontId="5" fillId="0" borderId="0" xfId="3" applyFont="1" applyAlignment="1">
      <alignment horizontal="left"/>
    </xf>
    <xf numFmtId="0" fontId="5" fillId="9" borderId="0" xfId="0" applyFont="1" applyFill="1" applyAlignment="1">
      <alignment horizontal="left"/>
    </xf>
    <xf numFmtId="0" fontId="0" fillId="0" borderId="0" xfId="0" applyAlignment="1">
      <alignment horizontal="left" indent="1"/>
    </xf>
    <xf numFmtId="0" fontId="28" fillId="0" borderId="0" xfId="0" applyFont="1" applyAlignment="1">
      <alignment horizontal="left" indent="1"/>
    </xf>
    <xf numFmtId="4" fontId="4" fillId="0" borderId="0" xfId="0" applyNumberFormat="1" applyFont="1"/>
    <xf numFmtId="0" fontId="4" fillId="0" borderId="0" xfId="0" applyFont="1"/>
    <xf numFmtId="4" fontId="58" fillId="0" borderId="0" xfId="0" applyNumberFormat="1" applyFont="1"/>
    <xf numFmtId="4" fontId="58" fillId="0" borderId="0" xfId="0" applyNumberFormat="1" applyFont="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0" xfId="0" quotePrefix="1"/>
    <xf numFmtId="0" fontId="0" fillId="0" borderId="0" xfId="0" quotePrefix="1" applyAlignment="1">
      <alignment horizontal="center" vertical="center"/>
    </xf>
    <xf numFmtId="0" fontId="3" fillId="0" borderId="0" xfId="0" applyFont="1" applyAlignment="1">
      <alignment horizontal="left"/>
    </xf>
    <xf numFmtId="0" fontId="23" fillId="0" borderId="0" xfId="0" applyFont="1" applyAlignment="1">
      <alignment horizontal="left" vertical="center"/>
    </xf>
    <xf numFmtId="0" fontId="0" fillId="0" borderId="26" xfId="0" applyBorder="1"/>
    <xf numFmtId="0" fontId="0" fillId="2" borderId="25" xfId="0" applyFill="1" applyBorder="1"/>
    <xf numFmtId="0" fontId="41" fillId="19" borderId="27" xfId="0" applyFont="1" applyFill="1" applyBorder="1" applyAlignment="1">
      <alignment horizontal="left"/>
    </xf>
    <xf numFmtId="0" fontId="41" fillId="2" borderId="28" xfId="0" applyFont="1" applyFill="1" applyBorder="1" applyAlignment="1">
      <alignment horizontal="left"/>
    </xf>
    <xf numFmtId="0" fontId="41" fillId="19" borderId="17" xfId="0" applyFont="1" applyFill="1" applyBorder="1" applyAlignment="1">
      <alignment horizontal="left"/>
    </xf>
    <xf numFmtId="0" fontId="41" fillId="2" borderId="25" xfId="0" applyFont="1" applyFill="1" applyBorder="1" applyAlignment="1">
      <alignment horizontal="left"/>
    </xf>
    <xf numFmtId="0" fontId="41" fillId="2" borderId="26" xfId="0" applyFont="1" applyFill="1" applyBorder="1" applyAlignment="1">
      <alignment horizontal="left"/>
    </xf>
    <xf numFmtId="0" fontId="41" fillId="2" borderId="17" xfId="0" applyFont="1" applyFill="1" applyBorder="1" applyAlignment="1">
      <alignment horizontal="left"/>
    </xf>
    <xf numFmtId="0" fontId="41" fillId="19" borderId="28" xfId="0" applyFont="1" applyFill="1" applyBorder="1" applyAlignment="1">
      <alignment horizontal="left"/>
    </xf>
    <xf numFmtId="0" fontId="41" fillId="19" borderId="26" xfId="0" applyFont="1" applyFill="1" applyBorder="1" applyAlignment="1">
      <alignment horizontal="left"/>
    </xf>
    <xf numFmtId="0" fontId="0" fillId="0" borderId="14" xfId="0" applyBorder="1" applyAlignment="1">
      <alignment horizontal="left"/>
    </xf>
    <xf numFmtId="0" fontId="0" fillId="0" borderId="0" xfId="0" applyAlignment="1">
      <alignment vertical="top"/>
    </xf>
    <xf numFmtId="0" fontId="29" fillId="0" borderId="0" xfId="0" applyFont="1" applyAlignment="1">
      <alignment vertical="top" wrapText="1" readingOrder="1"/>
    </xf>
    <xf numFmtId="0" fontId="23" fillId="0" borderId="0" xfId="0" applyFont="1" applyAlignment="1">
      <alignment horizontal="left" vertical="top"/>
    </xf>
    <xf numFmtId="0" fontId="3" fillId="0" borderId="0" xfId="0" applyFont="1" applyAlignment="1">
      <alignment horizontal="left" vertical="top"/>
    </xf>
    <xf numFmtId="0" fontId="34" fillId="0" borderId="1" xfId="0" applyFont="1" applyBorder="1" applyAlignment="1">
      <alignment horizontal="left" vertical="top" wrapText="1"/>
    </xf>
    <xf numFmtId="0" fontId="16" fillId="0" borderId="0" xfId="0" applyFont="1" applyAlignment="1">
      <alignment horizontal="left" vertical="top"/>
    </xf>
    <xf numFmtId="43" fontId="60" fillId="23" borderId="29" xfId="3" applyFont="1" applyFill="1" applyBorder="1" applyAlignment="1">
      <alignment vertical="center"/>
    </xf>
    <xf numFmtId="43" fontId="60" fillId="2" borderId="29" xfId="3" applyFont="1" applyFill="1" applyBorder="1" applyAlignment="1">
      <alignment vertical="center"/>
    </xf>
    <xf numFmtId="0" fontId="27" fillId="5" borderId="9" xfId="0" applyFont="1" applyFill="1" applyBorder="1" applyAlignment="1">
      <alignment horizontal="left" wrapText="1"/>
    </xf>
    <xf numFmtId="14" fontId="23" fillId="5" borderId="0" xfId="0" applyNumberFormat="1" applyFont="1" applyFill="1" applyAlignment="1">
      <alignment horizontal="left"/>
    </xf>
    <xf numFmtId="14" fontId="0" fillId="5" borderId="0" xfId="0" applyNumberFormat="1" applyFill="1" applyAlignment="1">
      <alignment horizontal="left"/>
    </xf>
    <xf numFmtId="0" fontId="2" fillId="0" borderId="0" xfId="0" applyFont="1" applyAlignment="1">
      <alignment horizontal="left"/>
    </xf>
    <xf numFmtId="0" fontId="1" fillId="0" borderId="0" xfId="0" applyFont="1" applyAlignment="1">
      <alignment horizontal="left"/>
    </xf>
    <xf numFmtId="4" fontId="0" fillId="0" borderId="0" xfId="0" applyNumberFormat="1" applyAlignment="1">
      <alignment horizontal="center"/>
    </xf>
    <xf numFmtId="164" fontId="0" fillId="0" borderId="0" xfId="0" applyNumberFormat="1" applyAlignment="1">
      <alignment horizontal="center" vertical="center"/>
    </xf>
    <xf numFmtId="4" fontId="0" fillId="0" borderId="0" xfId="0" applyNumberFormat="1" applyAlignment="1">
      <alignment horizontal="center" vertical="center"/>
    </xf>
    <xf numFmtId="169" fontId="27" fillId="2" borderId="9" xfId="3" applyNumberFormat="1" applyFont="1" applyFill="1" applyBorder="1" applyAlignment="1">
      <alignment horizontal="left" wrapText="1"/>
    </xf>
    <xf numFmtId="169" fontId="0" fillId="0" borderId="9" xfId="3" applyNumberFormat="1" applyFont="1" applyBorder="1"/>
    <xf numFmtId="169" fontId="27" fillId="2" borderId="9" xfId="3" applyNumberFormat="1" applyFont="1" applyFill="1" applyBorder="1" applyAlignment="1">
      <alignment horizontal="center" wrapText="1"/>
    </xf>
    <xf numFmtId="169" fontId="0" fillId="0" borderId="0" xfId="3" applyNumberFormat="1" applyFont="1"/>
    <xf numFmtId="43" fontId="27" fillId="2" borderId="9" xfId="3" applyFont="1" applyFill="1" applyBorder="1" applyAlignment="1">
      <alignment horizontal="center" wrapText="1"/>
    </xf>
    <xf numFmtId="0" fontId="52" fillId="16" borderId="0" xfId="4" applyFont="1" applyFill="1" applyAlignment="1">
      <alignment horizontal="center" vertical="center"/>
    </xf>
    <xf numFmtId="0" fontId="52" fillId="15" borderId="0" xfId="4" applyFont="1" applyFill="1" applyAlignment="1">
      <alignment horizontal="center" vertical="center"/>
    </xf>
    <xf numFmtId="0" fontId="54" fillId="17" borderId="0" xfId="4" applyFont="1" applyFill="1" applyAlignment="1">
      <alignment horizontal="center" vertical="center"/>
    </xf>
    <xf numFmtId="0" fontId="54" fillId="0" borderId="0" xfId="0" applyFont="1" applyAlignment="1">
      <alignment horizontal="left" vertical="center"/>
    </xf>
    <xf numFmtId="49" fontId="54" fillId="0" borderId="0" xfId="0" applyNumberFormat="1" applyFont="1" applyAlignment="1">
      <alignment horizontal="center" vertical="center"/>
    </xf>
    <xf numFmtId="0" fontId="54" fillId="0" borderId="0" xfId="0" applyFont="1" applyAlignment="1">
      <alignment horizontal="center" vertical="center"/>
    </xf>
    <xf numFmtId="4" fontId="54" fillId="0" borderId="0" xfId="0" applyNumberFormat="1" applyFont="1" applyAlignment="1">
      <alignment horizontal="center" vertical="center"/>
    </xf>
    <xf numFmtId="0" fontId="54" fillId="0" borderId="0" xfId="0" applyFont="1" applyAlignment="1">
      <alignment horizontal="right" vertical="center"/>
    </xf>
    <xf numFmtId="4" fontId="54" fillId="0" borderId="0" xfId="0" applyNumberFormat="1" applyFont="1" applyAlignment="1">
      <alignment horizontal="right" vertical="center"/>
    </xf>
    <xf numFmtId="164" fontId="54" fillId="0" borderId="0" xfId="0" applyNumberFormat="1" applyFont="1" applyAlignment="1">
      <alignment horizontal="center" vertical="center"/>
    </xf>
    <xf numFmtId="0" fontId="55" fillId="2" borderId="0" xfId="4" applyFont="1" applyFill="1" applyAlignment="1">
      <alignment horizontal="right" vertical="center"/>
    </xf>
    <xf numFmtId="4" fontId="55" fillId="2" borderId="0" xfId="4" applyNumberFormat="1" applyFont="1" applyFill="1" applyAlignment="1">
      <alignment horizontal="right" vertical="center"/>
    </xf>
    <xf numFmtId="0" fontId="23" fillId="0" borderId="0" xfId="0" applyFont="1" applyAlignment="1">
      <alignment horizontal="left"/>
    </xf>
  </cellXfs>
  <cellStyles count="7">
    <cellStyle name="Kötü" xfId="1" builtinId="27"/>
    <cellStyle name="Normal" xfId="0" builtinId="0"/>
    <cellStyle name="Normal 2" xfId="4" xr:uid="{31570A0F-FDA0-4578-B4FF-7563D4478895}"/>
    <cellStyle name="Virgül" xfId="3" builtinId="3"/>
    <cellStyle name="Virgül 2" xfId="5" xr:uid="{2714110A-BC87-411E-8093-3AF8DB327CD8}"/>
    <cellStyle name="Yüzde" xfId="2" builtinId="5"/>
    <cellStyle name="Yüzde 2" xfId="6" xr:uid="{AF0921CA-DE63-4935-B8C4-322939D99670}"/>
  </cellStyles>
  <dxfs count="1454">
    <dxf>
      <font>
        <color rgb="FF9C0006"/>
      </font>
      <fill>
        <patternFill>
          <bgColor rgb="FFFFC7CE"/>
        </patternFill>
      </fill>
    </dxf>
    <dxf>
      <font>
        <color rgb="FF9C0006"/>
      </font>
      <fill>
        <patternFill>
          <bgColor rgb="FFFFC7CE"/>
        </patternFill>
      </fill>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strike val="0"/>
        <outline val="0"/>
        <shadow val="0"/>
        <u val="none"/>
        <vertAlign val="baseline"/>
        <sz val="11"/>
        <color rgb="FF1F1F1F"/>
        <name val="Calibri"/>
        <family val="2"/>
        <charset val="162"/>
        <scheme val="minor"/>
      </font>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indent="0" justifyLastLine="0" shrinkToFit="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rgb="FF1F1F1F"/>
        <name val="Calibri"/>
        <family val="2"/>
        <charset val="162"/>
        <scheme val="minor"/>
      </font>
      <alignment horizontal="left" vertical="center" textRotation="0" wrapText="0" indent="0" justifyLastLine="0" shrinkToFit="0" readingOrder="1"/>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rgb="FF1F1F1F"/>
        <name val="Calibri"/>
        <family val="2"/>
        <charset val="162"/>
        <scheme val="minor"/>
      </font>
      <alignment horizontal="left" vertical="center" textRotation="0" wrapText="0" indent="0" justifyLastLine="0" shrinkToFit="0" readingOrder="1"/>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strike val="0"/>
        <outline val="0"/>
        <shadow val="0"/>
        <u val="none"/>
        <vertAlign val="baseline"/>
        <sz val="11"/>
        <color rgb="FF1F1F1F"/>
        <name val="Calibri"/>
        <family val="2"/>
        <charset val="162"/>
        <scheme val="minor"/>
      </font>
      <alignment horizontal="left" vertical="center" textRotation="0" wrapText="0" indent="0" justifyLastLine="0" shrinkToFit="0" readingOrder="1"/>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35" formatCode="_-* #,##0.00_-;\-* #,##0.00_-;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strike val="0"/>
        <outline val="0"/>
        <shadow val="0"/>
        <u val="none"/>
        <vertAlign val="baseline"/>
        <sz val="11"/>
        <color rgb="FF1F1F1F"/>
        <name val="Calibri"/>
        <family val="2"/>
        <charset val="162"/>
        <scheme val="minor"/>
      </font>
      <alignment horizontal="left" vertical="center" textRotation="0" wrapText="0" indent="0" justifyLastLine="0" shrinkToFit="0" readingOrder="1"/>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general"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indent="0" justifyLastLine="0" shrinkToFit="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2" tint="-0.249977111117893"/>
        </patternFill>
      </fil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rgb="FF1F1F1F"/>
        <name val="Calibri"/>
        <family val="2"/>
        <charset val="162"/>
        <scheme val="minor"/>
      </font>
      <alignment horizontal="left" vertical="bottom" textRotation="0" wrapText="1" indent="0" justifyLastLine="0" shrinkToFit="0" readingOrder="1"/>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rgb="FF1F1F1F"/>
        <name val="Calibri"/>
        <family val="2"/>
        <charset val="162"/>
        <scheme val="minor"/>
      </font>
      <alignment horizontal="left" vertical="bottom" textRotation="0" wrapText="1" indent="0" justifyLastLine="0" shrinkToFit="0" readingOrder="1"/>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numFmt numFmtId="19" formatCode="d/mm/yyyy"/>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theme="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rgb="FF1F1F1F"/>
        <name val="Calibri"/>
        <family val="2"/>
        <charset val="162"/>
        <scheme val="minor"/>
      </font>
      <alignment horizontal="left" vertical="center" textRotation="0" wrapText="0" indent="0" justifyLastLine="0" shrinkToFit="0" readingOrder="1"/>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left" vertical="bottom" textRotation="0" wrapText="0"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left" vertical="bottom" textRotation="0" wrapText="0" indent="0" justifyLastLine="0" shrinkToFit="0" readingOrder="0"/>
      <border diagonalUp="0" diagonalDown="0">
        <left/>
        <right style="medium">
          <color indexed="64"/>
        </right>
        <top/>
        <bottom style="medium">
          <color indexed="64"/>
        </bottom>
        <vertical/>
        <horizontal/>
      </border>
    </dxf>
    <dxf>
      <alignment horizontal="left" vertical="bottom" textRotation="0" wrapText="0" indent="0" justifyLastLine="0" shrinkToFit="0" readingOrder="0"/>
    </dxf>
    <dxf>
      <font>
        <strike val="0"/>
        <outline val="0"/>
        <shadow val="0"/>
        <u val="none"/>
        <vertAlign val="baseline"/>
        <sz val="11"/>
        <color theme="1"/>
        <name val="Calibri"/>
        <family val="2"/>
        <scheme val="minor"/>
      </font>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left" vertical="bottom" textRotation="0" wrapText="0" indent="0" justifyLastLine="0" shrinkToFit="0" readingOrder="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Aptos"/>
        <family val="2"/>
        <scheme val="none"/>
      </font>
      <alignment horizontal="left" vertical="bottom" textRotation="0" wrapText="0" indent="0" justifyLastLine="0" shrinkToFit="0" readingOrder="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Aptos"/>
        <family val="2"/>
        <scheme val="none"/>
      </font>
      <alignment horizontal="left" vertical="bottom" textRotation="0" wrapText="0" indent="0" justifyLastLine="0" shrinkToFit="0" readingOrder="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Aptos"/>
        <family val="2"/>
        <scheme val="none"/>
      </font>
      <alignment horizontal="left" vertical="bottom" textRotation="0" wrapText="0" indent="0" justifyLastLine="0" shrinkToFit="0" readingOrder="0"/>
      <border diagonalUp="0" diagonalDown="0" outline="0">
        <left style="medium">
          <color indexed="64"/>
        </left>
        <right style="medium">
          <color indexed="64"/>
        </right>
        <top/>
        <bottom style="medium">
          <color indexed="64"/>
        </bottom>
      </border>
    </dxf>
    <dxf>
      <alignment horizontal="left" vertical="bottom" textRotation="0" wrapText="0" indent="0" justifyLastLine="0" shrinkToFit="0" readingOrder="0"/>
    </dxf>
    <dxf>
      <alignment horizontal="left" vertical="bottom" textRotation="0" wrapText="0" indent="0" justifyLastLine="0" shrinkToFit="0" readingOrder="0"/>
    </dxf>
    <dxf>
      <numFmt numFmtId="35" formatCode="_-* #,##0.00_-;\-* #,##0.00_-;_-* &quot;-&quot;??_-;_-@_-"/>
      <alignment horizontal="left" vertical="bottom" textRotation="0" wrapText="0" indent="0" justifyLastLine="0" shrinkToFit="0" readingOrder="0"/>
    </dxf>
    <dxf>
      <numFmt numFmtId="35" formatCode="_-* #,##0.00_-;\-* #,##0.00_-;_-* &quot;-&quot;??_-;_-@_-"/>
      <alignment horizontal="left" vertical="bottom" textRotation="0" wrapText="0" indent="0" justifyLastLine="0" shrinkToFit="0" readingOrder="0"/>
    </dxf>
    <dxf>
      <numFmt numFmtId="35" formatCode="_-* #,##0.00_-;\-* #,##0.00_-;_-* &quot;-&quot;??_-;_-@_-"/>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indent="0" justifyLastLine="0" shrinkToFit="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indent="0" justifyLastLine="0" shrinkToFit="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5" formatCode="_-* #,##0.00_-;\-* #,##0.00_-;_-* &quot;-&quot;??_-;_-@_-"/>
    </dxf>
    <dxf>
      <numFmt numFmtId="35" formatCode="_-* #,##0.00_-;\-* #,##0.00_-;_-* &quot;-&quot;??_-;_-@_-"/>
    </dxf>
    <dxf>
      <numFmt numFmtId="35" formatCode="_-* #,##0.00_-;\-* #,##0.00_-;_-* &quot;-&quot;??_-;_-@_-"/>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5" formatCode="_-* #,##0.00_-;\-* #,##0.00_-;_-* &quot;-&quot;??_-;_-@_-"/>
      <alignment horizontal="left" vertical="bottom" textRotation="0" wrapText="0" indent="0" justifyLastLine="0" shrinkToFit="0" readingOrder="0"/>
    </dxf>
    <dxf>
      <numFmt numFmtId="35" formatCode="_-* #,##0.00_-;\-* #,##0.00_-;_-* &quot;-&quot;??_-;_-@_-"/>
      <alignment horizontal="left" vertical="bottom" textRotation="0" wrapText="0" indent="0" justifyLastLine="0" shrinkToFit="0" readingOrder="0"/>
    </dxf>
    <dxf>
      <numFmt numFmtId="35" formatCode="_-* #,##0.00_-;\-* #,##0.00_-;_-* &quot;-&quot;??_-;_-@_-"/>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indent="0" justifyLastLine="0" shrinkToFit="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rgb="FF1F1F1F"/>
        <name val="Calibri"/>
        <family val="2"/>
        <scheme val="minor"/>
      </font>
      <fill>
        <patternFill patternType="solid">
          <fgColor indexed="64"/>
          <bgColor theme="0"/>
        </patternFill>
      </fill>
      <alignment horizontal="general" vertical="bottom" textRotation="0" wrapText="1" indent="0" justifyLastLine="0" shrinkToFit="0" readingOrder="1"/>
    </dxf>
    <dxf>
      <font>
        <b val="0"/>
        <i val="0"/>
        <strike val="0"/>
        <condense val="0"/>
        <extend val="0"/>
        <outline val="0"/>
        <shadow val="0"/>
        <u val="none"/>
        <vertAlign val="baseline"/>
        <sz val="11"/>
        <color rgb="FF1F1F1F"/>
        <name val="Calibri"/>
        <family val="2"/>
        <scheme val="minor"/>
      </font>
      <fill>
        <patternFill patternType="solid">
          <fgColor indexed="64"/>
          <bgColor theme="0"/>
        </patternFill>
      </fill>
      <alignment horizontal="general" vertical="bottom" textRotation="0" wrapText="1" indent="0" justifyLastLine="0" shrinkToFit="0" readingOrder="1"/>
    </dxf>
    <dxf>
      <numFmt numFmtId="2" formatCode="0.00"/>
      <alignment horizontal="general" vertical="bottom" textRotation="0" wrapText="0" indent="0" justifyLastLine="0" shrinkToFit="0" readingOrder="0"/>
    </dxf>
    <dxf>
      <numFmt numFmtId="2" formatCode="0.00"/>
    </dxf>
    <dxf>
      <font>
        <strike val="0"/>
        <outline val="0"/>
        <shadow val="0"/>
        <u val="none"/>
        <vertAlign val="baseline"/>
        <sz val="11"/>
        <color rgb="FF1F1F1F"/>
        <name val="Calibri"/>
        <family val="2"/>
        <charset val="162"/>
        <scheme val="minor"/>
      </font>
      <numFmt numFmtId="2" formatCode="0.00"/>
      <alignment horizontal="left" vertical="center" textRotation="0" wrapText="0" indent="0" justifyLastLine="0" shrinkToFit="0" readingOrder="1"/>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fill>
        <patternFill patternType="solid">
          <fgColor indexed="64"/>
          <bgColor theme="0"/>
        </patternFill>
      </fill>
      <alignment horizontal="general" vertical="bottom" textRotation="0" wrapText="0" indent="0" justifyLastLine="0" shrinkToFit="0" readingOrder="0"/>
    </dxf>
    <dxf>
      <fill>
        <patternFill patternType="solid">
          <fgColor indexed="64"/>
          <bgColor theme="0"/>
        </patternFill>
      </fill>
      <alignment horizontal="general" vertical="bottom" textRotation="0" wrapText="0" indent="0" justifyLastLine="0" shrinkToFit="0" readingOrder="0"/>
    </dxf>
    <dxf>
      <fill>
        <patternFill patternType="solid">
          <fgColor indexed="64"/>
          <bgColor theme="0"/>
        </patternFill>
      </fill>
      <alignment horizontal="general" vertical="bottom" textRotation="0" wrapText="0" indent="0" justifyLastLine="0" shrinkToFit="0" readingOrder="0"/>
    </dxf>
    <dxf>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1"/>
        <color rgb="FF1F1F1F"/>
        <name val="Calibri"/>
        <family val="2"/>
        <scheme val="minor"/>
      </font>
      <fill>
        <patternFill patternType="solid">
          <fgColor indexed="64"/>
          <bgColor theme="0"/>
        </patternFill>
      </fill>
      <alignment horizontal="general" vertical="bottom" textRotation="0" wrapText="1" indent="0" justifyLastLine="0" shrinkToFit="0" readingOrder="1"/>
    </dxf>
    <dxf>
      <font>
        <b val="0"/>
        <i val="0"/>
        <strike val="0"/>
        <condense val="0"/>
        <extend val="0"/>
        <outline val="0"/>
        <shadow val="0"/>
        <u val="none"/>
        <vertAlign val="baseline"/>
        <sz val="11"/>
        <color rgb="FF1F1F1F"/>
        <name val="Calibri"/>
        <family val="2"/>
        <scheme val="minor"/>
      </font>
      <fill>
        <patternFill patternType="solid">
          <fgColor indexed="64"/>
          <bgColor theme="0"/>
        </patternFill>
      </fill>
      <alignment horizontal="general" vertical="bottom" textRotation="0" wrapText="1" indent="0" justifyLastLine="0" shrinkToFit="0" readingOrder="1"/>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rgb="FF1F1F1F"/>
        <name val="Calibri"/>
        <family val="2"/>
        <charset val="162"/>
        <scheme val="minor"/>
      </font>
      <alignment horizontal="left" vertical="bottom" textRotation="0" wrapText="1" indent="0" justifyLastLine="0" shrinkToFit="0" readingOrder="1"/>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 #,##0.00_-;_-* &quot;-&quot;??_-;_-@_-"/>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rgb="FF1F1F1F"/>
        <name val="Calibri"/>
        <family val="2"/>
        <charset val="162"/>
        <scheme val="minor"/>
      </font>
      <alignment horizontal="left" vertical="bottom" textRotation="0" wrapText="1" indent="0" justifyLastLine="0" shrinkToFit="0" readingOrder="1"/>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left" vertical="bottom" textRotation="0" wrapText="0" indent="0" justifyLastLine="0" shrinkToFit="0" readingOrder="0"/>
    </dxf>
    <dxf>
      <numFmt numFmtId="4" formatCode="#,##0.00"/>
      <alignment horizontal="left" vertical="bottom" textRotation="0" wrapText="0" indent="0" justifyLastLine="0" shrinkToFit="0" readingOrder="0"/>
    </dxf>
    <dxf>
      <numFmt numFmtId="4" formatCode="#,##0.00"/>
      <alignment horizontal="left" vertical="bottom" textRotation="0" wrapText="0" indent="0" justifyLastLine="0" shrinkToFit="0" readingOrder="0"/>
    </dxf>
    <dxf>
      <numFmt numFmtId="4" formatCode="#,##0.00"/>
      <alignment horizontal="left" vertical="bottom" textRotation="0" wrapText="0" indent="0" justifyLastLine="0" shrinkToFit="0" readingOrder="0"/>
    </dxf>
    <dxf>
      <numFmt numFmtId="4" formatCode="#,##0.00"/>
      <alignment horizontal="left" vertical="bottom" textRotation="0" wrapText="0" indent="0" justifyLastLine="0" shrinkToFit="0" readingOrder="0"/>
    </dxf>
    <dxf>
      <numFmt numFmtId="4"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charset val="16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1F1F1F"/>
        <name val="Calibri"/>
        <family val="2"/>
        <charset val="162"/>
        <scheme val="minor"/>
      </font>
      <alignment horizontal="left" vertical="bottom" textRotation="0" wrapText="1" indent="0" justifyLastLine="0" shrinkToFit="0" readingOrder="1"/>
    </dxf>
    <dxf>
      <font>
        <b val="0"/>
        <i val="0"/>
        <strike val="0"/>
        <condense val="0"/>
        <extend val="0"/>
        <outline val="0"/>
        <shadow val="0"/>
        <u val="none"/>
        <vertAlign val="baseline"/>
        <sz val="11"/>
        <color rgb="FF1F1F1F"/>
        <name val="Calibri"/>
        <family val="2"/>
        <charset val="162"/>
        <scheme val="minor"/>
      </font>
      <alignment horizontal="left" vertical="bottom" textRotation="0" wrapText="1" indent="0" justifyLastLine="0" shrinkToFit="0" readingOrder="1"/>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brahim.sisman\Desktop\&#350;irketler\Aksen\AKSEN.xlsx" TargetMode="External"/><Relationship Id="rId1" Type="http://schemas.openxmlformats.org/officeDocument/2006/relationships/externalLinkPath" Target="file:///C:\Users\ibrahim.sisman\Desktop\&#350;irketler\Aksen\AKS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rt"/>
      <sheetName val="Peers Value"/>
      <sheetName val="Drivers"/>
      <sheetName val="Financials"/>
      <sheetName val="Financials2"/>
      <sheetName val="Ciro Model"/>
      <sheetName val="Santral Elektrik"/>
      <sheetName val="Tarih-Döviz"/>
      <sheetName val="Elektrik Fiyatı"/>
      <sheetName val="Trading Multpiles"/>
      <sheetName val="Share Price"/>
      <sheetName val="Peers"/>
      <sheetName val="Cover Page"/>
      <sheetName val="Cover Page TR"/>
      <sheetName val="Enerji Dağılımı"/>
      <sheetName val="KuruluGüç"/>
      <sheetName val="FAVOK Hesaplama"/>
    </sheetNames>
    <sheetDataSet>
      <sheetData sheetId="0" refreshError="1">
        <row r="3">
          <cell r="D3" t="str">
            <v>AKSEN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persons/person.xml><?xml version="1.0" encoding="utf-8"?>
<personList xmlns="http://schemas.microsoft.com/office/spreadsheetml/2018/threadedcomments" xmlns:x="http://schemas.openxmlformats.org/spreadsheetml/2006/main">
  <person displayName="Volkan Yilmaz" id="{042FE231-63B2-4AD7-894B-AD12BC5D3E63}" userId="S::volkan.yilmaz@colendimenkul.com::256a46d2-a3f4-444c-bce0-4a1596298ab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D24056-F2DB-4B49-976D-901BF435E430}" name="Tablo1" displayName="Tablo1" ref="A1:X11" totalsRowShown="0" headerRowDxfId="1453" dataDxfId="1452">
  <autoFilter ref="A1:X11" xr:uid="{E0D24056-F2DB-4B49-976D-901BF435E430}"/>
  <tableColumns count="24">
    <tableColumn id="1" xr3:uid="{4E280E5C-B7E4-43F4-805B-BB2A98ECE0CD}" name="SANTRAL ADI" dataDxfId="1451"/>
    <tableColumn id="2" xr3:uid="{4B6B76CD-E134-4780-8556-0393F48A96F3}" name="KURULU GÜCÜ" dataDxfId="1450"/>
    <tableColumn id="3" xr3:uid="{A0DF4CC1-E0AE-4CA3-9506-79D9F04FC720}" name="EIC KODU" dataDxfId="1449"/>
    <tableColumn id="4" xr3:uid="{BE4A3F73-3CE6-4D57-9D3E-F0F39111C5C3}" name="ID" dataDxfId="1448"/>
    <tableColumn id="5" xr3:uid="{9085201A-7CA4-447D-9905-4DA1ED21CBA1}" name="SATIŞ FİYATI" dataDxfId="1447"/>
    <tableColumn id="6" xr3:uid="{7D8384EB-DDD0-4925-851D-B4E13DBCA2E3}" name="SÜRE (YIL SONU)" dataDxfId="1446"/>
    <tableColumn id="7" xr3:uid="{46ACA6B7-279F-4367-BA01-788B2B23E9BB}" name="1A25" dataDxfId="1445"/>
    <tableColumn id="8" xr3:uid="{C5943034-E5A5-4C86-A5C3-B1171CFB1D8D}" name="2A25" dataDxfId="1444"/>
    <tableColumn id="9" xr3:uid="{A35E587B-47BA-4496-B177-A4D3DA588A31}" name="3A25" dataDxfId="1443"/>
    <tableColumn id="10" xr3:uid="{A88DA898-FC4A-4B37-A346-5D822A8B6F02}" name="4A25" dataDxfId="1442"/>
    <tableColumn id="11" xr3:uid="{6050920F-E81C-4C11-9BA9-CF61D4C97FE3}" name="5A25" dataDxfId="1441"/>
    <tableColumn id="12" xr3:uid="{D59A4CDF-270B-476F-A4EC-25CC7BBB9E3C}" name="6A25" dataDxfId="1440"/>
    <tableColumn id="13" xr3:uid="{3CAFF96D-0E53-4307-B019-4F108ED1028E}" name="7A25" dataDxfId="1439"/>
    <tableColumn id="14" xr3:uid="{D0F47B72-EB0F-43DD-A40E-213B167D1397}" name="8A25" dataDxfId="1438"/>
    <tableColumn id="15" xr3:uid="{E464F5D8-6299-4031-AE72-0E6A27E5F5C7}" name="9A25" dataDxfId="1437"/>
    <tableColumn id="16" xr3:uid="{804843EC-3EE3-49D3-A260-DF68D071BA33}" name="10A25" dataDxfId="1436"/>
    <tableColumn id="17" xr3:uid="{3D269489-0012-4AAD-A2DF-97048CD4479F}" name="11A25" dataDxfId="1435"/>
    <tableColumn id="18" xr3:uid="{DDE7FA20-E87D-4BEE-998A-2AACE3B43A8A}" name="12A25" dataDxfId="1434"/>
    <tableColumn id="19" xr3:uid="{2362AB1A-A5C3-487D-BB9A-05BC73EA395A}" name="1A26" dataDxfId="1433"/>
    <tableColumn id="20" xr3:uid="{FD38FE61-5EAF-4B59-96ED-4901D299F993}" name="2A26" dataDxfId="1432"/>
    <tableColumn id="21" xr3:uid="{A1E40C27-8167-4279-B5DD-AC0419C0518E}" name="3A26" dataDxfId="1431"/>
    <tableColumn id="22" xr3:uid="{BDA2376D-145B-42B1-B954-A9E8DA292BF0}" name="4A26" dataDxfId="1430"/>
    <tableColumn id="23" xr3:uid="{CFCE3005-836F-476A-88BB-D0F24A1E53C2}" name="5A26" dataDxfId="1429"/>
    <tableColumn id="24" xr3:uid="{CAFEFC31-E6E3-4CA0-ACEA-D35CCCAED5FF}" name="6A26" dataDxfId="14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D9A3C79-EF4B-4B4E-8C52-C22A08E02280}" name="Tablo23" displayName="Tablo23" ref="A23:X33" totalsRowShown="0" headerRowDxfId="1427" dataDxfId="1426" dataCellStyle="Virgül">
  <autoFilter ref="A23:X33" xr:uid="{9D9A3C79-EF4B-4B4E-8C52-C22A08E02280}"/>
  <tableColumns count="24">
    <tableColumn id="1" xr3:uid="{270B27EC-EFF2-496F-8A53-F34F35850B63}" name="SANTRALLERİN DOLAR BAZLI GELİRLERİ" dataDxfId="1425"/>
    <tableColumn id="2" xr3:uid="{60EE2E8A-2DE2-4207-AEE8-1195B4A5486E}" name="Sütun1" dataDxfId="1424"/>
    <tableColumn id="3" xr3:uid="{967B58BB-4369-4390-A9C0-3CE52B0E8BDC}" name="Sütun2" dataDxfId="1423"/>
    <tableColumn id="4" xr3:uid="{F93B225B-6839-48C0-AAE8-625B0CF42BD6}" name="Sütun3" dataDxfId="1422"/>
    <tableColumn id="5" xr3:uid="{41F00333-EA69-48AD-A366-20BFD0DA5F5F}" name="Sütun4" dataDxfId="1421"/>
    <tableColumn id="6" xr3:uid="{478D335A-44B5-41F0-AD33-3F63484D7005}" name="Sütun5" dataDxfId="1420"/>
    <tableColumn id="7" xr3:uid="{E6726582-1156-4A6D-95F8-E91FA07E11FA}" name="1A25" dataDxfId="1419" dataCellStyle="Virgül"/>
    <tableColumn id="8" xr3:uid="{F671738C-78D7-4AE9-9A42-7FD7562A6EC7}" name="2A25" dataDxfId="1418" dataCellStyle="Virgül"/>
    <tableColumn id="9" xr3:uid="{362EB577-6587-41D7-91CC-647F2B640DF1}" name="3A25" dataDxfId="1417" dataCellStyle="Virgül"/>
    <tableColumn id="10" xr3:uid="{27751849-CBC3-4CDC-9BF9-6E479A74BD24}" name="4A25" dataDxfId="1416" dataCellStyle="Virgül"/>
    <tableColumn id="11" xr3:uid="{9697DDD2-6C9C-4361-B04D-320FEC24A1C0}" name="5A25" dataDxfId="1415" dataCellStyle="Virgül"/>
    <tableColumn id="12" xr3:uid="{CF1AC76A-FA67-4DB5-8512-9A4A2FA77B14}" name="6A25" dataDxfId="1414" dataCellStyle="Virgül"/>
    <tableColumn id="13" xr3:uid="{911815A8-27A2-41D3-ABE5-98E8D2F250DA}" name="7A25" dataDxfId="1413" dataCellStyle="Virgül"/>
    <tableColumn id="14" xr3:uid="{21BAF4B5-22B9-43D1-95EC-FC0214747F48}" name="8A25" dataDxfId="1412" dataCellStyle="Virgül"/>
    <tableColumn id="15" xr3:uid="{C484F0CA-02B0-40BF-A607-90135FF0D030}" name="9A25" dataDxfId="1411" dataCellStyle="Virgül"/>
    <tableColumn id="16" xr3:uid="{C00FDBB1-B58C-4024-A275-F7A43FC8BF21}" name="10A25" dataDxfId="1410" dataCellStyle="Virgül"/>
    <tableColumn id="17" xr3:uid="{64F84B69-C2FD-4509-B8BE-BBDD4CECB42D}" name="11A25" dataDxfId="1409" dataCellStyle="Virgül"/>
    <tableColumn id="18" xr3:uid="{360944DA-7C6B-4223-8FB3-6113D78D4923}" name="12A25" dataDxfId="1408" dataCellStyle="Virgül"/>
    <tableColumn id="19" xr3:uid="{362A04CD-F13C-4CA2-B6D7-87EA9B379EA1}" name="1A26" dataDxfId="1407" dataCellStyle="Virgül"/>
    <tableColumn id="20" xr3:uid="{11245E1F-7CBE-4A0C-A3FF-88E0496D5556}" name="2A26" dataDxfId="1406" dataCellStyle="Virgül"/>
    <tableColumn id="21" xr3:uid="{B2E9DB88-296D-45A9-9B0F-D4F0206CCA5F}" name="3A26" dataDxfId="1405" dataCellStyle="Virgül"/>
    <tableColumn id="22" xr3:uid="{A67870AD-83A5-438C-938B-275C9CB34FA5}" name="4A26" dataDxfId="1404" dataCellStyle="Virgül"/>
    <tableColumn id="23" xr3:uid="{49F95AEF-0DCE-486F-A3DA-8656E42407D6}" name="5A26" dataDxfId="1403" dataCellStyle="Virgül"/>
    <tableColumn id="24" xr3:uid="{C2FD0D69-E59C-4C76-9906-640AAF338A1F}" name="6A26" dataDxfId="1402" dataCellStyle="Virgü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2AADBF-2382-42B5-BA3C-D5ED3F1BD661}" name="Tablo24" displayName="Tablo24" ref="A43:X53" totalsRowShown="0" headerRowDxfId="1401" dataDxfId="1400" dataCellStyle="Virgül">
  <autoFilter ref="A43:X53" xr:uid="{E42AADBF-2382-42B5-BA3C-D5ED3F1BD661}"/>
  <tableColumns count="24">
    <tableColumn id="1" xr3:uid="{A672AC6F-D3AC-4BA2-8B27-E58F145F8187}" name="SANTRALLERİN TL  BAZLI GETİRİLERİ" dataDxfId="1399"/>
    <tableColumn id="2" xr3:uid="{857FEE7A-8075-4DFD-A4DD-0DBF791451DC}" name="Sütun1" dataDxfId="1398"/>
    <tableColumn id="3" xr3:uid="{C31E8C08-66C6-485C-AA24-23B786B4281D}" name="Sütun2" dataDxfId="1397"/>
    <tableColumn id="4" xr3:uid="{313B29F1-237B-4244-86A2-A748092B267A}" name="Sütun3" dataDxfId="1396"/>
    <tableColumn id="5" xr3:uid="{A55890F8-4D2D-405F-A3B5-F9C0EACD0A77}" name="Sütun4" dataDxfId="1395"/>
    <tableColumn id="6" xr3:uid="{4596B35F-32E4-4A92-94CE-B3D6A66A1FE9}" name="Sütun5" dataDxfId="1394"/>
    <tableColumn id="7" xr3:uid="{DFF22AF5-0248-4B6B-8EF6-6143F7C997B2}" name="1A25" dataDxfId="1393" dataCellStyle="Virgül"/>
    <tableColumn id="8" xr3:uid="{8098CBC2-52EB-4599-97CE-666CBB4B0CF1}" name="2A25" dataDxfId="1392" dataCellStyle="Virgül"/>
    <tableColumn id="9" xr3:uid="{1308D7EA-14CE-4E66-9E26-B059A6B1723B}" name="3A25" dataDxfId="1391" dataCellStyle="Virgül"/>
    <tableColumn id="10" xr3:uid="{4159F4A7-1614-4C89-929B-A1ED069E9C87}" name="4A25" dataDxfId="1390" dataCellStyle="Virgül"/>
    <tableColumn id="11" xr3:uid="{751AAFE1-3CFE-48D7-AD33-C9D5D562516F}" name="5A25" dataDxfId="1389" dataCellStyle="Virgül"/>
    <tableColumn id="12" xr3:uid="{52C8DBE3-220D-4B95-97DF-AF1A60D0ACEF}" name="6A25" dataDxfId="1388" dataCellStyle="Virgül"/>
    <tableColumn id="13" xr3:uid="{D7FFB049-2564-4D04-B393-786D13D6D4F2}" name="7A25" dataDxfId="1387" dataCellStyle="Virgül"/>
    <tableColumn id="14" xr3:uid="{CBFDC216-5BE3-4395-9A68-42A352F4354F}" name="8A25" dataDxfId="1386" dataCellStyle="Virgül"/>
    <tableColumn id="15" xr3:uid="{FA525D55-9793-4275-83C9-FB9986CA6585}" name="9A25" dataDxfId="1385" dataCellStyle="Virgül"/>
    <tableColumn id="16" xr3:uid="{D1543523-F323-44E3-AFCD-2935B973410A}" name="10A25" dataDxfId="1384" dataCellStyle="Virgül"/>
    <tableColumn id="17" xr3:uid="{C38E660B-5444-44B7-B15B-FEA659CA953A}" name="11A25" dataDxfId="1383" dataCellStyle="Virgül"/>
    <tableColumn id="18" xr3:uid="{E1FAFF6C-AA50-43AA-8056-71FC104A7B86}" name="12A25" dataDxfId="1382" dataCellStyle="Virgül"/>
    <tableColumn id="19" xr3:uid="{D58BE67A-FEA0-424B-98FB-F5FDDAC5FE62}" name="1A26" dataDxfId="1381" dataCellStyle="Virgül"/>
    <tableColumn id="20" xr3:uid="{EC77F06E-DF96-49C2-8FA3-D87E11C16838}" name="2A26" dataDxfId="1380" dataCellStyle="Virgül"/>
    <tableColumn id="21" xr3:uid="{0A1CBE8F-5924-430B-AB5E-E839D55D9093}" name="3A26" dataDxfId="1379" dataCellStyle="Virgül"/>
    <tableColumn id="22" xr3:uid="{C7CC736D-CEA7-483C-A383-8F610662675A}" name="4A26" dataDxfId="1378" dataCellStyle="Virgül">
      <calculatedColumnFormula>$V$60*V24</calculatedColumnFormula>
    </tableColumn>
    <tableColumn id="23" xr3:uid="{F6CCE476-B216-4440-856F-16D53E8292B3}" name="5A26" dataDxfId="1377" dataCellStyle="Virgül">
      <calculatedColumnFormula>$W$60*W24</calculatedColumnFormula>
    </tableColumn>
    <tableColumn id="24" xr3:uid="{C0C16016-2832-4663-B9AE-5200D58EBA87}" name="6A26" dataDxfId="1376" dataCellStyle="Virgül">
      <calculatedColumnFormula>$X$60*X24</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C019E0-E286-4D6E-BC6A-F86A63EA4BC4}" name="Tablo2" displayName="Tablo2" ref="H1:AE28" totalsRowShown="0" headerRowDxfId="1375" dataDxfId="1374">
  <autoFilter ref="H1:AE28" xr:uid="{99C019E0-E286-4D6E-BC6A-F86A63EA4BC4}"/>
  <tableColumns count="24">
    <tableColumn id="1" xr3:uid="{A1BE74C8-BFF8-4F08-8892-3A32C0595D8D}" name="SANTRAL ADI" dataDxfId="1373"/>
    <tableColumn id="2" xr3:uid="{D295807C-7ADD-4F85-8CF4-FF5F2B069D34}" name="KURULU GÜCÜ" dataDxfId="1372"/>
    <tableColumn id="3" xr3:uid="{DAEE95A7-0BD2-4338-92C7-1F83580D76EF}" name="EIC KODU" dataDxfId="1371"/>
    <tableColumn id="4" xr3:uid="{E4DC60BA-EDC4-4A3E-BF74-AA7551D72CDE}" name="ID" dataDxfId="1370"/>
    <tableColumn id="5" xr3:uid="{6AF1B016-1E4E-4ED2-9D84-752995100569}" name="SATIŞ FİYATI" dataDxfId="1369"/>
    <tableColumn id="6" xr3:uid="{F09BAF06-DFE3-4749-8B1A-EBB471D28B5D}" name="SÜRE (YIL SONU)" dataDxfId="1368"/>
    <tableColumn id="7" xr3:uid="{8D35481E-7469-438B-9E9F-872DA9EBF1E8}" name="1A25" dataDxfId="1367"/>
    <tableColumn id="8" xr3:uid="{E1DF5D5B-40B4-4CC9-A271-1F602436FBFC}" name="2A25" dataDxfId="1366"/>
    <tableColumn id="9" xr3:uid="{BAE90808-DEC9-4BEA-8A58-30DB7B8B1471}" name="3A25" dataDxfId="1365"/>
    <tableColumn id="10" xr3:uid="{A167BB4E-88AF-4AE5-877A-CCAD675D2F3B}" name="4A25" dataDxfId="1364"/>
    <tableColumn id="11" xr3:uid="{93CFFDE4-B048-4250-A813-8FE3DE4298D4}" name="5A25" dataDxfId="1363"/>
    <tableColumn id="12" xr3:uid="{8B13C682-9971-4586-94E1-DCC6E353CEC9}" name="6A25" dataDxfId="1362"/>
    <tableColumn id="13" xr3:uid="{54F23E4E-7EFF-46AA-BDA9-C92C358CEFB1}" name="7A25" dataDxfId="1361"/>
    <tableColumn id="14" xr3:uid="{28D92788-BF4F-48BE-9A90-375B7F64088B}" name="8A25" dataDxfId="1360"/>
    <tableColumn id="15" xr3:uid="{7659F131-3349-408C-AA21-8B1E61D8E2AD}" name="9A25" dataDxfId="1359"/>
    <tableColumn id="16" xr3:uid="{16FE0788-628C-4CC6-9B1A-AD0281A1A5FC}" name="10A25" dataDxfId="1358"/>
    <tableColumn id="17" xr3:uid="{142157DA-F1B2-4A57-A917-08EEB048E225}" name="11A25" dataDxfId="1357"/>
    <tableColumn id="18" xr3:uid="{AE2CA9EC-8F6C-45E3-BC6F-614A2FF4DFF3}" name="12A25" dataDxfId="1356"/>
    <tableColumn id="19" xr3:uid="{69CA88FC-02A0-41F5-B562-19946B45C279}" name="1A26" dataDxfId="1355"/>
    <tableColumn id="20" xr3:uid="{C5D98CFF-D30C-4F5B-A99D-AECB5459A603}" name="2A26" dataDxfId="1354"/>
    <tableColumn id="21" xr3:uid="{66ABDB81-3710-4739-B15A-930BE14DBEB7}" name="3A26" dataDxfId="1353"/>
    <tableColumn id="22" xr3:uid="{1654670F-CBA6-46FA-BC0B-8B3098E3489B}" name="4A26" dataDxfId="1352"/>
    <tableColumn id="23" xr3:uid="{402437C6-501B-47AF-8FC2-949BD191CE6E}" name="5A26" dataDxfId="1351"/>
    <tableColumn id="24" xr3:uid="{91AC788B-D376-4CFB-A4A8-149F66F02C56}" name="6A26" dataDxfId="135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CB106C5-A3F0-4F9B-B958-3F10FB9CE1D4}" name="Tablo25" displayName="Tablo25" ref="H39:AE66" totalsRowShown="0">
  <autoFilter ref="H39:AE66" xr:uid="{5CB106C5-A3F0-4F9B-B958-3F10FB9CE1D4}"/>
  <tableColumns count="24">
    <tableColumn id="1" xr3:uid="{D7BBF8B1-6D1F-418D-9E01-ACB94F49F45A}" name="SANTRALLERİN DOLAR BAZLI GELİRLERİ" dataDxfId="1349"/>
    <tableColumn id="2" xr3:uid="{4371995E-4C12-4CF3-9694-633C3630BC31}" name="Sütun1"/>
    <tableColumn id="3" xr3:uid="{E020A20A-F04E-4273-92A8-10C70017125D}" name="Sütun2"/>
    <tableColumn id="4" xr3:uid="{5F843667-249E-44D0-8B98-DC73DCD93276}" name="Sütun3"/>
    <tableColumn id="5" xr3:uid="{9CDC2A42-B137-4D0C-9B59-DB50E85428E4}" name="Sütun4"/>
    <tableColumn id="6" xr3:uid="{067B8B3D-DD9D-4AC4-8FCC-33256A48F155}" name="Sütun5"/>
    <tableColumn id="7" xr3:uid="{C5ADCBA7-42F8-4F22-B63E-72F726AEA552}" name="1A25" dataCellStyle="Virgül"/>
    <tableColumn id="8" xr3:uid="{8322E77E-9B3A-4DC5-B782-3FBF3281A4A7}" name="2A25" dataCellStyle="Virgül"/>
    <tableColumn id="9" xr3:uid="{C9C2C450-380A-4C3B-8003-D85F45A7D9A7}" name="3A25" dataCellStyle="Virgül"/>
    <tableColumn id="10" xr3:uid="{11E1C4F1-BC7C-4C48-B028-BD693198AC54}" name="4A25" dataCellStyle="Virgül"/>
    <tableColumn id="11" xr3:uid="{A03BE823-F7A9-4455-A507-0D8C48F3F762}" name="5A25" dataCellStyle="Virgül"/>
    <tableColumn id="12" xr3:uid="{9C76CB16-FE5D-45FC-89E1-7DA54DDEC0FA}" name="6A25" dataCellStyle="Virgül"/>
    <tableColumn id="13" xr3:uid="{A3296E41-3588-4264-B21E-246D587E421C}" name="7A25" dataCellStyle="Virgül"/>
    <tableColumn id="14" xr3:uid="{0723AFFC-3BF3-4709-94FB-7113B1B5022A}" name="8A25" dataCellStyle="Virgül"/>
    <tableColumn id="15" xr3:uid="{74894656-026B-4E89-A9F2-20408173E507}" name="9A25" dataCellStyle="Virgül"/>
    <tableColumn id="16" xr3:uid="{C43427EF-587F-4A52-BBE3-089ADDFD9F81}" name="10A25" dataCellStyle="Virgül"/>
    <tableColumn id="17" xr3:uid="{40CF736E-F7A0-4465-B29E-1B3F50C9C1C3}" name="11A25" dataCellStyle="Virgül"/>
    <tableColumn id="18" xr3:uid="{528358C2-F79A-4B1B-9E39-89959E19D0B1}" name="12A25" dataCellStyle="Virgül"/>
    <tableColumn id="19" xr3:uid="{B271B479-12CA-4ADF-AC8B-08C07848FA26}" name="1A26" dataCellStyle="Virgül"/>
    <tableColumn id="20" xr3:uid="{0A68300C-F1C7-44F4-89A1-9BAA21C97587}" name="2A26" dataCellStyle="Virgül"/>
    <tableColumn id="21" xr3:uid="{9BC246F8-1B60-45D4-8343-40239C5EB76D}" name="3A26" dataCellStyle="Virgül"/>
    <tableColumn id="22" xr3:uid="{C1A06FEE-4B96-437F-966E-4656C9536B26}" name="4A26" dataCellStyle="Virgül"/>
    <tableColumn id="23" xr3:uid="{2925E9B0-65BA-4C45-A1D7-8CE9254D9DE4}" name="5A26" dataCellStyle="Virgül"/>
    <tableColumn id="24" xr3:uid="{A17E1860-ADB6-47A3-8262-920651EC4CFD}" name="6A26" dataCellStyle="Virgü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C48C35C-309E-45E7-95A4-571CF2EEA451}" name="Tablo26" displayName="Tablo26" ref="H77:AE104" totalsRowShown="0">
  <autoFilter ref="H77:AE104" xr:uid="{BC48C35C-309E-45E7-95A4-571CF2EEA451}"/>
  <tableColumns count="24">
    <tableColumn id="1" xr3:uid="{A8254C63-6C92-47C0-8408-046BACD40F5C}" name="SANTRALLERİN TL BAZLI GELİRLERİ" dataDxfId="1348"/>
    <tableColumn id="2" xr3:uid="{2E51A841-FF4F-4614-837D-37F12B4868AC}" name="Sütun1"/>
    <tableColumn id="3" xr3:uid="{D5D909C3-2C90-46CC-992A-A92FA3761386}" name="Sütun2"/>
    <tableColumn id="4" xr3:uid="{51AB8B79-8A23-4D56-B5E3-0C0CA4DC6047}" name="Sütun3"/>
    <tableColumn id="5" xr3:uid="{B2A819F4-9AAE-40F2-B8BF-850BF8E9BCFC}" name="Sütun4"/>
    <tableColumn id="6" xr3:uid="{44FE805A-8CC7-4104-8917-69D48521E3E4}" name="Sütun5"/>
    <tableColumn id="7" xr3:uid="{2677D8C2-EA18-4C30-B99F-70C73A18FFCE}" name="1A25" dataCellStyle="Virgül"/>
    <tableColumn id="8" xr3:uid="{BB22D1AD-4C10-453B-9A04-5A45FC580B4B}" name="2A25" dataCellStyle="Virgül"/>
    <tableColumn id="9" xr3:uid="{CD7B168E-63D6-4F64-A6F7-384F08611E92}" name="3A25" dataCellStyle="Virgül"/>
    <tableColumn id="10" xr3:uid="{5E659F35-1CEA-4D97-BE58-5CD6866F07A5}" name="4A25" dataCellStyle="Virgül"/>
    <tableColumn id="11" xr3:uid="{F97B00BA-BF5D-4580-B953-F8B6AB21150C}" name="5A25" dataCellStyle="Virgül"/>
    <tableColumn id="12" xr3:uid="{BD329118-ACA4-4FD0-8791-373B090B66A8}" name="6A25" dataCellStyle="Virgül"/>
    <tableColumn id="13" xr3:uid="{3D358887-EEC2-40A4-A952-747B9A45EC3B}" name="7A25" dataCellStyle="Virgül"/>
    <tableColumn id="14" xr3:uid="{C9A67A8D-22A1-42C9-9297-8015B11BB1C9}" name="8A25" dataCellStyle="Virgül"/>
    <tableColumn id="15" xr3:uid="{86314FCF-806F-4BA0-BC3E-CF71F2D98E00}" name="9A25" dataCellStyle="Virgül"/>
    <tableColumn id="16" xr3:uid="{029C1C69-686C-40F0-9822-6E5D1AC21FF6}" name="10A25" dataCellStyle="Virgül"/>
    <tableColumn id="17" xr3:uid="{0E5B27E6-C5F8-450C-9B7A-AB44AEEE0B27}" name="11A25" dataCellStyle="Virgül"/>
    <tableColumn id="18" xr3:uid="{1D36B9B7-5ED9-4F62-B748-1D6E559A6CF1}" name="12A25" dataCellStyle="Virgül"/>
    <tableColumn id="19" xr3:uid="{9CEE76AA-1FB2-4D85-8D78-5CDF1BB3EA66}" name="1A26" dataCellStyle="Virgül"/>
    <tableColumn id="20" xr3:uid="{9099BC85-0F22-4534-991A-088C148A356D}" name="2A26" dataCellStyle="Virgül"/>
    <tableColumn id="21" xr3:uid="{2E665B8C-35ED-4BAE-BC08-9CA4B556B278}" name="3A26" dataCellStyle="Virgül"/>
    <tableColumn id="22" xr3:uid="{7DD559C0-6D6A-4224-9C48-D0C383DB3F84}" name="4A26" dataCellStyle="Virgül"/>
    <tableColumn id="23" xr3:uid="{F6843033-2746-4D55-A521-270479420B3F}" name="5A26" dataCellStyle="Virgül"/>
    <tableColumn id="24" xr3:uid="{8D4DE7CA-8C25-40F4-A052-22B10E5B4CEF}" name="6A26" dataCellStyle="Virgül"/>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0F7899-2299-482E-95C8-26FDC955C642}" name="Tablo3" displayName="Tablo3" ref="A1:X12" totalsRowShown="0" headerRowDxfId="1347" dataDxfId="1346">
  <autoFilter ref="A1:X12" xr:uid="{B70F7899-2299-482E-95C8-26FDC955C642}"/>
  <tableColumns count="24">
    <tableColumn id="1" xr3:uid="{69FCF854-7BF4-4D69-AC48-95BF0CC41DA3}" name="SANTRAL ADI" dataDxfId="1345"/>
    <tableColumn id="2" xr3:uid="{8BD1BD96-BF50-4363-B306-F28A4A16BDCF}" name="KURULU GÜCÜ" dataDxfId="1344"/>
    <tableColumn id="3" xr3:uid="{4CE43D96-23FF-4D5B-9828-0A804DB48157}" name="EIC KODU" dataDxfId="1343"/>
    <tableColumn id="4" xr3:uid="{122FAE95-C58C-471A-B9AE-EBDA122A3183}" name="ID" dataDxfId="1342"/>
    <tableColumn id="5" xr3:uid="{8B64A872-96D6-4A88-B6DD-E00BB4F1134A}" name="SATIŞ FİYATI" dataDxfId="1341"/>
    <tableColumn id="6" xr3:uid="{C43BD5A6-C88D-4D84-9218-EBAA49D40E4A}" name="SÜRE(YIL SONU)" dataDxfId="1340"/>
    <tableColumn id="7" xr3:uid="{537FD28A-E345-415D-B4C8-7BE32CC58F56}" name="1A25" dataDxfId="1339"/>
    <tableColumn id="8" xr3:uid="{9C56340F-7D34-48C0-B678-022A9B9A18B1}" name="2A25" dataDxfId="1338"/>
    <tableColumn id="9" xr3:uid="{6A57CFF8-03D3-45EE-A11B-6663DB951B89}" name="3A25" dataDxfId="1337"/>
    <tableColumn id="10" xr3:uid="{1A30E26D-3AAA-450F-8872-4870497DBEBD}" name="4A25" dataDxfId="1336"/>
    <tableColumn id="11" xr3:uid="{295F2973-4551-4607-B8E9-D4321D3C2E33}" name="5A25" dataDxfId="1335"/>
    <tableColumn id="12" xr3:uid="{8FAD3C57-FF87-4AA2-89D0-A04301A39463}" name="6A25" dataDxfId="1334"/>
    <tableColumn id="13" xr3:uid="{4811B959-6CC2-4FFA-9B3C-6DDF9ACDAFFB}" name="7A25" dataDxfId="1333"/>
    <tableColumn id="14" xr3:uid="{D341CA14-A038-49B9-B2DC-6029F47824B1}" name="8A25" dataDxfId="1332"/>
    <tableColumn id="15" xr3:uid="{63721526-221D-42C5-BFB1-6382FD3B0FEB}" name="9A25" dataDxfId="1331"/>
    <tableColumn id="16" xr3:uid="{317D3430-92B4-4DD3-8A23-6A5D13650414}" name="10A25" dataDxfId="1330"/>
    <tableColumn id="17" xr3:uid="{C2B92AB0-1CDC-4E1C-A5DF-CFAFDC7E0647}" name="11A25" dataDxfId="1329"/>
    <tableColumn id="18" xr3:uid="{761B3266-D083-40E4-BB6E-B519A84996B3}" name="12A25" dataDxfId="1328"/>
    <tableColumn id="19" xr3:uid="{D43517B3-A2BD-47EC-9E8B-4683A73109C9}" name="1A26" dataDxfId="1327"/>
    <tableColumn id="20" xr3:uid="{B381473F-4B4A-420E-91C5-6FFB1962895E}" name="2A26" dataDxfId="1326"/>
    <tableColumn id="21" xr3:uid="{802469D7-C04C-4780-B467-54DB0C86818C}" name="3A26" dataDxfId="1325"/>
    <tableColumn id="22" xr3:uid="{34A4E393-DD64-4735-8A27-81280BE51288}" name="4A26" dataDxfId="1324"/>
    <tableColumn id="23" xr3:uid="{EE58A813-CD1D-473C-91CD-28DED07BB3D1}" name="5A26" dataDxfId="1323"/>
    <tableColumn id="24" xr3:uid="{62156A08-129F-4A91-ABDB-EC3C4E923C61}" name="6A26" dataDxfId="132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81BA578-91C3-459F-A6B7-0DC86ED00A58}" name="Tablo27" displayName="Tablo27" ref="A21:X24" totalsRowShown="0" headerRowDxfId="1321" dataDxfId="1320">
  <autoFilter ref="A21:X24" xr:uid="{581BA578-91C3-459F-A6B7-0DC86ED00A58}"/>
  <tableColumns count="24">
    <tableColumn id="1" xr3:uid="{CF260A36-E3B8-421E-8947-520570800E28}" name="SANTRALLERİN DOLAR BAZLI GELİRLERİ"/>
    <tableColumn id="2" xr3:uid="{72D14C35-4E89-420C-A47C-E744E29DC79B}" name="Sütun1" dataDxfId="1319"/>
    <tableColumn id="3" xr3:uid="{A7F8D459-03C8-415A-842E-F879CD475302}" name="Sütun2" dataDxfId="1318"/>
    <tableColumn id="4" xr3:uid="{6D4738D6-5ABC-437C-AC6A-D0A397C6B0D1}" name="Sütun3" dataDxfId="1317"/>
    <tableColumn id="5" xr3:uid="{286D5423-6C4B-48FE-AAD6-8F8721F5CA92}" name="Sütun4" dataDxfId="1316"/>
    <tableColumn id="6" xr3:uid="{08967183-47A1-4CED-8FDB-914601206650}" name="Sütun5" dataDxfId="1315"/>
    <tableColumn id="7" xr3:uid="{88896446-A6E6-40EA-A4EE-146F03350F12}" name="1A25" dataDxfId="1314" dataCellStyle="Virgül"/>
    <tableColumn id="8" xr3:uid="{5290AA0B-1BF9-44BE-9A36-E89307B8B7F5}" name="2A25" dataDxfId="1313" dataCellStyle="Virgül"/>
    <tableColumn id="9" xr3:uid="{5C54D5D1-E8FD-4EC5-817E-9C50E52496B5}" name="3A25" dataDxfId="1312" dataCellStyle="Virgül"/>
    <tableColumn id="10" xr3:uid="{77AF94DE-C061-4A21-B358-1E2579F17E18}" name="4A25" dataDxfId="1311" dataCellStyle="Virgül"/>
    <tableColumn id="11" xr3:uid="{4BD6BA2F-91DD-444C-97C1-595AF8B8CB8D}" name="5A25" dataDxfId="1310" dataCellStyle="Virgül"/>
    <tableColumn id="12" xr3:uid="{F2D4972B-0CE1-4A5D-8D4B-3F27FAE2B8A7}" name="6A25" dataDxfId="1309" dataCellStyle="Virgül"/>
    <tableColumn id="13" xr3:uid="{AAA486A9-1C5C-4B0D-B156-E8F67916C9B9}" name="7A25" dataDxfId="1308" dataCellStyle="Virgül"/>
    <tableColumn id="14" xr3:uid="{B57A49FC-B739-4D4C-9A5B-AE82FE4816A3}" name="8A25" dataDxfId="1307" dataCellStyle="Virgül"/>
    <tableColumn id="15" xr3:uid="{8340C2E9-BC47-4B91-95EE-055D21FBF4C6}" name="9A25" dataDxfId="1306" dataCellStyle="Virgül"/>
    <tableColumn id="16" xr3:uid="{73E2EEF2-67AF-4EE4-A9C7-6667FB78EA2A}" name="10A25" dataDxfId="1305" dataCellStyle="Virgül"/>
    <tableColumn id="17" xr3:uid="{07D1991F-38AA-426D-9C20-920CA3344C90}" name="11A25" dataDxfId="1304" dataCellStyle="Virgül"/>
    <tableColumn id="18" xr3:uid="{E55EC614-C9B6-45A4-AC9F-4F43995A9B5C}" name="12A25" dataDxfId="1303" dataCellStyle="Virgül"/>
    <tableColumn id="19" xr3:uid="{594808A9-5A75-4059-BB09-31481BE4E536}" name="1A26" dataDxfId="1302" dataCellStyle="Virgül"/>
    <tableColumn id="20" xr3:uid="{AD49823F-E0B4-4974-B89B-9A4BA8B30066}" name="2A26" dataDxfId="1301" dataCellStyle="Virgül"/>
    <tableColumn id="21" xr3:uid="{D8D909BF-B240-4E7E-9F9E-0A266E95E5D5}" name="3A26" dataDxfId="1300" dataCellStyle="Virgül"/>
    <tableColumn id="22" xr3:uid="{D6144439-17AB-41E9-99EB-F20B4A1DA277}" name="4A26" dataDxfId="1299" dataCellStyle="Virgül">
      <calculatedColumnFormula>$V$31*V2</calculatedColumnFormula>
    </tableColumn>
    <tableColumn id="23" xr3:uid="{DAF3698F-DCDE-4BA4-9D2B-2C33FD98C46D}" name="5A26" dataDxfId="1298" dataCellStyle="Virgül">
      <calculatedColumnFormula>$W$31*W2</calculatedColumnFormula>
    </tableColumn>
    <tableColumn id="24" xr3:uid="{160B8E10-0FB8-4E57-A9E0-96244B98D970}" name="6A26" dataDxfId="1297" dataCellStyle="Virgül">
      <calculatedColumnFormula>$X$31*X2</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D3F5A08-FADD-4729-87CC-2754B1FC65AA}" name="Tablo28" displayName="Tablo28" ref="A33:X36" totalsRowShown="0" headerRowDxfId="1296">
  <autoFilter ref="A33:X36" xr:uid="{4D3F5A08-FADD-4729-87CC-2754B1FC65AA}"/>
  <tableColumns count="24">
    <tableColumn id="1" xr3:uid="{4051C5E6-8A9F-4057-B68F-CF1D3AB43BDF}" name="SANTRALLERİN TL BAZLI GELİRLERİ"/>
    <tableColumn id="2" xr3:uid="{147C725E-FF28-4D24-85F4-EEF0FE8497A2}" name="Sütun1" dataDxfId="1295"/>
    <tableColumn id="3" xr3:uid="{DB69C1AC-3AB4-419B-AD17-A3BF7CA9EB73}" name="Sütun2" dataDxfId="1294"/>
    <tableColumn id="4" xr3:uid="{447476A6-00B9-452A-BA00-00875CF4E434}" name="Sütun3" dataDxfId="1293"/>
    <tableColumn id="5" xr3:uid="{BA354818-9D40-40EF-8FBC-BAD4A7B176FD}" name="Sütun4" dataDxfId="1292"/>
    <tableColumn id="6" xr3:uid="{6AD9C425-2A3D-496C-9C75-7866A2B87082}" name="Sütun5" dataDxfId="1291"/>
    <tableColumn id="7" xr3:uid="{2260F13D-C3CC-4627-8162-DA972FEBA69F}" name="1A25" dataDxfId="1290" dataCellStyle="Virgül"/>
    <tableColumn id="8" xr3:uid="{9E3D57E8-D3BD-4A47-BC03-7DFAAE84551D}" name="2A25" dataCellStyle="Virgül"/>
    <tableColumn id="9" xr3:uid="{7C62F4E9-4DB5-4B66-892A-922ACF1DBB74}" name="3A25" dataCellStyle="Virgül"/>
    <tableColumn id="10" xr3:uid="{BEDD8A3F-BC15-4DB9-BFDE-6C9CE0BCD14A}" name="4A25" dataCellStyle="Virgül"/>
    <tableColumn id="11" xr3:uid="{360995C8-53DE-493C-BC05-9C6D755613DE}" name="5A25" dataCellStyle="Virgül"/>
    <tableColumn id="12" xr3:uid="{6AA80ED6-7A95-49A0-82FC-4C8B9B15109C}" name="6A25" dataCellStyle="Virgül"/>
    <tableColumn id="13" xr3:uid="{F9AD6B55-CCFD-4BFF-9C1F-E751FDED9830}" name="7A25" dataCellStyle="Virgül"/>
    <tableColumn id="14" xr3:uid="{4DC0007B-CCEF-4798-893C-2B2AFFFD6AD9}" name="8A25" dataCellStyle="Virgül"/>
    <tableColumn id="15" xr3:uid="{A5B13E3C-4BA5-4915-AE59-034601A45485}" name="9A25" dataCellStyle="Virgül"/>
    <tableColumn id="16" xr3:uid="{526F8136-7D92-4FDE-89B0-5D01945E094D}" name="10A25" dataCellStyle="Virgül"/>
    <tableColumn id="17" xr3:uid="{86287E87-7C6D-46AF-8D7B-59C2DD25C52E}" name="11A25" dataCellStyle="Virgül"/>
    <tableColumn id="18" xr3:uid="{B6139099-F21E-49A4-941C-9C1C256BB572}" name="12A25" dataCellStyle="Virgül"/>
    <tableColumn id="19" xr3:uid="{D02CF7F1-EF51-46C4-B965-77615687C3F2}" name="1A26" dataCellStyle="Virgül"/>
    <tableColumn id="20" xr3:uid="{1AB1E4D8-8D26-45B4-A77D-B9A643EF2EE9}" name="2A26" dataCellStyle="Virgül"/>
    <tableColumn id="21" xr3:uid="{D27EC063-F353-466B-B670-730D18D11424}" name="3A26" dataCellStyle="Virgül"/>
    <tableColumn id="22" xr3:uid="{518B4730-A3CE-468F-AABD-3B3D8A1D22F2}" name="4A26" dataDxfId="1289" dataCellStyle="Virgül">
      <calculatedColumnFormula>V22*$V$43</calculatedColumnFormula>
    </tableColumn>
    <tableColumn id="23" xr3:uid="{4DC3D3EB-74E2-4B9C-B65F-4D34244AE83F}" name="5A26" dataDxfId="1288" dataCellStyle="Virgül">
      <calculatedColumnFormula>W22*$W$43</calculatedColumnFormula>
    </tableColumn>
    <tableColumn id="24" xr3:uid="{E053E13C-F846-451C-ABE5-E504EEA1D440}" name="6A26" dataDxfId="1287" dataCellStyle="Virgül">
      <calculatedColumnFormula>X22*$X$43</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DCE5125-F263-48D5-88AC-E91C3398C674}" name="Tablo6" displayName="Tablo6" ref="A1:X8" totalsRowShown="0" headerRowDxfId="1286" dataDxfId="1285">
  <autoFilter ref="A1:X8" xr:uid="{CDCE5125-F263-48D5-88AC-E91C3398C674}"/>
  <tableColumns count="24">
    <tableColumn id="1" xr3:uid="{1B26A819-AEF3-413D-B493-CE9E23E9C662}" name="SANTRAL ADI" dataDxfId="1284"/>
    <tableColumn id="2" xr3:uid="{3BEFAAAB-B674-44D7-AFC1-E026687D1FD4}" name="KURULU GÜÇ" dataDxfId="1283"/>
    <tableColumn id="3" xr3:uid="{7CF881F2-21E3-41DA-BD65-AD863AEC376B}" name="EIC KODU" dataDxfId="1282"/>
    <tableColumn id="4" xr3:uid="{C8F06FF8-0D61-4452-85B9-7F79CD177D6F}" name="ID" dataDxfId="1281"/>
    <tableColumn id="5" xr3:uid="{BD78D991-8DFB-4C84-A58F-823A4C91F7D4}" name="SATIŞ FİYATI " dataDxfId="1280"/>
    <tableColumn id="6" xr3:uid="{1F4ABAEA-A2B7-4160-B9AB-979F9DCFB079}" name="SÜRE (YIL SONU)" dataDxfId="1279"/>
    <tableColumn id="7" xr3:uid="{242B0EC9-6AFB-400E-B577-E591C4B2ECA2}" name="1A25" dataDxfId="1278"/>
    <tableColumn id="8" xr3:uid="{76AABD7C-1CB7-47B4-824A-D19CFB610038}" name="2A25" dataDxfId="1277"/>
    <tableColumn id="9" xr3:uid="{D5D04674-66CC-43FA-ABA2-1563839A7908}" name="3A25" dataDxfId="1276"/>
    <tableColumn id="10" xr3:uid="{342956B8-CC34-4287-8E1A-18EC21D1CF86}" name="4A25" dataDxfId="1275"/>
    <tableColumn id="11" xr3:uid="{26D24AB5-EBAC-42D4-8E5B-D6C86E1A7D33}" name="5A25" dataDxfId="1274"/>
    <tableColumn id="12" xr3:uid="{3E915C2A-B030-4F85-A539-E69EB91BCE0F}" name="6A25" dataDxfId="1273"/>
    <tableColumn id="13" xr3:uid="{92B5A736-43FB-4C8C-9D93-4CF9BA101F38}" name="7A25" dataDxfId="1272"/>
    <tableColumn id="14" xr3:uid="{DDBA75F7-E6E1-471B-AA94-79D0B7E6BEE9}" name="8A25" dataDxfId="1271"/>
    <tableColumn id="15" xr3:uid="{4A5A2DFD-840A-4A96-A055-054943C91CEC}" name="9A25" dataDxfId="1270"/>
    <tableColumn id="16" xr3:uid="{EA43AF52-F53A-4299-84B9-E800BA22250B}" name="10A25" dataDxfId="1269"/>
    <tableColumn id="17" xr3:uid="{D5E98397-79B9-467B-89EC-35FB8EEA4390}" name="11A25" dataDxfId="1268"/>
    <tableColumn id="18" xr3:uid="{B7EA3C9F-347C-45CE-B442-582733B6EEE6}" name="12A25" dataDxfId="1267"/>
    <tableColumn id="19" xr3:uid="{39E0FDD2-05CD-4F30-A5B1-DE0825804006}" name="1A26" dataDxfId="1266"/>
    <tableColumn id="20" xr3:uid="{4862298C-324F-44A5-81D0-B21E8E30733D}" name="2A26" dataDxfId="1265"/>
    <tableColumn id="21" xr3:uid="{5157FE65-84CF-4049-8205-C43721F0AE70}" name="3A26 " dataDxfId="1264"/>
    <tableColumn id="22" xr3:uid="{559B2FB3-7804-44FC-8AE2-15BDCA193DCC}" name="4A26" dataDxfId="1263"/>
    <tableColumn id="23" xr3:uid="{5CAE7EDD-777D-4BCC-A153-8B7C3B912512}" name="5A26" dataDxfId="1262"/>
    <tableColumn id="24" xr3:uid="{FBE78927-93F6-4B84-8C0D-8D7F7316C828}" name="6A26" dataDxfId="126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B247DB3-46B2-4596-9898-97C52B73BDB8}" name="Tablo29" displayName="Tablo29" ref="A10:X15" totalsRowShown="0" headerRowDxfId="1260" dataDxfId="1259">
  <autoFilter ref="A10:X15" xr:uid="{7B247DB3-46B2-4596-9898-97C52B73BDB8}"/>
  <tableColumns count="24">
    <tableColumn id="1" xr3:uid="{375F7DEA-9886-42DC-B28C-8946DECBBF3A}" name="İŞTİRAKTEN GELEN KAPASİTE" dataDxfId="1258"/>
    <tableColumn id="2" xr3:uid="{A14AD082-299B-4540-BFC4-2759F7F89165}" name="Sütun1" dataDxfId="1257"/>
    <tableColumn id="3" xr3:uid="{12E29CB7-F0A2-4999-B89B-133900068689}" name="Sütun2" dataDxfId="1256"/>
    <tableColumn id="4" xr3:uid="{DB1D7852-9619-415F-8FDF-DABCD5E5C434}" name="Sütun3" dataDxfId="1255"/>
    <tableColumn id="5" xr3:uid="{A8C0FB75-7C59-47EC-A0BF-FE9E0A0ACFB1}" name="Sütun4" dataDxfId="1254"/>
    <tableColumn id="6" xr3:uid="{D5300192-6D7B-4794-AA6E-BAB5CE0891E4}" name="Sütun5" dataDxfId="1253"/>
    <tableColumn id="7" xr3:uid="{546F5F73-A999-481E-9C89-D768C19F038E}" name="1A25" dataDxfId="1252"/>
    <tableColumn id="8" xr3:uid="{73EFF1DF-DB3F-4B4D-B2E5-48C223C7766B}" name="2A25" dataDxfId="1251"/>
    <tableColumn id="9" xr3:uid="{B0EB230E-53CB-4F9D-92D5-1F33E4E57764}" name="3A25" dataDxfId="1250"/>
    <tableColumn id="10" xr3:uid="{29E25408-D9E2-4A7F-ADCD-7B097F6EB1BE}" name="4A25" dataDxfId="1249"/>
    <tableColumn id="11" xr3:uid="{D59D9D31-6E7B-4863-99FD-94CF26B0A2F5}" name="5A25" dataDxfId="1248"/>
    <tableColumn id="12" xr3:uid="{EFC5B17C-8394-4B62-B608-D3A83A614CD4}" name="6A25" dataDxfId="1247"/>
    <tableColumn id="13" xr3:uid="{151C6F18-3F28-4205-A4DC-185F887D3887}" name="7A25" dataDxfId="1246"/>
    <tableColumn id="14" xr3:uid="{7FD7AD76-C6F6-48B8-B036-DF61FF1C9451}" name="8A25" dataDxfId="1245"/>
    <tableColumn id="15" xr3:uid="{B490736A-A9A3-4459-9D76-35373D8C28F9}" name="9A25" dataDxfId="1244"/>
    <tableColumn id="16" xr3:uid="{37F61F4E-4781-46C0-ABBF-191D944A5D95}" name="10A25" dataDxfId="1243"/>
    <tableColumn id="17" xr3:uid="{924D533B-2B06-455D-9935-8EF0601B9BED}" name="11A25" dataDxfId="1242"/>
    <tableColumn id="18" xr3:uid="{52179017-2695-40C9-B319-9D036EF9DAAE}" name="12A25" dataDxfId="1241"/>
    <tableColumn id="19" xr3:uid="{36352552-3EF9-4E6D-8B32-E6172ACD22A9}" name="1A26" dataDxfId="1240"/>
    <tableColumn id="20" xr3:uid="{EDD128B4-ED78-4AD7-B7E2-309A2E4CE88D}" name="2A26" dataDxfId="1239"/>
    <tableColumn id="21" xr3:uid="{0A4A1EBF-CBE8-45A6-A457-E55B5F8F0BA9}" name="3A26 " dataDxfId="1238"/>
    <tableColumn id="22" xr3:uid="{EF27D0DA-BDE6-4F3A-91D2-46ECCE318F75}" name="4A26" dataDxfId="1237"/>
    <tableColumn id="23" xr3:uid="{34439CC5-1D94-4F2E-B7F7-812777703ACF}" name="5A26" dataDxfId="1236"/>
    <tableColumn id="24" xr3:uid="{7CC865B1-18AF-4F5C-805A-D0D448A8A2DE}" name="6A26" dataDxfId="123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AF8BDBB-5A2C-47CF-9391-B0857F7E4CE8}" name="Tablo30" displayName="Tablo30" ref="A22:X26" totalsRowShown="0" headerRowDxfId="1234" dataDxfId="1233">
  <autoFilter ref="A22:X26" xr:uid="{FAF8BDBB-5A2C-47CF-9391-B0857F7E4CE8}"/>
  <tableColumns count="24">
    <tableColumn id="1" xr3:uid="{EA101AC8-B927-4A49-A000-418CAD9A944E}" name="SANTRALLERİN DOLAR BAZLI GELİRLERİ" dataDxfId="1232"/>
    <tableColumn id="2" xr3:uid="{9176BAF0-0AF5-4261-A53B-2D3DB9B3B0F3}" name="Sütun1" dataDxfId="1231"/>
    <tableColumn id="3" xr3:uid="{2A51B8DF-4442-46D0-9039-DE4F7E4FFCF1}" name="Sütun2" dataDxfId="1230"/>
    <tableColumn id="4" xr3:uid="{12AE2111-BC8F-490E-BBF5-3809EA0DE657}" name="Sütun3" dataDxfId="1229"/>
    <tableColumn id="5" xr3:uid="{369BDF53-7CDB-478A-AD3C-A61E554B84AD}" name="Sütun4" dataDxfId="1228"/>
    <tableColumn id="6" xr3:uid="{BFAE6CDE-FE36-40A6-8402-420D18DCBA1C}" name="Sütun5" dataDxfId="1227"/>
    <tableColumn id="7" xr3:uid="{DCEA066B-8B38-46FB-859E-DCB3EF1DD8D3}" name="1A25" dataDxfId="1226" dataCellStyle="Virgül"/>
    <tableColumn id="8" xr3:uid="{2C2117F4-E52A-41E5-9A5A-0F18B8C90FD4}" name="2A25" dataDxfId="1225" dataCellStyle="Virgül"/>
    <tableColumn id="9" xr3:uid="{6BC119DB-2F28-462B-9257-61C4E8B1B101}" name="3A25" dataDxfId="1224" dataCellStyle="Virgül"/>
    <tableColumn id="10" xr3:uid="{CE756617-8223-4D3A-9217-91A1753D8A02}" name="4A25" dataDxfId="1223" dataCellStyle="Virgül"/>
    <tableColumn id="11" xr3:uid="{5D08683D-AD78-4BBC-B9E4-15CF5ECD60D1}" name="5A25" dataDxfId="1222" dataCellStyle="Virgül"/>
    <tableColumn id="12" xr3:uid="{E5963490-0EE2-4E98-8F05-11A9BEEA0A66}" name="6A25" dataDxfId="1221" dataCellStyle="Virgül"/>
    <tableColumn id="13" xr3:uid="{6476674E-FAA5-4D38-9CD6-2D90AF304849}" name="7A25" dataDxfId="1220" dataCellStyle="Virgül"/>
    <tableColumn id="14" xr3:uid="{2AC10DC7-DC64-4AFD-90D4-1A205C7FEB2B}" name="8A25" dataDxfId="1219" dataCellStyle="Virgül"/>
    <tableColumn id="15" xr3:uid="{EAA033B4-AAD5-4E17-828D-3B3E3CC913BC}" name="9A25" dataDxfId="1218" dataCellStyle="Virgül"/>
    <tableColumn id="16" xr3:uid="{0CC8DB0E-5392-4D9A-B4B1-16CAF7CC5283}" name="10A25" dataDxfId="1217" dataCellStyle="Virgül"/>
    <tableColumn id="17" xr3:uid="{AB123C94-CEC0-4C4F-BA02-E5C12D3C7A22}" name="11A25" dataDxfId="1216" dataCellStyle="Virgül"/>
    <tableColumn id="18" xr3:uid="{707EE658-4EE4-4D5E-9C6B-EEA36FD1404D}" name="12A25" dataDxfId="1215" dataCellStyle="Virgül"/>
    <tableColumn id="19" xr3:uid="{149DCA5D-7330-4C5A-89E8-048396A27D70}" name="1A26" dataDxfId="1214" dataCellStyle="Virgül"/>
    <tableColumn id="20" xr3:uid="{85C0AE97-92FF-46A0-9D18-7303D2D34B00}" name="2A26" dataDxfId="1213" dataCellStyle="Virgül"/>
    <tableColumn id="21" xr3:uid="{B630D7F0-D026-45E3-872A-38BF96932BF9}" name="3A26" dataDxfId="1212" dataCellStyle="Virgül"/>
    <tableColumn id="22" xr3:uid="{40A08D8A-DC5E-4D4A-9497-6698088D4002}" name="4A26" dataDxfId="1211" dataCellStyle="Virgül"/>
    <tableColumn id="23" xr3:uid="{3BE5A1C9-6EA1-4EAB-AC29-944E6E1004FE}" name="5A26" dataDxfId="1210" dataCellStyle="Virgül"/>
    <tableColumn id="24" xr3:uid="{CB909030-F248-4C52-ACF8-FD3E805CE88F}" name="6A26" dataDxfId="1209" dataCellStyle="Virgül"/>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2E3AACE-5419-48C6-B7FC-C497D5427824}" name="Tablo31" displayName="Tablo31" ref="A35:X39" totalsRowShown="0" headerRowDxfId="1208" dataDxfId="1207">
  <autoFilter ref="A35:X39" xr:uid="{82E3AACE-5419-48C6-B7FC-C497D5427824}"/>
  <tableColumns count="24">
    <tableColumn id="1" xr3:uid="{9B77FEF2-1E9A-4824-BF7E-54B7E4EBC5D7}" name="SANTRALLERİN TL BAZLI GELİRLERİ" dataDxfId="1206"/>
    <tableColumn id="2" xr3:uid="{17C8BD34-E4BB-43E6-9243-1F119D06C6CE}" name="Sütun1" dataDxfId="1205"/>
    <tableColumn id="3" xr3:uid="{F466E9D0-7287-4DC8-84CF-D8D6A7C25A31}" name="Sütun2" dataDxfId="1204"/>
    <tableColumn id="4" xr3:uid="{F511E004-CF0B-4A25-85B3-E12A798417BD}" name="Sütun3" dataDxfId="1203"/>
    <tableColumn id="5" xr3:uid="{4D86C341-5CD6-428E-8F4E-F82863322E3C}" name="Sütun4" dataDxfId="1202"/>
    <tableColumn id="6" xr3:uid="{A1EE0C2F-02C8-4066-9FBF-47713F7C12AA}" name="Sütun5" dataDxfId="1201"/>
    <tableColumn id="7" xr3:uid="{B652CD49-6412-4663-80B4-70EF99ECBC84}" name="1A25" dataDxfId="1200" dataCellStyle="Virgül"/>
    <tableColumn id="8" xr3:uid="{B75E0371-515B-46FB-9D5C-1F88D0FCC1EC}" name="2A25" dataDxfId="1199" dataCellStyle="Virgül"/>
    <tableColumn id="9" xr3:uid="{EA9B201C-F8AB-47E0-B901-6CB474D54800}" name="3A25" dataDxfId="1198" dataCellStyle="Virgül"/>
    <tableColumn id="10" xr3:uid="{EAA1D512-25DD-4572-BB06-8B7D41BB7F75}" name="4A25" dataDxfId="1197" dataCellStyle="Virgül"/>
    <tableColumn id="11" xr3:uid="{47431BF8-A8AB-42D7-8C43-CAA157B26C61}" name="5A25" dataDxfId="1196" dataCellStyle="Virgül"/>
    <tableColumn id="12" xr3:uid="{11551496-DBC1-44EE-969E-4942EFD9F248}" name="6A25" dataDxfId="1195" dataCellStyle="Virgül"/>
    <tableColumn id="13" xr3:uid="{E1BE85B5-0A30-4E22-9EE1-C94DAC53DD2C}" name="7A25" dataDxfId="1194" dataCellStyle="Virgül"/>
    <tableColumn id="14" xr3:uid="{6525A2D7-2601-4B6E-ADFD-55DEFF331CB8}" name="8A25" dataDxfId="1193" dataCellStyle="Virgül"/>
    <tableColumn id="15" xr3:uid="{1B951F05-C917-4DB4-8929-C190823A722A}" name="9A25" dataDxfId="1192" dataCellStyle="Virgül"/>
    <tableColumn id="16" xr3:uid="{C201955C-FC7C-4B83-BD7E-C243B92B46C4}" name="10A25" dataDxfId="1191" dataCellStyle="Virgül"/>
    <tableColumn id="17" xr3:uid="{47E3EBE4-E2ED-4BFE-95A4-2396E2B3464F}" name="11A25" dataDxfId="1190" dataCellStyle="Virgül"/>
    <tableColumn id="18" xr3:uid="{AE671529-BAA6-4DE8-85A9-C02F5B93844E}" name="12A25" dataDxfId="1189" dataCellStyle="Virgül"/>
    <tableColumn id="19" xr3:uid="{65BF2C8D-7D77-4BEE-9787-A64AD100DFEC}" name="1A26" dataDxfId="1188" dataCellStyle="Virgül"/>
    <tableColumn id="20" xr3:uid="{9644C702-74A8-421B-8C40-6C9E41A09EAB}" name="2A26" dataDxfId="1187" dataCellStyle="Virgül"/>
    <tableColumn id="21" xr3:uid="{05E05649-B6E2-45A7-8DEE-587174349DCA}" name="3A26" dataDxfId="1186" dataCellStyle="Virgül"/>
    <tableColumn id="22" xr3:uid="{2810D8A7-1DB6-431D-AC9A-FF4055F35FC9}" name="4A26" dataDxfId="1185" dataCellStyle="Virgül">
      <calculatedColumnFormula>$V$46*V23</calculatedColumnFormula>
    </tableColumn>
    <tableColumn id="23" xr3:uid="{5A3CAEF9-0032-44B4-89AA-C9AE1001A240}" name="5A26" dataDxfId="1184" dataCellStyle="Virgül">
      <calculatedColumnFormula>$W$46*W23</calculatedColumnFormula>
    </tableColumn>
    <tableColumn id="24" xr3:uid="{2C55FDAB-0B39-4EDC-83FD-41F496EEAF98}" name="6A26" dataDxfId="1183" dataCellStyle="Virgül">
      <calculatedColumnFormula>$X$46*X23</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3814941-ADC7-4248-9A6D-4F69344B0C16}" name="Tablo7" displayName="Tablo7" ref="G1:AD20" totalsRowShown="0" headerRowDxfId="1182" dataDxfId="1181">
  <autoFilter ref="G1:AD20" xr:uid="{E3814941-ADC7-4248-9A6D-4F69344B0C16}"/>
  <tableColumns count="24">
    <tableColumn id="1" xr3:uid="{3F93AE77-C3BE-4190-B22A-34A566F181CE}" name="EPIAS ID" dataDxfId="1180"/>
    <tableColumn id="2" xr3:uid="{F08A7C24-A5DD-46FD-A49D-5E1165A1D818}" name="EIC Kodu" dataDxfId="1179"/>
    <tableColumn id="3" xr3:uid="{18AD34AC-F088-4A87-8665-E9F62E4BAED3}" name="Santral Adı" dataDxfId="1178"/>
    <tableColumn id="4" xr3:uid="{132D222C-2DBC-4499-BEA3-B9D3B287DCFC}" name="Kurulu Güç (MW)" dataDxfId="1177"/>
    <tableColumn id="5" xr3:uid="{781522BB-7364-48D9-B116-E5851AD11771}" name="SATIŞ FİYATİ" dataDxfId="1176"/>
    <tableColumn id="6" xr3:uid="{C7AEE231-F4B4-4817-A5F1-75A0988E039B}" name="SÜRE(YILSONU)" dataDxfId="1175"/>
    <tableColumn id="7" xr3:uid="{FF833103-69A7-4428-82EB-59A8B245D212}" name="1A25" dataDxfId="1174"/>
    <tableColumn id="8" xr3:uid="{64DC72D1-1C26-4DBE-822A-6C8DC3C70DD5}" name="2A25" dataDxfId="1173"/>
    <tableColumn id="9" xr3:uid="{2CCD24B7-8506-4D6D-B282-59B9E2956671}" name="3A25" dataDxfId="1172"/>
    <tableColumn id="10" xr3:uid="{9F895200-C024-48C3-B735-E348C57E59BE}" name="4A25" dataDxfId="1171"/>
    <tableColumn id="11" xr3:uid="{138E8647-F178-40F2-89FA-87AAE3C33652}" name="5A25" dataDxfId="1170"/>
    <tableColumn id="12" xr3:uid="{898891E9-AB12-4130-9A1E-E95576C4CA4B}" name="6A25" dataDxfId="1169"/>
    <tableColumn id="13" xr3:uid="{C11CF944-5486-4BCE-9D86-C8B7D769DD84}" name="7A25" dataDxfId="1168"/>
    <tableColumn id="14" xr3:uid="{BF2934BD-7D0C-4900-B680-7950AA501B7B}" name="8A25" dataDxfId="1167"/>
    <tableColumn id="15" xr3:uid="{2DE1AE66-3D3B-4332-88B9-9EBB77A645C9}" name="9A25" dataDxfId="1166"/>
    <tableColumn id="16" xr3:uid="{85AABBB9-DC41-4062-A7D1-734830344EB2}" name="10A25" dataDxfId="1165"/>
    <tableColumn id="17" xr3:uid="{F6F5EB24-05CA-49BF-8798-1E6DC74B50DB}" name="11A25" dataDxfId="1164"/>
    <tableColumn id="18" xr3:uid="{8FCE706F-725F-4718-9B03-49B6450E0E92}" name="12A25" dataDxfId="1163"/>
    <tableColumn id="19" xr3:uid="{D5506A81-B7AA-4EE3-AB28-A117542D9A69}" name="1A26" dataDxfId="1162"/>
    <tableColumn id="20" xr3:uid="{BDF4453B-4ADF-4C6C-AD7F-9DF6608A7E96}" name="2A26" dataDxfId="1161"/>
    <tableColumn id="21" xr3:uid="{99C6F926-EAAC-4E62-B57E-F32EED5E29E4}" name="3A26" dataDxfId="1160"/>
    <tableColumn id="22" xr3:uid="{AEA2A9BE-DA03-471D-8942-72DE8587D630}" name="4A26" dataDxfId="1159"/>
    <tableColumn id="23" xr3:uid="{EAD56921-A7B2-4325-B42A-AD5647D228E6}" name="5A26" dataDxfId="1158"/>
    <tableColumn id="24" xr3:uid="{66169D72-0853-473F-8198-A497F7183129}" name="6A26" dataDxfId="115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87E0388-18E6-4FC2-9588-FAD5124EB30C}" name="Tablo32" displayName="Tablo32" ref="I29:AD48" totalsRowShown="0" headerRowDxfId="1156" headerRowCellStyle="Virgül" dataCellStyle="Virgül">
  <autoFilter ref="I29:AD48" xr:uid="{E87E0388-18E6-4FC2-9588-FAD5124EB30C}"/>
  <tableColumns count="22">
    <tableColumn id="1" xr3:uid="{87776348-964E-4C98-89DE-0F37EE27095A}" name="SANTRALLERİN DOLAR BAZLI GETİRİLERİ" dataDxfId="1155" dataCellStyle="Virgül"/>
    <tableColumn id="2" xr3:uid="{E5D2D8B3-CC49-4348-857C-C2C51FAF2546}" name="Sütun1" dataDxfId="1154" dataCellStyle="Virgül"/>
    <tableColumn id="3" xr3:uid="{D6BD2758-DD1A-4D0C-949C-95CBA9E87480}" name="Sütun2" dataDxfId="1153" dataCellStyle="Virgül"/>
    <tableColumn id="4" xr3:uid="{967DC3CB-BDF9-4186-BDDF-DFD1EEA07948}" name="Sütun3" dataDxfId="1152" dataCellStyle="Virgül"/>
    <tableColumn id="5" xr3:uid="{954C6282-D274-4AB5-8032-065485858C81}" name="1A25" dataCellStyle="Virgül"/>
    <tableColumn id="6" xr3:uid="{EC7301B3-0F64-448D-9D28-3CCFCA8BA065}" name="2A25" dataCellStyle="Virgül"/>
    <tableColumn id="7" xr3:uid="{9BC49E31-FBA2-4CC3-A539-0AD781B6D3D5}" name="3A25" dataCellStyle="Virgül"/>
    <tableColumn id="8" xr3:uid="{C66A910F-9CF0-4DAD-8202-24AF63F6928F}" name="4A25" dataCellStyle="Virgül"/>
    <tableColumn id="9" xr3:uid="{105C8389-9EAB-4784-BF7E-149EB34430DC}" name="5A25" dataCellStyle="Virgül"/>
    <tableColumn id="10" xr3:uid="{92D5CEE5-222E-4C7D-B5EA-BC08C590C7D6}" name="6A25" dataCellStyle="Virgül"/>
    <tableColumn id="11" xr3:uid="{F3F16F62-950D-4740-B787-BC813956F41E}" name="7A25" dataCellStyle="Virgül"/>
    <tableColumn id="12" xr3:uid="{E3048193-216D-4A2A-9419-E1615A5941F9}" name="8A25" dataCellStyle="Virgül"/>
    <tableColumn id="13" xr3:uid="{0096B6D4-ED9B-497C-AC01-B28A3CB81E27}" name="9A25" dataCellStyle="Virgül"/>
    <tableColumn id="14" xr3:uid="{1B85671A-066C-459E-BF88-E0B7A3125F16}" name="10A25" dataCellStyle="Virgül"/>
    <tableColumn id="15" xr3:uid="{F8BF9AE1-35DF-438E-9DBF-FD3C100955AE}" name="11A25" dataCellStyle="Virgül"/>
    <tableColumn id="16" xr3:uid="{61F49C6A-C861-4D94-8D0B-FC6F779CF457}" name="12A25" dataCellStyle="Virgül"/>
    <tableColumn id="17" xr3:uid="{8F7F8C00-9D92-4A7E-BB9A-EBC0F330A8AA}" name="1A26" dataCellStyle="Virgül"/>
    <tableColumn id="18" xr3:uid="{97A685AA-6145-447A-8136-59E228FFF501}" name="2A26" dataCellStyle="Virgül"/>
    <tableColumn id="19" xr3:uid="{9648C846-35E2-4E20-BF83-ACE7C121649F}" name="3A26" dataCellStyle="Virgül"/>
    <tableColumn id="20" xr3:uid="{0806D2EE-AC99-4D50-B279-AC965C84D67F}" name="4A26" dataCellStyle="Virgül"/>
    <tableColumn id="21" xr3:uid="{5A4E8E63-1303-4EC6-BC2E-B19E7EAC8EF6}" name="5A26" dataCellStyle="Virgül"/>
    <tableColumn id="22" xr3:uid="{A41C9B8B-C868-46EE-A622-9DAD417714A5}" name="6A26" dataCellStyle="Virgül"/>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69AD8AA-00BA-4F6A-A275-B5ABE4EBE6A5}" name="Tablo33" displayName="Tablo33" ref="I58:AD77" totalsRowShown="0" headerRowDxfId="1151" dataDxfId="1150" headerRowCellStyle="Virgül" dataCellStyle="Virgül">
  <autoFilter ref="I58:AD77" xr:uid="{D69AD8AA-00BA-4F6A-A275-B5ABE4EBE6A5}"/>
  <tableColumns count="22">
    <tableColumn id="1" xr3:uid="{6A432A74-8C93-40A1-A7BA-94E4D507C6FC}" name="SANTRALLERİN TL BAZLI GETİRİLERİ" dataDxfId="1149" dataCellStyle="Virgül"/>
    <tableColumn id="2" xr3:uid="{79084603-E73B-464C-92AE-62119FB5731C}" name="Sütun1" dataDxfId="1148" dataCellStyle="Virgül"/>
    <tableColumn id="3" xr3:uid="{B2EB0BAF-D30B-46D4-836F-CABADD0E573E}" name="Sütun2" dataDxfId="1147" dataCellStyle="Virgül"/>
    <tableColumn id="4" xr3:uid="{5E1BB51F-742E-46E6-A73E-E3F3CFC0C4CA}" name="Sütun3" dataDxfId="1146" dataCellStyle="Virgül"/>
    <tableColumn id="5" xr3:uid="{07E1C618-1FF9-42D4-B3F0-648FB352B12E}" name="1A25" dataDxfId="1145" dataCellStyle="Virgül"/>
    <tableColumn id="6" xr3:uid="{07D05CD0-9A9F-40F5-ABE7-2C840FA09D01}" name="2A25" dataDxfId="1144" dataCellStyle="Virgül"/>
    <tableColumn id="7" xr3:uid="{2FCE214F-C931-4229-BAAA-FE19003DCA61}" name="3A25" dataDxfId="1143" dataCellStyle="Virgül"/>
    <tableColumn id="8" xr3:uid="{E53A894A-CB8F-4795-8DCF-AFDD7BD93B62}" name="4A25" dataDxfId="1142" dataCellStyle="Virgül"/>
    <tableColumn id="9" xr3:uid="{936538DD-81AD-4CFB-9FE9-D23A01F827E0}" name="5A25" dataDxfId="1141" dataCellStyle="Virgül"/>
    <tableColumn id="10" xr3:uid="{03BD2809-3B3F-46CB-9EBE-C9CED1E67441}" name="6A25" dataDxfId="1140" dataCellStyle="Virgül"/>
    <tableColumn id="11" xr3:uid="{4EE05831-F1E8-442E-8BAE-4A2C1070746E}" name="7A25" dataDxfId="1139" dataCellStyle="Virgül"/>
    <tableColumn id="12" xr3:uid="{E43ACA99-A476-41E6-824E-22FF9DB1C17D}" name="8A25" dataDxfId="1138" dataCellStyle="Virgül"/>
    <tableColumn id="13" xr3:uid="{EC7676B6-9C38-4FF1-BB73-687D366C5C69}" name="9A25" dataDxfId="1137" dataCellStyle="Virgül"/>
    <tableColumn id="14" xr3:uid="{643F3F32-43DC-49D8-A263-01F80864A474}" name="10A25" dataDxfId="1136" dataCellStyle="Virgül"/>
    <tableColumn id="15" xr3:uid="{BDFD44A9-8013-463D-8511-821C16ED5F7D}" name="11A25" dataDxfId="1135" dataCellStyle="Virgül"/>
    <tableColumn id="16" xr3:uid="{6B8FF46E-DB17-4477-A23C-3416DD91B00B}" name="12A25" dataDxfId="1134" dataCellStyle="Virgül"/>
    <tableColumn id="17" xr3:uid="{BF19AF3E-6425-49F0-8432-EC2B0FD1629E}" name="1A26" dataDxfId="1133" dataCellStyle="Virgül"/>
    <tableColumn id="18" xr3:uid="{9C23E629-4668-4BF5-9709-D375B1CDF306}" name="2A26" dataDxfId="1132" dataCellStyle="Virgül"/>
    <tableColumn id="19" xr3:uid="{6CC6F772-76A2-46F1-9DA5-4F818D81470A}" name="3A26" dataDxfId="1131" dataCellStyle="Virgül"/>
    <tableColumn id="20" xr3:uid="{2DAA42A1-40F6-469B-95E0-115C09B3C649}" name="4A26" dataDxfId="1130" dataCellStyle="Virgül"/>
    <tableColumn id="21" xr3:uid="{C20B9456-2255-4FBE-A5AC-AB30DF866E7A}" name="5A26" dataDxfId="1129" dataCellStyle="Virgül"/>
    <tableColumn id="22" xr3:uid="{895DF3E4-68BA-4DDD-9B1A-94CBCD7E762F}" name="6A26" dataDxfId="1128" dataCellStyle="Virgül"/>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062422C-4902-446B-9F87-C5DD013EE7E7}" name="Tablo8" displayName="Tablo8" ref="A1:X8" totalsRowShown="0" headerRowDxfId="1127" dataDxfId="1126">
  <autoFilter ref="A1:X8" xr:uid="{1062422C-4902-446B-9F87-C5DD013EE7E7}"/>
  <tableColumns count="24">
    <tableColumn id="1" xr3:uid="{2CB86C31-7710-4292-B8E3-6E8F17A6FF3C}" name="SANTRAL ADI" dataDxfId="1125"/>
    <tableColumn id="2" xr3:uid="{CC740E4C-6C01-4A50-96B0-22FB5DA963F7}" name="KURULU GÜÇ" dataDxfId="1124"/>
    <tableColumn id="3" xr3:uid="{AD3A6ECF-9054-4E8A-817E-287A22E506DE}" name="EIC KODU" dataDxfId="1123"/>
    <tableColumn id="4" xr3:uid="{640A420E-66AF-4F91-8A65-64B6B531D51B}" name="ID" dataDxfId="1122"/>
    <tableColumn id="5" xr3:uid="{A8438B12-BD97-439C-B5E5-EE3B23DC332E}" name="SATIŞ FİYATI" dataDxfId="1121"/>
    <tableColumn id="6" xr3:uid="{C6F060AE-47C4-4F2E-8A81-23D18678DF80}" name="SÜRE (YIL SONU)" dataDxfId="1120"/>
    <tableColumn id="7" xr3:uid="{1B9165A5-DEA9-45E5-900F-6C9713F906D3}" name="1A25" dataDxfId="1119"/>
    <tableColumn id="8" xr3:uid="{5B9D2C71-ECF8-4E6A-8E31-A2EEBB700ED0}" name="2A25" dataDxfId="1118"/>
    <tableColumn id="9" xr3:uid="{72F79480-292B-45E5-98C7-93895A645EE5}" name="3A25" dataDxfId="1117"/>
    <tableColumn id="10" xr3:uid="{D447565B-BAAE-40F1-B779-1AF8C03441BE}" name="4A25" dataDxfId="1116"/>
    <tableColumn id="11" xr3:uid="{4AAF303B-8460-4F3C-A0B5-C40E55FC538C}" name="5A25" dataDxfId="1115"/>
    <tableColumn id="12" xr3:uid="{A28DAF61-1CEB-415D-9DBC-D9FC14653012}" name="6A25" dataDxfId="1114"/>
    <tableColumn id="13" xr3:uid="{142D4716-477E-4947-B66A-C5105178349E}" name="7A25" dataDxfId="1113"/>
    <tableColumn id="14" xr3:uid="{FC944444-2555-4588-AC68-659675A484C8}" name="8A25" dataDxfId="1112"/>
    <tableColumn id="15" xr3:uid="{C1B92BE0-E59C-4CBD-9AEC-91F00D3CC58F}" name="9A25" dataDxfId="1111"/>
    <tableColumn id="16" xr3:uid="{465631FE-868D-40FF-8EC6-B0F04347DBDB}" name="10A25" dataDxfId="1110"/>
    <tableColumn id="17" xr3:uid="{17D2A779-977D-44F0-9FF0-580AA2696599}" name="11A25" dataDxfId="1109"/>
    <tableColumn id="18" xr3:uid="{8F829080-A34C-4138-A863-61403B8642E1}" name="12A25" dataDxfId="1108"/>
    <tableColumn id="19" xr3:uid="{238CF8E2-EFC7-4EEB-847D-5D703ADE6C4C}" name="1A26" dataDxfId="1107"/>
    <tableColumn id="20" xr3:uid="{5CFDAB5A-64A9-4394-A22F-983FED544E65}" name="2A26" dataDxfId="1106"/>
    <tableColumn id="21" xr3:uid="{4CE2C366-1171-443F-B129-627AD0563529}" name="3A26" dataDxfId="1105"/>
    <tableColumn id="22" xr3:uid="{C8B26049-B118-406D-9C8C-5310772BA10D}" name="4A26" dataDxfId="1104"/>
    <tableColumn id="23" xr3:uid="{C3989083-6D59-4DBB-9BFC-45614DC77FFA}" name="5A26" dataDxfId="1103"/>
    <tableColumn id="24" xr3:uid="{F2201A0E-9C65-4351-9259-06B426A404EA}" name="6A26" dataDxfId="110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255024FA-E516-441A-873D-87A223266FE2}" name="Tablo34" displayName="Tablo34" ref="A22:X29" totalsRowShown="0" headerRowDxfId="1101" dataDxfId="1100">
  <autoFilter ref="A22:X29" xr:uid="{255024FA-E516-441A-873D-87A223266FE2}"/>
  <tableColumns count="24">
    <tableColumn id="1" xr3:uid="{30DCDF95-A730-4B0A-AF29-D6A1D9B2D006}" name="SANTRALLERİN DOLAR BAZLI GETİRİLERİ" dataDxfId="1099"/>
    <tableColumn id="2" xr3:uid="{3CA50C41-29D8-4F4D-A254-0C7BB0BBE4AF}" name="Sütun1" dataDxfId="1098"/>
    <tableColumn id="3" xr3:uid="{CB4D1D11-73D4-4B18-AFE9-236FA53CFBB4}" name="Sütun2" dataDxfId="1097"/>
    <tableColumn id="4" xr3:uid="{9A743678-632C-48F5-AF91-8FB2CAA003C0}" name="Sütun3" dataDxfId="1096"/>
    <tableColumn id="5" xr3:uid="{C845584D-B2F4-4F84-A908-5BC2A0F5CC0A}" name="Sütun4" dataDxfId="1095"/>
    <tableColumn id="6" xr3:uid="{BE57D893-BF60-44C6-9826-B593F7A9B640}" name="Sütun5" dataDxfId="1094"/>
    <tableColumn id="7" xr3:uid="{E2E56B51-C017-4B14-BD4B-D0A26ED034E6}" name="1A25" dataDxfId="1093" dataCellStyle="Virgül"/>
    <tableColumn id="8" xr3:uid="{9114F04C-B6BA-4930-8EF8-90882345612F}" name="2A25" dataDxfId="1092" dataCellStyle="Virgül"/>
    <tableColumn id="9" xr3:uid="{A5924C97-5140-4472-AF5D-5B613CE5BD10}" name="3A25" dataDxfId="1091" dataCellStyle="Virgül"/>
    <tableColumn id="10" xr3:uid="{7B3A7386-EEA7-4A1A-B153-D15E3BA5A946}" name="4A25" dataDxfId="1090" dataCellStyle="Virgül"/>
    <tableColumn id="11" xr3:uid="{77A142E1-5C8F-492F-8594-EC8C84D7C8B6}" name="5A25" dataDxfId="1089" dataCellStyle="Virgül"/>
    <tableColumn id="12" xr3:uid="{B7579380-C01E-4BA6-9638-BD405A4D52CD}" name="6A25" dataDxfId="1088" dataCellStyle="Virgül"/>
    <tableColumn id="13" xr3:uid="{CB8E8885-4F10-45E9-96FF-9FE822909EFA}" name="7A25" dataDxfId="1087" dataCellStyle="Virgül"/>
    <tableColumn id="14" xr3:uid="{A4118347-E78E-4DB0-A4A0-97CCFEF58FB3}" name="8A25" dataDxfId="1086" dataCellStyle="Virgül"/>
    <tableColumn id="15" xr3:uid="{5BCA57E1-B2E9-41DD-A653-C09DECC74DC4}" name="9A25" dataDxfId="1085" dataCellStyle="Virgül"/>
    <tableColumn id="16" xr3:uid="{F547A39E-94C1-4D9C-958F-C930413B752A}" name="10A25" dataDxfId="1084" dataCellStyle="Virgül"/>
    <tableColumn id="17" xr3:uid="{286573D1-C450-424B-8899-F9D3EE31B6D1}" name="11A25" dataDxfId="1083" dataCellStyle="Virgül"/>
    <tableColumn id="18" xr3:uid="{4C248906-6B4D-4303-9ACB-C1F413403EA8}" name="12A25" dataDxfId="1082" dataCellStyle="Virgül"/>
    <tableColumn id="19" xr3:uid="{CDB82519-8FD9-4874-AC7A-D7C62D8BFC08}" name="1A26" dataDxfId="1081" dataCellStyle="Virgül"/>
    <tableColumn id="20" xr3:uid="{C91EBB24-58D8-4AA0-A21A-62070A82F927}" name="2A26" dataDxfId="1080" dataCellStyle="Virgül"/>
    <tableColumn id="21" xr3:uid="{0DF26155-590F-4740-BFCC-76942E5DE634}" name="3A26" dataDxfId="1079" dataCellStyle="Virgül"/>
    <tableColumn id="22" xr3:uid="{40E5DD82-FD0F-43BA-9051-D2A8B7951BC7}" name="4A26" dataDxfId="1078" dataCellStyle="Virgül"/>
    <tableColumn id="23" xr3:uid="{78BF6C44-9AAD-4CF5-B2D7-24D7F521EF27}" name="5A26" dataDxfId="1077" dataCellStyle="Virgül"/>
    <tableColumn id="24" xr3:uid="{F1EDCF89-BB4B-4FB2-9BEF-3FB841687C49}" name="6A26" dataDxfId="1076" dataCellStyle="Virgül"/>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2A66CB0-2942-41F5-B0DD-40234DE987F6}" name="Tablo35" displayName="Tablo35" ref="A40:X47" totalsRowShown="0" headerRowDxfId="1075" dataDxfId="1074">
  <autoFilter ref="A40:X47" xr:uid="{22A66CB0-2942-41F5-B0DD-40234DE987F6}"/>
  <tableColumns count="24">
    <tableColumn id="1" xr3:uid="{14EBFD4F-CCF0-4508-A01F-94602FDCFF54}" name="SANTRALLERİN TL BAZLI GETİRİLERİ" dataDxfId="1073"/>
    <tableColumn id="2" xr3:uid="{9A4DD325-48DC-41B7-B9BA-F2D1AF1EBB14}" name="Sütun1" dataDxfId="1072"/>
    <tableColumn id="3" xr3:uid="{84B2002C-1FC6-4DA7-9335-3DF4FF9CABFD}" name="Sütun2" dataDxfId="1071"/>
    <tableColumn id="4" xr3:uid="{ACCE3762-609B-48DA-BDAC-5330DA13FFC3}" name="Sütun3" dataDxfId="1070"/>
    <tableColumn id="5" xr3:uid="{C68E04EB-7D7D-450E-ADEA-209C47C418D7}" name="Sütun4" dataDxfId="1069"/>
    <tableColumn id="6" xr3:uid="{5D1BF2FE-A6DD-4F86-9004-3B937467E211}" name="Sütun5" dataDxfId="1068"/>
    <tableColumn id="7" xr3:uid="{D12575FC-2743-40C8-BA64-BD006F935F77}" name="1A25" dataDxfId="1067" dataCellStyle="Virgül"/>
    <tableColumn id="8" xr3:uid="{53E7F925-278B-437A-8FE8-F37A4A20BBE0}" name="2A25" dataDxfId="1066" dataCellStyle="Virgül"/>
    <tableColumn id="9" xr3:uid="{13A022FF-08A2-4EC1-AF95-C086E5D8CCD6}" name="3A25" dataDxfId="1065" dataCellStyle="Virgül"/>
    <tableColumn id="10" xr3:uid="{50059F06-E11D-44DD-9067-0A24A961A2D2}" name="4A25" dataDxfId="1064" dataCellStyle="Virgül"/>
    <tableColumn id="11" xr3:uid="{C4066BE3-B172-42F3-AF9E-D1C27B721443}" name="5A25" dataDxfId="1063" dataCellStyle="Virgül"/>
    <tableColumn id="12" xr3:uid="{F319C8C8-DBE1-4C15-AB29-546AAEEAC564}" name="6A25" dataDxfId="1062" dataCellStyle="Virgül"/>
    <tableColumn id="13" xr3:uid="{32BEEFAC-D7B1-4F6B-8C07-8ED42B0C85CB}" name="7A25" dataDxfId="1061" dataCellStyle="Virgül"/>
    <tableColumn id="14" xr3:uid="{47C1C4D1-F7E2-4BB2-ADD2-BF2237AEADCE}" name="8A25" dataDxfId="1060" dataCellStyle="Virgül"/>
    <tableColumn id="15" xr3:uid="{FEB9BD43-55A6-4B5F-98BF-4F0CB3395F4D}" name="9A25" dataDxfId="1059" dataCellStyle="Virgül"/>
    <tableColumn id="16" xr3:uid="{95C74429-4D0E-44AB-8145-405E816093D4}" name="10A25" dataDxfId="1058" dataCellStyle="Virgül"/>
    <tableColumn id="17" xr3:uid="{2FF4ABA1-01AE-4972-A31C-025761363E77}" name="11A25" dataDxfId="1057" dataCellStyle="Virgül"/>
    <tableColumn id="18" xr3:uid="{57B1E822-AFFC-45C5-A2EF-E4A7AD09271D}" name="12A25" dataDxfId="1056" dataCellStyle="Virgül"/>
    <tableColumn id="19" xr3:uid="{8284E0A3-39DC-4732-B6C7-AFAB7622A114}" name="1A26" dataDxfId="1055" dataCellStyle="Virgül"/>
    <tableColumn id="20" xr3:uid="{84213D1A-E09D-442F-A4FB-16F23F2B3A59}" name="2A26" dataDxfId="1054" dataCellStyle="Virgül"/>
    <tableColumn id="21" xr3:uid="{C1D2F633-62C6-45B1-8264-62E83FD235EA}" name="3A26" dataDxfId="1053" dataCellStyle="Virgül"/>
    <tableColumn id="22" xr3:uid="{BFB4ADF0-CC9B-4921-8826-55D0C8E652CF}" name="4A26" dataDxfId="1052" dataCellStyle="Virgül"/>
    <tableColumn id="23" xr3:uid="{8EB9168A-F0B2-4CF3-98DA-EEF360E7A150}" name="5A26" dataDxfId="1051" dataCellStyle="Virgül"/>
    <tableColumn id="24" xr3:uid="{ADB763D9-21C2-4541-90AF-AFEC59D07A4C}" name="6A26" dataDxfId="1050" dataCellStyle="Virgül"/>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725A57-58ED-46A9-9476-78B48263F725}" name="Tablo9" displayName="Tablo9" ref="A1:X16" totalsRowShown="0" headerRowDxfId="1049" dataDxfId="1048">
  <autoFilter ref="A1:X16" xr:uid="{AF725A57-58ED-46A9-9476-78B48263F725}"/>
  <tableColumns count="24">
    <tableColumn id="1" xr3:uid="{D433FF80-36E0-4356-960A-EB15BA8DA137}" name="SANTRAL ADI" dataDxfId="1047"/>
    <tableColumn id="2" xr3:uid="{A81D611A-B5AF-42F2-9970-3F06504C0E92}" name="KURULU GÜÇ" dataDxfId="1046"/>
    <tableColumn id="3" xr3:uid="{E12A3CFD-750F-485F-AF8D-8780403C86FB}" name="EIC KODU" dataDxfId="1045"/>
    <tableColumn id="4" xr3:uid="{D340DDE2-D153-4B93-B449-983EF8665B4D}" name="ID" dataDxfId="1044"/>
    <tableColumn id="5" xr3:uid="{45372627-DC06-40FE-ABD9-F8DD87DBD028}" name="SATIŞ FİYATI" dataDxfId="1043"/>
    <tableColumn id="6" xr3:uid="{B5B00679-37B1-42ED-9E59-7F5714FE256F}" name="SÜRE (YIL SONU)" dataDxfId="1042"/>
    <tableColumn id="7" xr3:uid="{F1297DB1-04E8-488D-8EC9-F39F5E7442FA}" name="1A25" dataDxfId="1041"/>
    <tableColumn id="8" xr3:uid="{739558BE-D562-4B59-9D91-18AD88F89950}" name="2A25" dataDxfId="1040"/>
    <tableColumn id="9" xr3:uid="{EA9AEA06-B403-438F-83BA-3EEDEC4C1F1F}" name="3A25" dataDxfId="1039"/>
    <tableColumn id="10" xr3:uid="{48EEAA34-2F94-42EB-8605-E34B1F6B3210}" name="4A25" dataDxfId="1038"/>
    <tableColumn id="11" xr3:uid="{F756B4AD-84CB-48E0-992A-21F7E913D1CA}" name="5A25" dataDxfId="1037"/>
    <tableColumn id="12" xr3:uid="{51DA32AE-C643-427E-8CB1-1F93EC01EB22}" name="6A25" dataDxfId="1036"/>
    <tableColumn id="13" xr3:uid="{5CB7D812-2B81-45F2-BAA2-CD200EDD5C2D}" name="7A25" dataDxfId="1035"/>
    <tableColumn id="14" xr3:uid="{45AFA431-3117-46EB-A1F7-6DE8005F02DD}" name="8A25" dataDxfId="1034"/>
    <tableColumn id="15" xr3:uid="{C7B22694-09B0-4951-9E8A-45835F100A9C}" name="9A25" dataDxfId="1033"/>
    <tableColumn id="16" xr3:uid="{CAEBCAAB-CF84-4E7A-A73A-90620DB7A0DF}" name="10A25" dataDxfId="1032"/>
    <tableColumn id="17" xr3:uid="{9668F641-235E-4A15-8D90-B189C230EF9F}" name="11A25" dataDxfId="1031"/>
    <tableColumn id="18" xr3:uid="{923CC2A7-F7F0-43C3-9580-867C82E36DC6}" name="12A25" dataDxfId="1030"/>
    <tableColumn id="19" xr3:uid="{F72A0E70-ED4A-4909-9B4D-3AD940DF09BD}" name="1A26" dataDxfId="1029"/>
    <tableColumn id="20" xr3:uid="{380FF831-6775-4A4C-AC55-13D04D805626}" name="2A26" dataDxfId="1028"/>
    <tableColumn id="21" xr3:uid="{C27D2111-2B11-4F6A-A922-B75DAA2A15CC}" name="3A26" dataDxfId="1027"/>
    <tableColumn id="22" xr3:uid="{75A83B54-F350-4E02-82A9-E4E651EF442B}" name="4A26" dataDxfId="1026"/>
    <tableColumn id="23" xr3:uid="{DFB37835-E60E-404A-BC57-700722677124}" name="5A26" dataDxfId="1025"/>
    <tableColumn id="24" xr3:uid="{B4976668-EB85-4C0D-8EEA-E7A389CEAC25}" name="6A26" dataDxfId="1024"/>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9397B27-B3A6-4662-A043-9C4D65C30F7A}" name="Tablo36" displayName="Tablo36" ref="A27:X31" totalsRowShown="0" headerRowDxfId="1023" dataDxfId="1022">
  <autoFilter ref="A27:X31" xr:uid="{09397B27-B3A6-4662-A043-9C4D65C30F7A}"/>
  <tableColumns count="24">
    <tableColumn id="1" xr3:uid="{BF0FDC25-863B-4FA2-8554-EFA7799A35F0}" name="SANTRALLERİN DOLAR BAZLI GETİRİLERİ" dataDxfId="1021"/>
    <tableColumn id="2" xr3:uid="{5E47103C-5343-4F99-AF45-5135A13C6C00}" name="Sütun1" dataDxfId="1020"/>
    <tableColumn id="3" xr3:uid="{07935C42-7947-4D99-B7DC-5F28ED14E441}" name="Sütun2" dataDxfId="1019"/>
    <tableColumn id="4" xr3:uid="{491910B6-D013-4100-9639-1D22437FF347}" name="Sütun3" dataDxfId="1018"/>
    <tableColumn id="5" xr3:uid="{B110735F-38F3-44A8-9B3D-7172D6C092CB}" name="Sütun4" dataDxfId="1017"/>
    <tableColumn id="6" xr3:uid="{220CE97B-C963-4507-92B5-580450ED0747}" name="Sütun5" dataDxfId="1016"/>
    <tableColumn id="7" xr3:uid="{63A82F7F-C86C-45E7-83D6-7499DB740665}" name="1A25" dataDxfId="1015" dataCellStyle="Virgül"/>
    <tableColumn id="8" xr3:uid="{E734022F-A284-4DDE-9A6F-B7755D23F8C8}" name="2A25" dataDxfId="1014" dataCellStyle="Virgül"/>
    <tableColumn id="9" xr3:uid="{BE834AA6-CFF2-4DC6-969C-B0F6841D6476}" name="3A25" dataDxfId="1013" dataCellStyle="Virgül"/>
    <tableColumn id="10" xr3:uid="{947005AD-4CF1-4C2E-B548-D6966197FFC3}" name="4A25" dataDxfId="1012" dataCellStyle="Virgül"/>
    <tableColumn id="11" xr3:uid="{5C7F2AA8-1752-409B-BE69-6A9FFBBCD637}" name="5A25" dataDxfId="1011" dataCellStyle="Virgül"/>
    <tableColumn id="12" xr3:uid="{5F2E6D24-3977-4B04-A19B-096E77337E2B}" name="6A25" dataDxfId="1010" dataCellStyle="Virgül"/>
    <tableColumn id="13" xr3:uid="{8B803F05-FAE1-4B0E-BEFB-82BFC6577B4A}" name="7A25" dataDxfId="1009" dataCellStyle="Virgül"/>
    <tableColumn id="14" xr3:uid="{5BF6E6DD-2B78-476D-9EDA-EA752F58CE27}" name="8A25" dataDxfId="1008" dataCellStyle="Virgül"/>
    <tableColumn id="15" xr3:uid="{A13FDBB9-6C28-449A-8838-1A231F99E478}" name="9A25" dataDxfId="1007" dataCellStyle="Virgül"/>
    <tableColumn id="16" xr3:uid="{CB8613C3-1FC0-4518-AD26-B89CB2C68115}" name="10A25" dataDxfId="1006" dataCellStyle="Virgül"/>
    <tableColumn id="17" xr3:uid="{8C4F73D6-498C-4087-89AA-480090DFA771}" name="11A25" dataDxfId="1005" dataCellStyle="Virgül"/>
    <tableColumn id="18" xr3:uid="{56F4EF4F-DD0C-46CC-9366-3704FAB5929A}" name="12A25" dataDxfId="1004" dataCellStyle="Virgül"/>
    <tableColumn id="19" xr3:uid="{B7432455-4A26-4F08-8E35-D9A1F2C2262C}" name="1A26" dataDxfId="1003" dataCellStyle="Virgül"/>
    <tableColumn id="20" xr3:uid="{743C6862-2D66-48B8-B82D-2214AF73BA3A}" name="2A26" dataDxfId="1002" dataCellStyle="Virgül"/>
    <tableColumn id="21" xr3:uid="{39F2B0BF-2DF1-429D-BF7A-2F9F578C476F}" name="3A26" dataDxfId="1001" dataCellStyle="Virgül"/>
    <tableColumn id="22" xr3:uid="{C1B5AB44-5E35-4F33-A9E4-04D3D3D361DE}" name="4A26" dataDxfId="1000" dataCellStyle="Virgül"/>
    <tableColumn id="23" xr3:uid="{B9221CDC-5318-487F-9FB7-33300EA4DD4F}" name="5A26" dataDxfId="999" dataCellStyle="Virgül"/>
    <tableColumn id="24" xr3:uid="{1E271E78-F8E2-47A8-BCEC-0E0DAB84FED1}" name="6A26" dataDxfId="998" dataCellStyle="Virgül"/>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EB4797B-8A63-4251-BDE6-C4B2CBE2D70A}" name="Tablo37" displayName="Tablo37" ref="A41:X45" totalsRowShown="0" headerRowDxfId="997" dataDxfId="996">
  <autoFilter ref="A41:X45" xr:uid="{BEB4797B-8A63-4251-BDE6-C4B2CBE2D70A}"/>
  <tableColumns count="24">
    <tableColumn id="1" xr3:uid="{925FB07D-4F9C-4B41-8A4B-35889D75BC1B}" name="SANTRALLERİN TL BAZLI GETİRİLERİ" dataDxfId="995"/>
    <tableColumn id="2" xr3:uid="{E27D9787-FDDD-49B2-A912-7488FE838CDE}" name="Sütun1" dataDxfId="994"/>
    <tableColumn id="3" xr3:uid="{D08166B8-3F32-4290-B514-4924702DC203}" name="Sütun2" dataDxfId="993"/>
    <tableColumn id="4" xr3:uid="{D6367D72-08DE-4F5F-AE19-6D4575AABEDF}" name="Sütun3" dataDxfId="992"/>
    <tableColumn id="5" xr3:uid="{0A80E5FA-5865-4C75-B0EE-8171A9E4CAEC}" name="Sütun4" dataDxfId="991"/>
    <tableColumn id="6" xr3:uid="{5764781A-825F-4168-AF2F-D421831E980A}" name="Sütun5" dataDxfId="990"/>
    <tableColumn id="7" xr3:uid="{975D081E-023D-4A24-9B39-A42FDC1CAEBE}" name="1A25" dataDxfId="989" dataCellStyle="Virgül"/>
    <tableColumn id="8" xr3:uid="{ADD4A159-462C-4F42-9887-BC00C044E8BE}" name="2A25" dataDxfId="988" dataCellStyle="Virgül"/>
    <tableColumn id="9" xr3:uid="{A69F3745-46A3-404D-940C-0F96661B86FE}" name="3A25" dataDxfId="987" dataCellStyle="Virgül"/>
    <tableColumn id="10" xr3:uid="{047FFBFB-F62D-4997-9C45-D8D5B51BD4D4}" name="4A25" dataDxfId="986" dataCellStyle="Virgül"/>
    <tableColumn id="11" xr3:uid="{CB854BE5-985F-44A9-A8E0-72EDB8CCEC8E}" name="5A25" dataDxfId="985" dataCellStyle="Virgül"/>
    <tableColumn id="12" xr3:uid="{0F415BDD-ACA1-4018-905C-FBC61D87B1E0}" name="6A25" dataDxfId="984" dataCellStyle="Virgül"/>
    <tableColumn id="13" xr3:uid="{3EE03118-00F0-4A54-919D-2EBC9FB9A07F}" name="7A25" dataDxfId="983" dataCellStyle="Virgül"/>
    <tableColumn id="14" xr3:uid="{FFCD512D-DA66-4ED2-B3E3-6F8493A866EC}" name="8A25" dataDxfId="982" dataCellStyle="Virgül"/>
    <tableColumn id="15" xr3:uid="{BFDAED66-CFC4-4638-98F4-06CED9851794}" name="9A25" dataDxfId="981" dataCellStyle="Virgül"/>
    <tableColumn id="16" xr3:uid="{A85B7EEF-5D48-418C-B54E-78EDD373282C}" name="10A25" dataDxfId="980" dataCellStyle="Virgül"/>
    <tableColumn id="17" xr3:uid="{C81F3B8D-4218-40A7-A877-7A100CD665D5}" name="11A25" dataDxfId="979" dataCellStyle="Virgül"/>
    <tableColumn id="18" xr3:uid="{8D96FAA1-33EA-4543-94E6-6F71F82DA539}" name="12A25" dataDxfId="978" dataCellStyle="Virgül"/>
    <tableColumn id="19" xr3:uid="{DAD84419-CD3D-4CB6-859E-8FCDDC922774}" name="1A26" dataDxfId="977" dataCellStyle="Virgül"/>
    <tableColumn id="20" xr3:uid="{A0B140B5-A5DF-4CBE-9EE8-9A2A04B04F3A}" name="2A26" dataDxfId="976" dataCellStyle="Virgül"/>
    <tableColumn id="21" xr3:uid="{18FC8EC0-DEF5-4C96-85A2-4555CA34A8F5}" name="3A26" dataDxfId="975" dataCellStyle="Virgül"/>
    <tableColumn id="22" xr3:uid="{2F451E92-B43B-4A45-829F-6CF5A164116D}" name="4A26" dataDxfId="974" dataCellStyle="Virgül"/>
    <tableColumn id="23" xr3:uid="{92F0F361-769F-4197-A7EF-4EA73714AF81}" name="5A26" dataDxfId="973" dataCellStyle="Virgül"/>
    <tableColumn id="24" xr3:uid="{F63FE28D-ACCF-46CF-B270-762ED65F2803}" name="6A26" dataDxfId="972" dataCellStyle="Virgül"/>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A1A958D-E849-4921-BB1E-24219FBEEE31}" name="Tablo10" displayName="Tablo10" ref="A1:X15" totalsRowShown="0" headerRowDxfId="971" dataDxfId="970">
  <autoFilter ref="A1:X15" xr:uid="{6A1A958D-E849-4921-BB1E-24219FBEEE31}"/>
  <tableColumns count="24">
    <tableColumn id="1" xr3:uid="{1187F3BB-7B85-4329-B063-9517ED2E0814}" name="SANTRAL ADI" dataDxfId="969"/>
    <tableColumn id="2" xr3:uid="{C38251A0-3D5F-45C9-B9B9-181B58151FCC}" name="KURULU GÜÇ" dataDxfId="968"/>
    <tableColumn id="3" xr3:uid="{CFEF95D5-BC1C-4EF1-A5FB-37F5A6F96664}" name="EIC KODU" dataDxfId="967"/>
    <tableColumn id="4" xr3:uid="{D341FAA8-86DA-4049-BC45-F1A8BDE3C9EF}" name="ID" dataDxfId="966"/>
    <tableColumn id="5" xr3:uid="{A2D04576-E103-4070-83AB-18CDDB91304A}" name="SATIŞ FİYATI" dataDxfId="965"/>
    <tableColumn id="6" xr3:uid="{5C1C5B5F-8F68-48FF-9FA4-55873A7A832D}" name="SÜRE (YIL SONU)" dataDxfId="964"/>
    <tableColumn id="7" xr3:uid="{89A19FB1-ECF5-48DF-9956-26CB50254379}" name="1A25" dataDxfId="963"/>
    <tableColumn id="8" xr3:uid="{80B8FC42-B23F-4E2F-B922-2A014CCB5A82}" name="2A25" dataDxfId="962"/>
    <tableColumn id="9" xr3:uid="{12356FBC-47AE-4B1A-9F30-430B41DCED82}" name="3A25" dataDxfId="961"/>
    <tableColumn id="10" xr3:uid="{90EF500C-E3B3-4B50-8B77-3524C288978E}" name="4A25" dataDxfId="960"/>
    <tableColumn id="11" xr3:uid="{CCF6B3EA-08E1-41AE-8D76-6252E49B2D45}" name="5A25" dataDxfId="959"/>
    <tableColumn id="12" xr3:uid="{3D4D061C-B4D4-45B8-813E-65FC23399C77}" name="6A25" dataDxfId="958"/>
    <tableColumn id="13" xr3:uid="{60B63324-1606-490C-B5D9-76E2E0522716}" name="7A25" dataDxfId="957"/>
    <tableColumn id="14" xr3:uid="{BDF8684F-4097-4198-A01B-A62074E299B7}" name="8A25" dataDxfId="956"/>
    <tableColumn id="15" xr3:uid="{DD4A9E8C-5B9F-49E7-A1D5-2644B7E62349}" name="9A25" dataDxfId="955"/>
    <tableColumn id="16" xr3:uid="{DE4AEB6A-C4E1-4B5B-9932-CDD824FC499A}" name="10A25" dataDxfId="954"/>
    <tableColumn id="17" xr3:uid="{B08F1891-C75D-49E8-BD93-6DA8ED323534}" name="11A25" dataDxfId="953"/>
    <tableColumn id="18" xr3:uid="{16B6F8A2-D1E0-4CEB-9F0C-DB2A4F603D8B}" name="12A25" dataDxfId="952"/>
    <tableColumn id="19" xr3:uid="{93DF36C5-DE23-4EC1-991A-BBFA8DFE2244}" name="1A26" dataDxfId="951"/>
    <tableColumn id="20" xr3:uid="{22F5A599-B98B-42AD-8C25-E8C40F68BB89}" name="2A26" dataDxfId="950"/>
    <tableColumn id="21" xr3:uid="{B13C9FD5-C856-4C31-9C86-8F4F10BA3C2C}" name="3A26" dataDxfId="949"/>
    <tableColumn id="22" xr3:uid="{50A3453D-25DD-430D-995E-066DAFBF01FE}" name="4A26" dataDxfId="948"/>
    <tableColumn id="23" xr3:uid="{E99782A0-56BC-41FD-83FD-61AFB765FA2A}" name="5A26" dataDxfId="947"/>
    <tableColumn id="24" xr3:uid="{603D6B3A-94D3-4904-BA6B-635DE6CC0AD5}" name="6A26" dataDxfId="946"/>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3388006-4465-453A-8EFE-AC40D5306742}" name="Tablo38" displayName="Tablo38" ref="A20:X31" totalsRowShown="0" headerRowDxfId="945" dataDxfId="944" headerRowCellStyle="Virgül" dataCellStyle="Virgül">
  <autoFilter ref="A20:X31" xr:uid="{E3388006-4465-453A-8EFE-AC40D5306742}"/>
  <tableColumns count="24">
    <tableColumn id="1" xr3:uid="{E0805F2A-F25B-4F55-8238-DFF3CE03BDAF}" name="SANTRALLERİN DOLAR BAZLI GETİRİLERİ" dataDxfId="943" dataCellStyle="Virgül"/>
    <tableColumn id="2" xr3:uid="{ABD009DB-01CF-4A81-B710-A08D34ABA127}" name="Sütun1" dataDxfId="942" dataCellStyle="Virgül"/>
    <tableColumn id="3" xr3:uid="{E5518B1E-FF23-4BD5-BECC-451D8878AA0D}" name="Sütun2" dataDxfId="941" dataCellStyle="Virgül"/>
    <tableColumn id="4" xr3:uid="{20EA8C65-5649-4D66-BD11-8EC2FA19A58E}" name="Sütun3" dataDxfId="940" dataCellStyle="Virgül"/>
    <tableColumn id="5" xr3:uid="{B0DB4AB0-1F4C-44D0-B4CA-8C4498CBF4C8}" name="Sütun4" dataDxfId="939" dataCellStyle="Virgül"/>
    <tableColumn id="6" xr3:uid="{43F5C043-723B-4DDF-916E-764B9B5C4F3F}" name="Sütun5" dataDxfId="938" dataCellStyle="Virgül"/>
    <tableColumn id="7" xr3:uid="{B5FEE66C-6FED-417B-9E69-0AE0DC040CBC}" name="1A25" dataDxfId="937" dataCellStyle="Virgül"/>
    <tableColumn id="8" xr3:uid="{5D152D76-DA84-4AF0-81A3-8253706DF953}" name="2A25" dataDxfId="936" dataCellStyle="Virgül"/>
    <tableColumn id="9" xr3:uid="{67509B15-E359-4942-93E3-998ACAB04381}" name="3A25" dataDxfId="935" dataCellStyle="Virgül"/>
    <tableColumn id="10" xr3:uid="{20E52DED-CC5E-4435-8ED9-DDB0BA2EF0D6}" name="4A25" dataDxfId="934" dataCellStyle="Virgül"/>
    <tableColumn id="11" xr3:uid="{D604ADB5-4085-455D-831E-B0B4A320A9C1}" name="5A25" dataDxfId="933" dataCellStyle="Virgül"/>
    <tableColumn id="12" xr3:uid="{9A21D66E-2139-4FDD-8F55-D3FE2E7D2593}" name="6A25" dataDxfId="932" dataCellStyle="Virgül"/>
    <tableColumn id="13" xr3:uid="{7082F91B-E96E-4548-8124-61674061F418}" name="7A25" dataDxfId="931" dataCellStyle="Virgül"/>
    <tableColumn id="14" xr3:uid="{2C45AE93-C9B9-44B0-B785-73CE7D72FAEC}" name="8A25" dataDxfId="930" dataCellStyle="Virgül"/>
    <tableColumn id="15" xr3:uid="{89835CC0-FB3F-4B1F-8860-381984F8F874}" name="9A25" dataDxfId="929" dataCellStyle="Virgül"/>
    <tableColumn id="16" xr3:uid="{C7C7CE8A-3625-4731-B7A1-6B0DDD458DB4}" name="10A25" dataDxfId="928" dataCellStyle="Virgül"/>
    <tableColumn id="17" xr3:uid="{028AC73C-556F-4E43-ADAB-930058F9CABA}" name="11A25" dataDxfId="927" dataCellStyle="Virgül"/>
    <tableColumn id="18" xr3:uid="{33514EE4-F15F-4725-A358-6BE0270CFC49}" name="12A25" dataDxfId="926" dataCellStyle="Virgül"/>
    <tableColumn id="19" xr3:uid="{0242EE72-E648-4810-B0D4-00178D3BC63D}" name="1A26" dataDxfId="925" dataCellStyle="Virgül"/>
    <tableColumn id="20" xr3:uid="{3A96BD5B-9D90-46A6-A1A8-7DE0DA5ECBCD}" name="2A26" dataDxfId="924" dataCellStyle="Virgül"/>
    <tableColumn id="21" xr3:uid="{9662D813-AFB1-48F5-B13B-BF6E2FBDC34B}" name="3A26" dataDxfId="923" dataCellStyle="Virgül"/>
    <tableColumn id="22" xr3:uid="{FE8D1C94-81C3-4E1F-AA5D-8FDCA858EA0D}" name="4A26" dataDxfId="922" dataCellStyle="Virgül"/>
    <tableColumn id="23" xr3:uid="{DEE27C00-0EEC-48C1-8156-A1AE180E3C0D}" name="5A26" dataDxfId="921" dataCellStyle="Virgül"/>
    <tableColumn id="24" xr3:uid="{5C9D81CB-99CD-4B00-B660-1E9B67E6E8EB}" name="6A26" dataDxfId="920" dataCellStyle="Virgül"/>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5E405D2-C718-4BC3-9135-0647E4E31800}" name="Tablo39" displayName="Tablo39" ref="A40:X51" totalsRowShown="0" headerRowDxfId="919" dataDxfId="918">
  <autoFilter ref="A40:X51" xr:uid="{25E405D2-C718-4BC3-9135-0647E4E31800}"/>
  <tableColumns count="24">
    <tableColumn id="1" xr3:uid="{04979B46-3034-49F9-946A-B490ABAAF269}" name="SANTRALLERİN TL BAZLI GETİRİLERİ" dataDxfId="917"/>
    <tableColumn id="2" xr3:uid="{111D63CA-ABA6-4AE1-8C7E-EAA47E574249}" name="KURULU GÜÇ" dataDxfId="916"/>
    <tableColumn id="3" xr3:uid="{5C1361E9-C49A-41C1-A747-57E034282E76}" name="Sütun1" dataDxfId="915"/>
    <tableColumn id="4" xr3:uid="{E950920D-067D-4505-BB23-232782A958E9}" name="Sütun3" dataDxfId="914"/>
    <tableColumn id="5" xr3:uid="{8BC36FE7-918B-48A6-843E-0E2AF970A7E9}" name="Sütun4" dataDxfId="913"/>
    <tableColumn id="6" xr3:uid="{29A7CF7A-55C8-4D89-917E-F0D547B4442B}" name="Sütun5" dataDxfId="912"/>
    <tableColumn id="7" xr3:uid="{150F00FC-0CF7-420F-B1D2-F3B2E5718951}" name="1A25" dataDxfId="911"/>
    <tableColumn id="8" xr3:uid="{40FEF565-5EE0-44E1-B481-A04EE180F46E}" name="2A25" dataDxfId="910"/>
    <tableColumn id="9" xr3:uid="{FF791606-69DC-480A-9AC0-10CDE742ED00}" name="3A25" dataDxfId="909"/>
    <tableColumn id="10" xr3:uid="{675880BF-AE00-4676-AA78-2912083FE3EE}" name="4A25" dataDxfId="908"/>
    <tableColumn id="11" xr3:uid="{2F4C049C-6710-4ED3-9289-AF14CBDBE5D8}" name="5A25" dataDxfId="907"/>
    <tableColumn id="12" xr3:uid="{247FEE1B-236F-41F7-BC8C-2178C4463455}" name="6A25" dataDxfId="906"/>
    <tableColumn id="13" xr3:uid="{76369966-1E99-4E2A-AECB-AB9FC4CD0E3F}" name="7A25" dataDxfId="905"/>
    <tableColumn id="14" xr3:uid="{ADD8CAC5-386A-4C10-A63C-0005F9073AC0}" name="8A25" dataDxfId="904"/>
    <tableColumn id="15" xr3:uid="{4137DC6F-3B63-462A-96EB-929BE777E586}" name="9A25" dataDxfId="903"/>
    <tableColumn id="16" xr3:uid="{E81E7CB0-250D-42F2-8314-E590E8F62711}" name="10A25" dataDxfId="902"/>
    <tableColumn id="17" xr3:uid="{27AEA453-C536-408B-98A5-EEBF2B12FDE9}" name="11A25" dataDxfId="901"/>
    <tableColumn id="18" xr3:uid="{2E38F0B4-0CB1-45B3-9513-CAA878EFE2DD}" name="12A25" dataDxfId="900"/>
    <tableColumn id="19" xr3:uid="{6375045B-1427-4177-AF73-61C6E5ED1C67}" name="1A26" dataDxfId="899"/>
    <tableColumn id="20" xr3:uid="{6CFAC3C6-58F3-4B29-8499-CBB9910ED152}" name="2A26" dataDxfId="898"/>
    <tableColumn id="21" xr3:uid="{45CDE159-A72A-457D-A766-C890D634A985}" name="3A26" dataDxfId="897"/>
    <tableColumn id="22" xr3:uid="{1D71E761-B375-4396-AD1F-B46B254155D9}" name="4A26" dataDxfId="896"/>
    <tableColumn id="23" xr3:uid="{488B7447-3865-4FAB-A846-F487364E610B}" name="5A26" dataDxfId="895"/>
    <tableColumn id="24" xr3:uid="{9F5F5BE4-63AC-40FA-B6D0-A1EE7B64B5FB}" name="6A26" dataDxfId="89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46507F1-3F2D-48D2-BC34-8FB3C709A608}" name="Tablo11" displayName="Tablo11" ref="A1:X6" totalsRowShown="0" headerRowDxfId="893" dataDxfId="892">
  <autoFilter ref="A1:X6" xr:uid="{946507F1-3F2D-48D2-BC34-8FB3C709A608}"/>
  <tableColumns count="24">
    <tableColumn id="1" xr3:uid="{3D3E910A-689B-4CF6-B2FF-6EE855DB9A30}" name="SANTRAL ADI" dataDxfId="891"/>
    <tableColumn id="2" xr3:uid="{04EED5FD-B29A-4AD1-AFE0-51768F4A7267}" name="KURULU GÜÇ" dataDxfId="890"/>
    <tableColumn id="3" xr3:uid="{39FCCE31-2B7F-4B8E-8BF5-4BBC2E6DC611}" name="EIC KODU" dataDxfId="889"/>
    <tableColumn id="4" xr3:uid="{0CF27435-E19C-4C5D-8952-6713E94D1862}" name="ID" dataDxfId="888"/>
    <tableColumn id="5" xr3:uid="{5D053FF5-C273-4474-AE4A-CAF9CE7B6AC5}" name="SATIŞ FİYATI" dataDxfId="887"/>
    <tableColumn id="6" xr3:uid="{62C057B4-43C2-4403-860E-1DC035E9131D}" name="SÜRE (YIL SONU)" dataDxfId="886"/>
    <tableColumn id="7" xr3:uid="{A1CF7DBD-3CFB-4064-B0B9-5863D3330926}" name="1A25" dataDxfId="885"/>
    <tableColumn id="8" xr3:uid="{65EF2F83-291F-446B-A758-E63BFADECCB7}" name="2A25" dataDxfId="884"/>
    <tableColumn id="9" xr3:uid="{C7F6721E-E1C1-413A-9460-D54F399610F7}" name="3A25" dataDxfId="883"/>
    <tableColumn id="10" xr3:uid="{44AC9DDF-DCC8-4A0E-B587-830BA4980BE3}" name="4A25" dataDxfId="882"/>
    <tableColumn id="11" xr3:uid="{D481E2C5-2666-44EB-B2B6-8CAD39793645}" name="5A25" dataDxfId="881"/>
    <tableColumn id="12" xr3:uid="{547FB328-2D2D-49BF-B508-84EFAFE78A21}" name="6A25" dataDxfId="880"/>
    <tableColumn id="13" xr3:uid="{BEE3E81B-AC50-41CE-BD6A-D71E8874C616}" name="7A25" dataDxfId="879"/>
    <tableColumn id="14" xr3:uid="{AA8D5AF9-0F45-4E2F-9C89-CDF65430B60B}" name="8A25" dataDxfId="878"/>
    <tableColumn id="15" xr3:uid="{4B3B9A88-FF99-4633-8507-29600D20EB7A}" name="9A25" dataDxfId="877"/>
    <tableColumn id="16" xr3:uid="{B015E07D-D2E2-4FF7-B800-DCAFB2F0D99B}" name="10A25" dataDxfId="876"/>
    <tableColumn id="17" xr3:uid="{7ADE0A22-330E-40A6-B929-5BF81384B9A8}" name="11A25" dataDxfId="875"/>
    <tableColumn id="18" xr3:uid="{791E70A8-B807-4E19-81F7-452597EB6DC6}" name="12A25" dataDxfId="874"/>
    <tableColumn id="19" xr3:uid="{BDE0217C-389E-4037-9B2F-8E20F8AE9FBF}" name="1A26" dataDxfId="873"/>
    <tableColumn id="20" xr3:uid="{4BEC376D-15E5-4D11-896B-41657C28F958}" name="2A26" dataDxfId="872"/>
    <tableColumn id="21" xr3:uid="{03A72589-CF25-43EA-94F2-88BB82E925DC}" name="3A26" dataDxfId="871"/>
    <tableColumn id="22" xr3:uid="{20C79216-F67E-4C4F-8874-8A78ADB93001}" name="4A26" dataDxfId="870"/>
    <tableColumn id="23" xr3:uid="{5DF39E12-FD0E-4CA2-B041-510D76AFCF89}" name="5A26" dataDxfId="869"/>
    <tableColumn id="24" xr3:uid="{BC8A42FF-C9B5-441A-9566-0A553A44CB84}" name="6A26" dataDxfId="86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36CFF2C-9960-4C54-82CC-063ADD889AFA}" name="Tablo40" displayName="Tablo40" ref="A15:X18" totalsRowShown="0" headerRowDxfId="867" dataDxfId="866">
  <autoFilter ref="A15:X18" xr:uid="{936CFF2C-9960-4C54-82CC-063ADD889AFA}"/>
  <tableColumns count="24">
    <tableColumn id="1" xr3:uid="{1B3A6906-D907-4CB2-970E-9E42283BA710}" name="SANTRALLERİN DOLAR BAZLI GETİRİLERİ" dataDxfId="865"/>
    <tableColumn id="2" xr3:uid="{4B00C0C2-4DE9-48EF-9171-7639B3DC1849}" name="Sütun1" dataDxfId="864"/>
    <tableColumn id="3" xr3:uid="{AA7138EB-63C3-4528-9147-65CC2D70177C}" name="Sütun2" dataDxfId="863"/>
    <tableColumn id="4" xr3:uid="{7AE1E2CC-A6B5-49A1-B5E6-396074C16FDE}" name="Sütun3" dataDxfId="862"/>
    <tableColumn id="5" xr3:uid="{DAFB1170-E801-4F8F-BDCE-5700CE14F087}" name="Sütun4" dataDxfId="861"/>
    <tableColumn id="6" xr3:uid="{52473632-BE20-4E61-87D2-5A5C8A028A92}" name="Sütun5" dataDxfId="860"/>
    <tableColumn id="7" xr3:uid="{BDD816F4-9DEC-4EAC-8EB0-4DCB23DD3711}" name="1A25" dataDxfId="859" dataCellStyle="Virgül"/>
    <tableColumn id="8" xr3:uid="{667B57AA-EED8-4286-956F-572A694DA591}" name="2A25" dataDxfId="858" dataCellStyle="Virgül"/>
    <tableColumn id="9" xr3:uid="{DC69E3E6-E47F-4972-9E82-46AC443CC3AF}" name="3A25" dataDxfId="857" dataCellStyle="Virgül"/>
    <tableColumn id="10" xr3:uid="{4EDCEDF1-DC7E-402C-8D6B-FCE345882827}" name="4A25" dataDxfId="856" dataCellStyle="Virgül"/>
    <tableColumn id="11" xr3:uid="{CF1AB27D-8935-4545-A7D0-21E9CA48627E}" name="5A25" dataDxfId="855" dataCellStyle="Virgül"/>
    <tableColumn id="12" xr3:uid="{2EF4F395-D513-4F73-99B2-3A9E73B0A850}" name="6A25" dataDxfId="854" dataCellStyle="Virgül"/>
    <tableColumn id="13" xr3:uid="{803A6506-1D13-4C62-9F53-B00B7E9298BE}" name="7A25" dataDxfId="853" dataCellStyle="Virgül"/>
    <tableColumn id="14" xr3:uid="{67770B19-51FC-423B-A638-658E6F7B7117}" name="8A25" dataDxfId="852" dataCellStyle="Virgül"/>
    <tableColumn id="15" xr3:uid="{73B816BD-8B3B-41F9-9EEC-9419F0A6F728}" name="9A25" dataDxfId="851" dataCellStyle="Virgül"/>
    <tableColumn id="16" xr3:uid="{1A02A57C-59D7-408F-8CE1-3954195C5491}" name="10A25" dataDxfId="850" dataCellStyle="Virgül"/>
    <tableColumn id="17" xr3:uid="{BB140F4D-DD5F-4AAF-B05B-C9D744654CBC}" name="11A25" dataDxfId="849" dataCellStyle="Virgül"/>
    <tableColumn id="18" xr3:uid="{78994F0F-2E84-43AE-A6D7-E329F63DBC22}" name="12A25" dataDxfId="848" dataCellStyle="Virgül"/>
    <tableColumn id="19" xr3:uid="{B1B03BC7-D9E4-416D-AE43-D45CD3ACF2EE}" name="1A26" dataDxfId="847" dataCellStyle="Virgül"/>
    <tableColumn id="20" xr3:uid="{6BF62C97-8FAD-4051-BB4A-122EEE6E3707}" name="2A26" dataDxfId="846" dataCellStyle="Virgül"/>
    <tableColumn id="21" xr3:uid="{89982136-2D00-4B0B-AF2B-8934546C7CBD}" name="3A26" dataDxfId="845" dataCellStyle="Virgül"/>
    <tableColumn id="22" xr3:uid="{5671BC74-40E3-4D03-8C8F-15530BC31D78}" name="4A26" dataDxfId="844" dataCellStyle="Virgül"/>
    <tableColumn id="23" xr3:uid="{B30517D8-2DEB-499E-BCEF-1B77F272B7D7}" name="5A26" dataDxfId="843" dataCellStyle="Virgül"/>
    <tableColumn id="24" xr3:uid="{7564EB01-67AF-48A5-9564-DD5D60943A1B}" name="6A26" dataDxfId="842" dataCellStyle="Virgül"/>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D9AEFC7-32B2-4F10-85E8-2D133FF46F32}" name="Tablo41" displayName="Tablo41" ref="A24:X27" totalsRowShown="0" headerRowDxfId="841" dataDxfId="840">
  <autoFilter ref="A24:X27" xr:uid="{DD9AEFC7-32B2-4F10-85E8-2D133FF46F32}"/>
  <tableColumns count="24">
    <tableColumn id="1" xr3:uid="{BBFE4EA7-1483-46FB-9BF5-4C9F50E438E1}" name="SANTRALLERİN TL BAZLI GETİRİLERİ" dataDxfId="839"/>
    <tableColumn id="2" xr3:uid="{9FAD4AEB-81AC-4BCC-99C7-0A034884164A}" name="Sütun1" dataDxfId="838"/>
    <tableColumn id="3" xr3:uid="{BAEE4B7F-DFE0-4813-8D60-C8D33A8A7329}" name="Sütun2" dataDxfId="837"/>
    <tableColumn id="4" xr3:uid="{289EA950-1F35-4CD4-B003-C72AE3C6C9FD}" name="Sütun3" dataDxfId="836"/>
    <tableColumn id="5" xr3:uid="{910510B1-B026-4EB8-AB7F-C49239CB60C0}" name="Sütun4" dataDxfId="835"/>
    <tableColumn id="6" xr3:uid="{2610D547-26E8-402F-85D3-8A039459698F}" name="Sütun5" dataDxfId="834"/>
    <tableColumn id="7" xr3:uid="{4EA144EF-D4E2-458F-A5A5-832A2589ACF9}" name="1A25" dataDxfId="833" dataCellStyle="Virgül"/>
    <tableColumn id="8" xr3:uid="{44B524C4-922D-4170-A085-8DE7963C6EDB}" name="2A25" dataDxfId="832" dataCellStyle="Virgül"/>
    <tableColumn id="9" xr3:uid="{09F344FE-78DA-4F53-A5B4-E2AE38EDA910}" name="3A25" dataDxfId="831" dataCellStyle="Virgül"/>
    <tableColumn id="10" xr3:uid="{11E21822-0EBC-4153-B56F-568AD6E2C1BD}" name="4A25" dataDxfId="830" dataCellStyle="Virgül"/>
    <tableColumn id="11" xr3:uid="{5971D488-0ABF-4C6F-AA9F-991B2B4C0940}" name="5A25" dataDxfId="829" dataCellStyle="Virgül"/>
    <tableColumn id="12" xr3:uid="{F546D56B-2075-43EA-BCCE-D30991080302}" name="6A25" dataDxfId="828" dataCellStyle="Virgül"/>
    <tableColumn id="13" xr3:uid="{B66F916F-F5A4-49D4-ABE8-8DFE1972A35C}" name="7A25" dataDxfId="827" dataCellStyle="Virgül"/>
    <tableColumn id="14" xr3:uid="{8760DFD2-48E4-40D3-9B0D-90F3E1CB9718}" name="8A25" dataDxfId="826" dataCellStyle="Virgül"/>
    <tableColumn id="15" xr3:uid="{3038C991-7152-4424-9E0F-852ADE830780}" name="9A25" dataDxfId="825" dataCellStyle="Virgül"/>
    <tableColumn id="16" xr3:uid="{406A1185-5E5B-48A4-87D3-AC00408435E7}" name="10A25" dataDxfId="824" dataCellStyle="Virgül"/>
    <tableColumn id="17" xr3:uid="{11756683-B07C-4D3E-8A54-832BCAE5D9A0}" name="11A25" dataDxfId="823" dataCellStyle="Virgül"/>
    <tableColumn id="18" xr3:uid="{917BB3F5-D26E-4363-A961-D26C13C91446}" name="12A25" dataDxfId="822" dataCellStyle="Virgül"/>
    <tableColumn id="19" xr3:uid="{D857CD6A-4500-4687-95E3-4C50321F7C28}" name="1A26" dataDxfId="821" dataCellStyle="Virgül"/>
    <tableColumn id="20" xr3:uid="{BC7EB43A-590A-4804-AB44-61B1D75B4011}" name="2A26" dataDxfId="820" dataCellStyle="Virgül"/>
    <tableColumn id="21" xr3:uid="{91BCA295-1E34-4C4D-A91C-F3EA88408CD4}" name="3A26" dataDxfId="819" dataCellStyle="Virgül"/>
    <tableColumn id="22" xr3:uid="{0921EC6D-155D-4597-A636-C8908DA36FE5}" name="4A26" dataDxfId="818" dataCellStyle="Virgül"/>
    <tableColumn id="23" xr3:uid="{1236800A-2B0D-43FF-AA6D-FD37AA854DC8}" name="5A26" dataDxfId="817" dataCellStyle="Virgül"/>
    <tableColumn id="24" xr3:uid="{CD281AAF-123D-4947-9E35-44CF9511C48E}" name="6A26" dataDxfId="816" dataCellStyle="Virgül"/>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EAE535F-3012-448C-BE41-D58CE3FDF8BF}" name="Tablo12" displayName="Tablo12" ref="A1:X3" totalsRowShown="0" headerRowDxfId="815" dataDxfId="814">
  <autoFilter ref="A1:X3" xr:uid="{AEAE535F-3012-448C-BE41-D58CE3FDF8BF}"/>
  <tableColumns count="24">
    <tableColumn id="1" xr3:uid="{BD91C94B-4137-4E57-81DE-43465A8A34F6}" name="SANTRAL ADI" dataDxfId="813"/>
    <tableColumn id="2" xr3:uid="{981629BE-19B4-4677-90D9-FD081971E6CD}" name="KURULU GÜÇ" dataDxfId="812">
      <calculatedColumnFormula>SUM(B1)</calculatedColumnFormula>
    </tableColumn>
    <tableColumn id="3" xr3:uid="{14B5CE30-9666-4E6B-A81F-512BFC91C893}" name="EIC KODU" dataDxfId="811"/>
    <tableColumn id="4" xr3:uid="{FC1A3053-6659-4632-A084-BE45B35115C0}" name="ID" dataDxfId="810"/>
    <tableColumn id="5" xr3:uid="{6CA63DCA-C14D-42C0-8203-F1EBBD4B7C8A}" name="SATIŞ FİYATI" dataDxfId="809"/>
    <tableColumn id="6" xr3:uid="{C1B4B956-3189-4556-8E31-0523DDBE7057}" name="SÜRE(YIL SONU)" dataDxfId="808"/>
    <tableColumn id="7" xr3:uid="{2F3824C1-764E-45E4-BB44-86C603853851}" name="1A25" dataDxfId="807"/>
    <tableColumn id="8" xr3:uid="{E72E7775-25AF-4814-BADB-EC43E658B645}" name="2A25" dataDxfId="806"/>
    <tableColumn id="9" xr3:uid="{EAF4994C-222E-40B8-9DAC-CCB6DFC7766E}" name="3A25" dataDxfId="805"/>
    <tableColumn id="10" xr3:uid="{21A77C0D-DCD8-4B5E-802E-2F28F9928D53}" name="4A25" dataDxfId="804"/>
    <tableColumn id="11" xr3:uid="{E954105B-6887-41E2-B2A4-64F530AD5D7B}" name="5A25" dataDxfId="803"/>
    <tableColumn id="12" xr3:uid="{E2E16D4D-0CED-4665-9FED-73B5E5386555}" name="6A25" dataDxfId="802"/>
    <tableColumn id="13" xr3:uid="{55381288-D773-4BDC-BBF2-0629E211F5E0}" name="7A25" dataDxfId="801"/>
    <tableColumn id="14" xr3:uid="{0F467952-C236-4681-9042-91B6601D1630}" name="8A25" dataDxfId="800"/>
    <tableColumn id="15" xr3:uid="{4608D994-1B6B-4C5A-AC02-AC61984478E6}" name="9A25" dataDxfId="799"/>
    <tableColumn id="16" xr3:uid="{103EAD26-7C96-4374-8445-1377876173A7}" name="10A25" dataDxfId="798"/>
    <tableColumn id="17" xr3:uid="{0F6B8CA3-578C-41AD-B93B-769253ABDDA5}" name="11A25" dataDxfId="797"/>
    <tableColumn id="18" xr3:uid="{C73CA34F-4B2B-44B6-80D5-445D17B34B25}" name="12A25" dataDxfId="796"/>
    <tableColumn id="19" xr3:uid="{EC0A1A0D-DCEE-44FC-B54A-321FBDF2D633}" name="1A26" dataDxfId="795"/>
    <tableColumn id="20" xr3:uid="{92B77B84-7F35-4E22-8E62-17339CCA8676}" name="2A26" dataDxfId="794"/>
    <tableColumn id="21" xr3:uid="{5D0430E5-A6B6-452D-88A3-7643C8910368}" name="3A26" dataDxfId="793"/>
    <tableColumn id="22" xr3:uid="{789E6C39-23BD-476B-B8EF-D0B97FB47518}" name="4A26" dataDxfId="792"/>
    <tableColumn id="23" xr3:uid="{9463EF88-C46A-4094-9289-AFB93E268520}" name="5A26" dataDxfId="791"/>
    <tableColumn id="24" xr3:uid="{39968D12-6FFD-4435-9891-E6A030B5360D}" name="6A26" dataDxfId="790"/>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69BBF02-410C-4B16-B41B-51110B99DE82}" name="Tablo42" displayName="Tablo42" ref="A9:X10" totalsRowShown="0" headerRowDxfId="789" dataDxfId="788">
  <autoFilter ref="A9:X10" xr:uid="{269BBF02-410C-4B16-B41B-51110B99DE82}"/>
  <tableColumns count="24">
    <tableColumn id="1" xr3:uid="{584E2C44-A642-4D9C-ABF7-0C729744926A}" name="SANTRALLERİN DOLAR BAZLI GETİRİLERİ" dataDxfId="787"/>
    <tableColumn id="2" xr3:uid="{D09B675E-2672-4C21-A715-A93957D957E0}" name="Sütun1" dataDxfId="786"/>
    <tableColumn id="3" xr3:uid="{C135840B-BF2E-4096-A126-2CC075D18417}" name="Sütun2" dataDxfId="785"/>
    <tableColumn id="4" xr3:uid="{86F00008-C9F4-4A7C-A0CA-6CB61998DD99}" name="Sütun3" dataDxfId="784"/>
    <tableColumn id="5" xr3:uid="{1C84F373-444F-4F18-8595-34D819BE163F}" name="Sütun4" dataDxfId="783"/>
    <tableColumn id="6" xr3:uid="{C564C4AE-8636-4417-991C-FBA28A077728}" name="Sütun5" dataDxfId="782"/>
    <tableColumn id="7" xr3:uid="{0E88003D-6948-4B3D-93E3-B810FB3C467B}" name="1A25" dataDxfId="781" dataCellStyle="Virgül">
      <calculatedColumnFormula>G17*G2</calculatedColumnFormula>
    </tableColumn>
    <tableColumn id="8" xr3:uid="{95EA58A4-F30D-43FF-9648-BB7F32553E42}" name="2A25" dataDxfId="780" dataCellStyle="Virgül">
      <calculatedColumnFormula>H17*H2</calculatedColumnFormula>
    </tableColumn>
    <tableColumn id="9" xr3:uid="{EB91C0AB-1E73-4149-B11F-734D1AAF1839}" name="3A25" dataDxfId="779" dataCellStyle="Virgül">
      <calculatedColumnFormula>I17*I2</calculatedColumnFormula>
    </tableColumn>
    <tableColumn id="10" xr3:uid="{B3FFCA92-8B39-4F82-81BB-AB4386BA5908}" name="4A25" dataDxfId="778" dataCellStyle="Virgül">
      <calculatedColumnFormula>J17*J2</calculatedColumnFormula>
    </tableColumn>
    <tableColumn id="11" xr3:uid="{67434ACA-F9B9-47C7-992A-A2CE0ED833D5}" name="5A25" dataDxfId="777" dataCellStyle="Virgül">
      <calculatedColumnFormula>K17*K2</calculatedColumnFormula>
    </tableColumn>
    <tableColumn id="12" xr3:uid="{C9D5422A-4B47-4BBF-AF1F-CCA81C868021}" name="6A25" dataDxfId="776" dataCellStyle="Virgül">
      <calculatedColumnFormula>L17*L2</calculatedColumnFormula>
    </tableColumn>
    <tableColumn id="13" xr3:uid="{CDD181DB-B753-4AB0-8C9A-693C30F034CB}" name="7A25" dataDxfId="775" dataCellStyle="Virgül">
      <calculatedColumnFormula>M17*M2</calculatedColumnFormula>
    </tableColumn>
    <tableColumn id="14" xr3:uid="{4A1C24D7-153C-4CC4-AF82-7B56186DF999}" name="8A25" dataDxfId="774" dataCellStyle="Virgül">
      <calculatedColumnFormula>N17*N2</calculatedColumnFormula>
    </tableColumn>
    <tableColumn id="15" xr3:uid="{F32166A5-ADD1-404F-81BC-6CDBD68A0452}" name="9A25" dataDxfId="773" dataCellStyle="Virgül">
      <calculatedColumnFormula>O17*O2</calculatedColumnFormula>
    </tableColumn>
    <tableColumn id="16" xr3:uid="{87325439-58A7-44E5-95F4-6339B407B64F}" name="10A25" dataDxfId="772" dataCellStyle="Virgül">
      <calculatedColumnFormula>P17*P2</calculatedColumnFormula>
    </tableColumn>
    <tableColumn id="17" xr3:uid="{310F842F-5176-47AB-8B77-C27CC21D0ECC}" name="11A25" dataDxfId="771" dataCellStyle="Virgül">
      <calculatedColumnFormula>Q17*Q2</calculatedColumnFormula>
    </tableColumn>
    <tableColumn id="18" xr3:uid="{D18D43CF-3A27-44DA-882B-C02E101490EA}" name="12A25" dataDxfId="770" dataCellStyle="Virgül">
      <calculatedColumnFormula>R17*R2</calculatedColumnFormula>
    </tableColumn>
    <tableColumn id="19" xr3:uid="{175C9E69-52C0-4511-B467-59E4F69EFE49}" name="1A26" dataDxfId="769" dataCellStyle="Virgül">
      <calculatedColumnFormula>S17*S2</calculatedColumnFormula>
    </tableColumn>
    <tableColumn id="20" xr3:uid="{61E08C7F-3A56-4D53-A934-FEE5D8B9CED3}" name="2A26" dataDxfId="768" dataCellStyle="Virgül">
      <calculatedColumnFormula>T17*T2</calculatedColumnFormula>
    </tableColumn>
    <tableColumn id="21" xr3:uid="{8DD8303D-E6EE-440B-9BDD-3A9405183495}" name="3A26" dataDxfId="767" dataCellStyle="Virgül">
      <calculatedColumnFormula>U17*U2</calculatedColumnFormula>
    </tableColumn>
    <tableColumn id="22" xr3:uid="{8F0038E6-08FF-4A34-AD48-0C077E7C837F}" name="4A26" dataDxfId="766" dataCellStyle="Virgül">
      <calculatedColumnFormula>V17*V2</calculatedColumnFormula>
    </tableColumn>
    <tableColumn id="23" xr3:uid="{635E4BCF-FA28-4797-9DB3-C0F35242A3BF}" name="5A26" dataDxfId="765" dataCellStyle="Virgül">
      <calculatedColumnFormula>W17*W2</calculatedColumnFormula>
    </tableColumn>
    <tableColumn id="24" xr3:uid="{16CAA21F-70BB-4414-8984-6843EDED6313}" name="6A26" dataDxfId="764" dataCellStyle="Virgül">
      <calculatedColumnFormula>X17*X2</calculatedColumnFormula>
    </tableColumn>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63956A55-B04C-436F-96E2-658162832A1C}" name="Tablo64" displayName="Tablo64" ref="A19:X21" totalsRowShown="0" headerRowDxfId="763" dataDxfId="762">
  <autoFilter ref="A19:X21" xr:uid="{63956A55-B04C-436F-96E2-658162832A1C}"/>
  <tableColumns count="24">
    <tableColumn id="1" xr3:uid="{D207AC77-F338-4722-8CFA-699F4A0A5CDF}" name="SANTRALLERİN TL BAZLI GETİRİLERİ"/>
    <tableColumn id="2" xr3:uid="{8BB1DE49-42DE-48A9-B1C3-6A0CBE4576EF}" name="Sütun1" dataDxfId="761"/>
    <tableColumn id="3" xr3:uid="{060D576D-FBBF-402F-A55C-DF92219B9041}" name="Sütun2" dataDxfId="760"/>
    <tableColumn id="4" xr3:uid="{AD839382-FC58-420A-AFEB-EE886F31C100}" name="Sütun3" dataDxfId="759"/>
    <tableColumn id="5" xr3:uid="{E6BB305E-11DD-4F84-89C6-3FA440259479}" name="Sütun4" dataDxfId="758"/>
    <tableColumn id="6" xr3:uid="{B7CB8D41-AAB5-4623-A513-902851642B94}" name="Sütun5" dataDxfId="757"/>
    <tableColumn id="7" xr3:uid="{F558E286-46DF-49F1-971E-6B94CD4A1E01}" name="1A25" dataDxfId="756">
      <calculatedColumnFormula>$G$27*G10</calculatedColumnFormula>
    </tableColumn>
    <tableColumn id="8" xr3:uid="{143384CC-B9E5-4407-93D1-63DA58B6C988}" name="2A25" dataDxfId="755">
      <calculatedColumnFormula>$H$27*H10</calculatedColumnFormula>
    </tableColumn>
    <tableColumn id="9" xr3:uid="{A7CACF43-CE83-4F26-95F1-4E41FF82CF9E}" name="3A25" dataDxfId="754">
      <calculatedColumnFormula>$I$27*I10</calculatedColumnFormula>
    </tableColumn>
    <tableColumn id="10" xr3:uid="{FDBD9901-BAEE-4C2F-A7AF-95A38A4D5295}" name="4A25" dataDxfId="753">
      <calculatedColumnFormula>$J$27*J10</calculatedColumnFormula>
    </tableColumn>
    <tableColumn id="11" xr3:uid="{53740B37-2742-447D-A1C1-974E87AFAA2C}" name="5A25" dataDxfId="752">
      <calculatedColumnFormula>$K$27*K10</calculatedColumnFormula>
    </tableColumn>
    <tableColumn id="12" xr3:uid="{507911DE-F0F6-472C-9E9B-E6FC168A2D92}" name="6A25" dataDxfId="751">
      <calculatedColumnFormula>$L$27*L10</calculatedColumnFormula>
    </tableColumn>
    <tableColumn id="13" xr3:uid="{5ACDF226-D31A-40D5-BF26-AABA62844AE0}" name="7A25" dataDxfId="750">
      <calculatedColumnFormula>$M$27*M10</calculatedColumnFormula>
    </tableColumn>
    <tableColumn id="14" xr3:uid="{D6B3E58A-959C-4CA6-B37D-9D6C06A4D7EE}" name="8A25" dataDxfId="749">
      <calculatedColumnFormula>$N$27*N10</calculatedColumnFormula>
    </tableColumn>
    <tableColumn id="15" xr3:uid="{6FF06AB8-E2E8-42B9-8522-F86E4950B226}" name="9A25" dataDxfId="748">
      <calculatedColumnFormula>$O$27*O10</calculatedColumnFormula>
    </tableColumn>
    <tableColumn id="16" xr3:uid="{AA89EDED-5D56-4D9A-AD66-2CCFA9846B4B}" name="10A25" dataDxfId="747">
      <calculatedColumnFormula>$P$27*P10</calculatedColumnFormula>
    </tableColumn>
    <tableColumn id="17" xr3:uid="{245BB3EA-7FF7-4C28-B7E5-A1EB62A9B00B}" name="11A25" dataDxfId="746">
      <calculatedColumnFormula>$Q$27*Q10</calculatedColumnFormula>
    </tableColumn>
    <tableColumn id="18" xr3:uid="{3CD0CD00-4779-48AB-9E5D-0550DA8BE975}" name="12A25" dataDxfId="745">
      <calculatedColumnFormula>$R$27*R10</calculatedColumnFormula>
    </tableColumn>
    <tableColumn id="19" xr3:uid="{C00C6895-41A2-47F4-BE51-01F978A3A29B}" name="1A26" dataDxfId="744">
      <calculatedColumnFormula>$S$27*S10</calculatedColumnFormula>
    </tableColumn>
    <tableColumn id="20" xr3:uid="{8821C317-35A8-4C22-9595-F70BF72EB487}" name="2A26" dataDxfId="743">
      <calculatedColumnFormula>$T$27*T10</calculatedColumnFormula>
    </tableColumn>
    <tableColumn id="21" xr3:uid="{8CDA8BAA-0468-49FA-A7B6-16867EBD81DE}" name="3A26" dataDxfId="742">
      <calculatedColumnFormula>$U$27*U10</calculatedColumnFormula>
    </tableColumn>
    <tableColumn id="22" xr3:uid="{13A5F4F6-525B-4924-9BD2-0F15E9E07C04}" name="4A26" dataDxfId="741"/>
    <tableColumn id="23" xr3:uid="{7FFF3147-FF43-4FBE-8E8C-C0CD302C4317}" name="5A26" dataDxfId="740"/>
    <tableColumn id="24" xr3:uid="{6CD93AFE-32E6-4F08-8F19-EFBC6A4B330F}" name="6A26" dataDxfId="739"/>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055A2D7-88D3-463D-A130-A9CCF5FEC673}" name="Tablo13" displayName="Tablo13" ref="A1:X3" totalsRowShown="0" headerRowDxfId="738" dataDxfId="737">
  <autoFilter ref="A1:X3" xr:uid="{F055A2D7-88D3-463D-A130-A9CCF5FEC673}"/>
  <tableColumns count="24">
    <tableColumn id="1" xr3:uid="{37581A5A-BAFA-439D-A6D7-C5FCE5E519B9}" name="SANTRAL ADI" dataDxfId="736"/>
    <tableColumn id="2" xr3:uid="{979374AA-0975-4634-BA86-487A62871E82}" name="KURULU GÜÇ" dataDxfId="735">
      <calculatedColumnFormula>SUM(B1)</calculatedColumnFormula>
    </tableColumn>
    <tableColumn id="3" xr3:uid="{5666CD16-38C1-48F4-AE29-0A345F4A4563}" name="EIC KODU" dataDxfId="734"/>
    <tableColumn id="4" xr3:uid="{437C1245-FA0B-4485-9349-84FB5C676815}" name="ID" dataDxfId="733"/>
    <tableColumn id="5" xr3:uid="{900749D3-E51F-4FA8-B930-DD4A21FE7E61}" name="SATIŞ FİYATI" dataDxfId="732"/>
    <tableColumn id="6" xr3:uid="{BDE96CAF-BC72-41FB-AE42-074D0C6C31C3}" name="SÜRE (YIL SONU9" dataDxfId="731"/>
    <tableColumn id="7" xr3:uid="{42F870C6-934F-4701-8850-6AAE9C79C41D}" name="1A25" dataDxfId="730"/>
    <tableColumn id="8" xr3:uid="{D7EDBB27-C50E-46E5-9BF7-42B5117D5AB6}" name="2A25" dataDxfId="729"/>
    <tableColumn id="9" xr3:uid="{38DE1DAD-46FB-4D45-BAD3-CEF09D2F55AA}" name="3A25" dataDxfId="728"/>
    <tableColumn id="10" xr3:uid="{CC2970A2-475C-4111-84A0-CDC398167823}" name="4A25" dataDxfId="727"/>
    <tableColumn id="11" xr3:uid="{264D8FE4-8A4D-44B4-B288-15A497D7D695}" name="5A25" dataDxfId="726"/>
    <tableColumn id="12" xr3:uid="{0486D2F9-5656-4BFF-9058-BE03B1C6B882}" name="6A25" dataDxfId="725"/>
    <tableColumn id="13" xr3:uid="{7B0B6E15-B177-41A3-837B-FEF3D4F57595}" name="7A25" dataDxfId="724"/>
    <tableColumn id="14" xr3:uid="{A9EA47AF-C0A3-41B3-AC27-816B0A128960}" name="8A25" dataDxfId="723"/>
    <tableColumn id="15" xr3:uid="{A65AEB47-1728-4427-87B6-369707B5B646}" name="9A25" dataDxfId="722"/>
    <tableColumn id="16" xr3:uid="{2BD736EE-BB3A-4F7D-B18A-1868E06BF7FE}" name="10A25" dataDxfId="721"/>
    <tableColumn id="17" xr3:uid="{251A1F83-B288-43C3-A168-2BBFE9E311DC}" name="11A25" dataDxfId="720"/>
    <tableColumn id="18" xr3:uid="{914B4BB7-764E-416C-9400-B6679FF95F2B}" name="12A25" dataDxfId="719"/>
    <tableColumn id="19" xr3:uid="{046CE16A-5B25-4483-BDB4-4E5074E34323}" name="1A26" dataDxfId="718"/>
    <tableColumn id="20" xr3:uid="{EB280D99-957C-46B1-9C5B-CFAC6A218651}" name="2A26" dataDxfId="717"/>
    <tableColumn id="21" xr3:uid="{1F62BCF2-207C-4B31-8031-6FB30D7EF385}" name="3A26" dataDxfId="716"/>
    <tableColumn id="22" xr3:uid="{CA4821BC-C136-4CF6-9824-A81E62EAA219}" name="4A26" dataDxfId="715"/>
    <tableColumn id="23" xr3:uid="{E7D2326E-56AA-42C1-A8CA-AA3EA0038F3B}" name="5A26" dataDxfId="714"/>
    <tableColumn id="24" xr3:uid="{FC742779-E6BB-41F8-944E-AE355042D4E7}" name="6A26" dataDxfId="713"/>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046830F-AF34-4871-8C6C-5DF4CC3F591A}" name="Tablo43" displayName="Tablo43" ref="A9:X10" totalsRowShown="0" headerRowDxfId="712" dataDxfId="711">
  <autoFilter ref="A9:X10" xr:uid="{6046830F-AF34-4871-8C6C-5DF4CC3F591A}"/>
  <tableColumns count="24">
    <tableColumn id="1" xr3:uid="{6733F459-68DB-44DF-BAC1-A3D63EA2B35B}" name="SANTRALLERİN DOLAR BAZLI GETİRİLERİ" dataDxfId="710"/>
    <tableColumn id="2" xr3:uid="{07ACA274-A36B-4395-A5B3-6EF5AADB3C91}" name="Sütun1" dataDxfId="709"/>
    <tableColumn id="3" xr3:uid="{AFAF323E-99B1-4D1B-B099-0E830DEDF5AA}" name="Sütun2" dataDxfId="708"/>
    <tableColumn id="4" xr3:uid="{8CBE1413-23BD-4FFF-AB3F-3D2179A4EE42}" name="Sütun3" dataDxfId="707"/>
    <tableColumn id="5" xr3:uid="{877C9661-7E44-4B94-8AFC-B628A5A44888}" name="Sütun4" dataDxfId="706"/>
    <tableColumn id="6" xr3:uid="{81A4D8DA-5D4E-4B00-8EEF-F99CF3B2FCAE}" name="Sütun5" dataDxfId="705"/>
    <tableColumn id="7" xr3:uid="{4C7050F3-2B19-4E90-A864-090CB742FC6D}" name="1A25" dataDxfId="704" dataCellStyle="Virgül">
      <calculatedColumnFormula>$E$2*G2</calculatedColumnFormula>
    </tableColumn>
    <tableColumn id="8" xr3:uid="{9A000D6B-2D7B-414B-8452-DA5DCE01E86E}" name="2A25" dataDxfId="703" dataCellStyle="Virgül">
      <calculatedColumnFormula>$E$2*H2</calculatedColumnFormula>
    </tableColumn>
    <tableColumn id="9" xr3:uid="{4D7659F5-8335-46B2-B29C-587D35A86906}" name="3A25" dataDxfId="702" dataCellStyle="Virgül">
      <calculatedColumnFormula>$E$2*I2</calculatedColumnFormula>
    </tableColumn>
    <tableColumn id="10" xr3:uid="{75C74252-3E2C-4127-9810-CE0D1239B0DA}" name="4A25" dataDxfId="701" dataCellStyle="Virgül">
      <calculatedColumnFormula>$E$2*J2</calculatedColumnFormula>
    </tableColumn>
    <tableColumn id="11" xr3:uid="{21826BAF-0AB2-4658-818F-9C77DEB581FF}" name="5A25" dataDxfId="700" dataCellStyle="Virgül">
      <calculatedColumnFormula>$E$2*K2</calculatedColumnFormula>
    </tableColumn>
    <tableColumn id="12" xr3:uid="{DE469C79-16F9-412B-B6BE-77EA0A9E158C}" name="6A25" dataDxfId="699" dataCellStyle="Virgül">
      <calculatedColumnFormula>$E$2*L2</calculatedColumnFormula>
    </tableColumn>
    <tableColumn id="13" xr3:uid="{E388AC20-076F-4948-A243-3C4FC17B0A58}" name="7A25" dataDxfId="698" dataCellStyle="Virgül">
      <calculatedColumnFormula>$E$2*M2</calculatedColumnFormula>
    </tableColumn>
    <tableColumn id="14" xr3:uid="{52D11E55-101B-417E-9479-F6B9A6AE6F85}" name="8A25" dataDxfId="697" dataCellStyle="Virgül">
      <calculatedColumnFormula>$E$2*N2</calculatedColumnFormula>
    </tableColumn>
    <tableColumn id="15" xr3:uid="{AE7EE4B5-DC41-46C7-B068-F95E03B35474}" name="9A25" dataDxfId="696" dataCellStyle="Virgül">
      <calculatedColumnFormula>$E$2*O2</calculatedColumnFormula>
    </tableColumn>
    <tableColumn id="16" xr3:uid="{552BE7D3-A41A-48A9-8D22-8ADE52EEE840}" name="10A25" dataDxfId="695" dataCellStyle="Virgül">
      <calculatedColumnFormula>$E$2*P2</calculatedColumnFormula>
    </tableColumn>
    <tableColumn id="17" xr3:uid="{0631A972-AEF1-433B-BDB5-2C2F16D69245}" name="11A25" dataDxfId="694" dataCellStyle="Virgül">
      <calculatedColumnFormula>$E$2*Q2</calculatedColumnFormula>
    </tableColumn>
    <tableColumn id="18" xr3:uid="{6B05336C-8321-4AAA-AD45-1A5EA9AD56F6}" name="12A25" dataDxfId="693" dataCellStyle="Virgül">
      <calculatedColumnFormula>$E$2*R2</calculatedColumnFormula>
    </tableColumn>
    <tableColumn id="19" xr3:uid="{3B71BD7B-C62C-49CF-AE03-81FB7E962410}" name="1A26" dataDxfId="692" dataCellStyle="Virgül">
      <calculatedColumnFormula>$E$2*S2</calculatedColumnFormula>
    </tableColumn>
    <tableColumn id="20" xr3:uid="{E073C929-9154-4374-A492-15BBCC2A7E6B}" name="2A26" dataDxfId="691" dataCellStyle="Virgül">
      <calculatedColumnFormula>$E$2*T2</calculatedColumnFormula>
    </tableColumn>
    <tableColumn id="21" xr3:uid="{958B8459-76A3-41AB-85F9-DF34C4C0C726}" name="3A26" dataDxfId="690" dataCellStyle="Virgül">
      <calculatedColumnFormula>$E$2*U2</calculatedColumnFormula>
    </tableColumn>
    <tableColumn id="22" xr3:uid="{1DA291E2-9F51-415B-810A-35AE81F2D8F0}" name="4A26" dataDxfId="689" dataCellStyle="Virgül">
      <calculatedColumnFormula>$E$2*V2</calculatedColumnFormula>
    </tableColumn>
    <tableColumn id="23" xr3:uid="{070FF361-5326-4FFC-8221-25F87427DAA7}" name="5A26" dataDxfId="688" dataCellStyle="Virgül">
      <calculatedColumnFormula>$E$2*W2</calculatedColumnFormula>
    </tableColumn>
    <tableColumn id="24" xr3:uid="{C606E99F-0A5E-4D5D-9BB8-7E216490C5E6}" name="6A26" dataDxfId="687" dataCellStyle="Virgül">
      <calculatedColumnFormula>$E$2*X2</calculatedColumnFormula>
    </tableColumn>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4E423570-5518-47D1-81AD-AC57DC8183F2}" name="Tablo44" displayName="Tablo44" ref="A20:X21" totalsRowShown="0" headerRowDxfId="686" dataDxfId="685" dataCellStyle="Virgül">
  <autoFilter ref="A20:X21" xr:uid="{4E423570-5518-47D1-81AD-AC57DC8183F2}"/>
  <tableColumns count="24">
    <tableColumn id="1" xr3:uid="{1E04A885-6DAE-458A-94C1-0823051B4238}" name="SANTRALLERİN TL BAZLI GETİRİLERİ" dataDxfId="684"/>
    <tableColumn id="2" xr3:uid="{05246F60-031F-45AA-84AE-168D0A852A8D}" name="Sütun1" dataDxfId="683"/>
    <tableColumn id="3" xr3:uid="{6FA62FA2-5197-4D74-8CF5-7038165AB159}" name="Sütun2" dataDxfId="682"/>
    <tableColumn id="4" xr3:uid="{2A136DC8-31B7-4751-A890-D103225195CC}" name="Sütun3" dataDxfId="681"/>
    <tableColumn id="5" xr3:uid="{C7227731-BD59-475B-B071-6A8C79B02BEC}" name="Sütun4" dataDxfId="680"/>
    <tableColumn id="6" xr3:uid="{D7692179-4662-490D-83C3-4AB78F1ED327}" name="Sütun5" dataDxfId="679"/>
    <tableColumn id="7" xr3:uid="{80D94A2D-2AD1-44D6-92D4-B0CEE73F90BF}" name="1A25" dataDxfId="678" dataCellStyle="Virgül">
      <calculatedColumnFormula>G28*G10</calculatedColumnFormula>
    </tableColumn>
    <tableColumn id="8" xr3:uid="{74048DFE-7AFF-474D-BDCA-2EA7FB6DD30F}" name="2A25" dataDxfId="677" dataCellStyle="Virgül">
      <calculatedColumnFormula>H28*H10</calculatedColumnFormula>
    </tableColumn>
    <tableColumn id="9" xr3:uid="{609DFCCB-974C-40D2-AE86-7DEFAC1F2034}" name="3A25" dataDxfId="676" dataCellStyle="Virgül">
      <calculatedColumnFormula>I28*I10</calculatedColumnFormula>
    </tableColumn>
    <tableColumn id="10" xr3:uid="{F3C900EA-429E-4580-9313-11A25B4179E1}" name="4A25" dataDxfId="675" dataCellStyle="Virgül">
      <calculatedColumnFormula>J28*J10</calculatedColumnFormula>
    </tableColumn>
    <tableColumn id="11" xr3:uid="{1739F4DC-9BAA-46F5-89C7-1634900B7308}" name="5A25" dataDxfId="674" dataCellStyle="Virgül">
      <calculatedColumnFormula>K28*K10</calculatedColumnFormula>
    </tableColumn>
    <tableColumn id="12" xr3:uid="{FAD72FE5-B620-4CD3-B9F0-5BBEF23EF98C}" name="6A25" dataDxfId="673" dataCellStyle="Virgül">
      <calculatedColumnFormula>L28*L10</calculatedColumnFormula>
    </tableColumn>
    <tableColumn id="13" xr3:uid="{400790F1-BF86-4D99-8CB1-2A655F9394D2}" name="7A25" dataDxfId="672" dataCellStyle="Virgül">
      <calculatedColumnFormula>M28*M10</calculatedColumnFormula>
    </tableColumn>
    <tableColumn id="14" xr3:uid="{21B1292D-29AD-49B4-A391-E29FF7A41D41}" name="8A25" dataDxfId="671" dataCellStyle="Virgül">
      <calculatedColumnFormula>N28*N10</calculatedColumnFormula>
    </tableColumn>
    <tableColumn id="15" xr3:uid="{DCB3DBA6-DD32-4F34-96FA-ADF2A9F1C2F9}" name="9A25" dataDxfId="670" dataCellStyle="Virgül">
      <calculatedColumnFormula>O28*O10</calculatedColumnFormula>
    </tableColumn>
    <tableColumn id="16" xr3:uid="{F9ACAC7F-50E3-4ED8-B54E-2FADF9A1CEB5}" name="10A25" dataDxfId="669" dataCellStyle="Virgül">
      <calculatedColumnFormula>P28*P10</calculatedColumnFormula>
    </tableColumn>
    <tableColumn id="17" xr3:uid="{54455316-CF05-445F-8877-F880FE8B4F74}" name="11A25" dataDxfId="668" dataCellStyle="Virgül">
      <calculatedColumnFormula>Q28*Q10</calculatedColumnFormula>
    </tableColumn>
    <tableColumn id="18" xr3:uid="{BED62197-F0BE-4D9D-9AF7-1B13139087EF}" name="12A25" dataDxfId="667" dataCellStyle="Virgül">
      <calculatedColumnFormula>R28*R10</calculatedColumnFormula>
    </tableColumn>
    <tableColumn id="19" xr3:uid="{3F57CFB8-29AF-4DDC-AC9D-9FCC5FF53D0B}" name="1A26" dataDxfId="666" dataCellStyle="Virgül">
      <calculatedColumnFormula>S28*S10</calculatedColumnFormula>
    </tableColumn>
    <tableColumn id="20" xr3:uid="{A7502C71-3D90-491B-A126-913C311D2C64}" name="2A26" dataDxfId="665" dataCellStyle="Virgül">
      <calculatedColumnFormula>T28*T10</calculatedColumnFormula>
    </tableColumn>
    <tableColumn id="21" xr3:uid="{D0241F28-EFF0-496F-AA28-DA8CF67F259A}" name="3A26" dataDxfId="664" dataCellStyle="Virgül">
      <calculatedColumnFormula>U28*U10</calculatedColumnFormula>
    </tableColumn>
    <tableColumn id="22" xr3:uid="{0A7C1D0C-5B7B-4940-A3F0-E48E97381FBD}" name="4A26" dataDxfId="663" dataCellStyle="Virgül">
      <calculatedColumnFormula>V28*V10</calculatedColumnFormula>
    </tableColumn>
    <tableColumn id="23" xr3:uid="{0078C4EC-F5CA-4621-8F61-FD203757EBC9}" name="5A26" dataDxfId="662" dataCellStyle="Virgül">
      <calculatedColumnFormula>W28*W10</calculatedColumnFormula>
    </tableColumn>
    <tableColumn id="24" xr3:uid="{D5C54EBC-DAC0-4300-A89E-4B43F953E1F5}" name="6A26" dataDxfId="661" dataCellStyle="Virgül">
      <calculatedColumnFormula>X28*X10</calculatedColumnFormula>
    </tableColumn>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50BE9EF-7012-44A1-A740-8E1ED01411FB}" name="Tablo14" displayName="Tablo14" ref="A1:X13" totalsRowShown="0" headerRowDxfId="660" dataDxfId="659">
  <autoFilter ref="A1:X13" xr:uid="{550BE9EF-7012-44A1-A740-8E1ED01411FB}"/>
  <tableColumns count="24">
    <tableColumn id="1" xr3:uid="{045EF1E8-DB4E-4A57-862B-8258C1CC3692}" name="SANTRAL ADI" dataDxfId="658"/>
    <tableColumn id="2" xr3:uid="{97576A27-64D3-4DB3-8267-E76ABD3068C7}" name="KURULU GÜÇ" dataDxfId="657"/>
    <tableColumn id="3" xr3:uid="{A5D44E4C-1847-4899-8835-7BD144AB706B}" name="EIC KODU" dataDxfId="656"/>
    <tableColumn id="4" xr3:uid="{E8B2D63B-89E1-4086-AD45-1426FF782E4B}" name="ID" dataDxfId="655"/>
    <tableColumn id="5" xr3:uid="{EB53F3ED-8FB6-4120-BE03-F43E0A59D824}" name="SATIŞ FİYATI" dataDxfId="654"/>
    <tableColumn id="6" xr3:uid="{22D159D8-E2B2-40B1-ACAD-A0E07ECCD9A6}" name="SÜRE (YIL SONU)" dataDxfId="653"/>
    <tableColumn id="7" xr3:uid="{6C21676E-14C1-4983-BD97-80D9BE9BB96D}" name="1A25" dataDxfId="652"/>
    <tableColumn id="8" xr3:uid="{285525A1-74D5-4CC2-8668-390A2E91405E}" name="2A25" dataDxfId="651"/>
    <tableColumn id="9" xr3:uid="{DE9AC4E7-0DB1-4B4A-B957-D3B6C2F0D0FE}" name="3A25" dataDxfId="650"/>
    <tableColumn id="10" xr3:uid="{ED8CD94F-DFAB-46F7-9AE6-629E8EF8E470}" name="4A25" dataDxfId="649"/>
    <tableColumn id="11" xr3:uid="{83F37C15-B6E1-411E-A028-2E455A153C8E}" name="5A25" dataDxfId="648"/>
    <tableColumn id="12" xr3:uid="{03520B55-C0B8-4469-8740-F697521B2241}" name="6A25" dataDxfId="647"/>
    <tableColumn id="13" xr3:uid="{92211FEC-821E-4A92-B654-AB6F0FF63222}" name="7A25" dataDxfId="646"/>
    <tableColumn id="14" xr3:uid="{9B7B366F-7113-4051-B70A-E3E428352731}" name="8A25" dataDxfId="645"/>
    <tableColumn id="15" xr3:uid="{E2252623-31D0-4BC5-8708-66F2B26A3A91}" name="9A25" dataDxfId="644"/>
    <tableColumn id="16" xr3:uid="{BACFB981-6E06-45CE-9968-1E445E042F4E}" name="10A25" dataDxfId="643"/>
    <tableColumn id="17" xr3:uid="{8099FE55-BB25-4ADD-A00D-7D851FC7165A}" name="11A25" dataDxfId="642"/>
    <tableColumn id="18" xr3:uid="{4F0DE88B-362E-4FD0-8EBA-7B4A6C0FA1EA}" name="12A25" dataDxfId="641"/>
    <tableColumn id="19" xr3:uid="{22FDD7A7-748E-4A24-99AA-A4D855797AE3}" name="1A26" dataDxfId="640"/>
    <tableColumn id="20" xr3:uid="{DD504FD2-2D9B-4A84-8E2B-2F873903F77A}" name="2A26" dataDxfId="639"/>
    <tableColumn id="21" xr3:uid="{F73BEA20-8BB2-4A6A-8D3C-48D17C0A1CF4}" name="3A26" dataDxfId="638"/>
    <tableColumn id="22" xr3:uid="{07B52FDD-C580-4675-BBA0-DE06C9833EBA}" name="4A26" dataDxfId="637"/>
    <tableColumn id="23" xr3:uid="{089436E2-47E4-4F53-A3E9-1CFD39EE9646}" name="5A26" dataDxfId="636"/>
    <tableColumn id="24" xr3:uid="{C2F01C53-0651-4DEA-80F0-F3C2E80AC8A3}" name="6A26" dataDxfId="635"/>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F40A5B8-5346-4601-833A-D2C6C31FC31C}" name="Tablo45" displayName="Tablo45" ref="A19:X20" totalsRowShown="0" headerRowDxfId="634" dataDxfId="633">
  <autoFilter ref="A19:X20" xr:uid="{5F40A5B8-5346-4601-833A-D2C6C31FC31C}"/>
  <tableColumns count="24">
    <tableColumn id="1" xr3:uid="{C28FD736-DF78-4F41-936E-0B35EBB52AF3}" name="SANTRALLERİN DOLAR BAZLI GETİRİLERİ" dataDxfId="632"/>
    <tableColumn id="2" xr3:uid="{9C0D9FF6-B909-4C89-BD67-973953448457}" name="Sütun1" dataDxfId="631"/>
    <tableColumn id="3" xr3:uid="{7E8E7D48-2EE8-4331-9D10-688824A40886}" name="Sütun2" dataDxfId="630"/>
    <tableColumn id="4" xr3:uid="{62933A70-D3BC-4B9A-9904-2B118971BF5D}" name="Sütun3" dataDxfId="629"/>
    <tableColumn id="5" xr3:uid="{2964EF1F-77E0-44B3-8689-379DD44B6479}" name="Sütun4" dataDxfId="628"/>
    <tableColumn id="6" xr3:uid="{8AD9973D-2D7E-441C-8467-F95430325C5E}" name="Sütun5" dataDxfId="627"/>
    <tableColumn id="7" xr3:uid="{6F1A42C7-60D9-4958-8B13-7AAA48773FAE}" name="1A25" dataDxfId="626" dataCellStyle="Virgül">
      <calculatedColumnFormula>$E$2*G2</calculatedColumnFormula>
    </tableColumn>
    <tableColumn id="8" xr3:uid="{38932436-E3C6-4C9F-A701-C32E8DB48159}" name="2A25" dataDxfId="625" dataCellStyle="Virgül">
      <calculatedColumnFormula>$E$2*H2</calculatedColumnFormula>
    </tableColumn>
    <tableColumn id="9" xr3:uid="{2EF1442F-1112-413D-9851-6314DAEF89D2}" name="3A25" dataDxfId="624" dataCellStyle="Virgül">
      <calculatedColumnFormula>$E$2*I2</calculatedColumnFormula>
    </tableColumn>
    <tableColumn id="10" xr3:uid="{371680A2-7CB9-4435-AF74-7FFFB8BB0A45}" name="4A25" dataDxfId="623" dataCellStyle="Virgül">
      <calculatedColumnFormula>$E$2*J2</calculatedColumnFormula>
    </tableColumn>
    <tableColumn id="11" xr3:uid="{78D65935-1442-4BAC-BDF3-3F256F4BEA39}" name="5A25" dataDxfId="622" dataCellStyle="Virgül">
      <calculatedColumnFormula>$E$2*K2</calculatedColumnFormula>
    </tableColumn>
    <tableColumn id="12" xr3:uid="{FE876695-4176-4FD3-96E1-8980A8E8ECEA}" name="6A25" dataDxfId="621" dataCellStyle="Virgül">
      <calculatedColumnFormula>$E$2*L2</calculatedColumnFormula>
    </tableColumn>
    <tableColumn id="13" xr3:uid="{FC1A7E9B-DF16-4A3A-904B-E1BD86EC0594}" name="7A25" dataDxfId="620" dataCellStyle="Virgül">
      <calculatedColumnFormula>$E$2*M2</calculatedColumnFormula>
    </tableColumn>
    <tableColumn id="14" xr3:uid="{87A0DF4F-6C16-4BE6-9CCB-B87F9023B471}" name="8A25" dataDxfId="619" dataCellStyle="Virgül">
      <calculatedColumnFormula>$E$2*N2</calculatedColumnFormula>
    </tableColumn>
    <tableColumn id="15" xr3:uid="{EBC114DD-FE72-4EAC-88EE-1429D93B1A48}" name="9A25" dataDxfId="618" dataCellStyle="Virgül">
      <calculatedColumnFormula>$E$2*O2</calculatedColumnFormula>
    </tableColumn>
    <tableColumn id="16" xr3:uid="{1D9AB36E-4221-4346-8AF8-E47E3968FF6C}" name="10A25" dataDxfId="617" dataCellStyle="Virgül">
      <calculatedColumnFormula>$E$2*P2</calculatedColumnFormula>
    </tableColumn>
    <tableColumn id="17" xr3:uid="{7A6D6B10-90B2-4856-859E-4C9E8B9B2B75}" name="11A25" dataDxfId="616" dataCellStyle="Virgül">
      <calculatedColumnFormula>$E$2*Q2</calculatedColumnFormula>
    </tableColumn>
    <tableColumn id="18" xr3:uid="{9436C6B7-9ECA-4CEF-AD7E-1C3E2D63AEC0}" name="12A25" dataDxfId="615" dataCellStyle="Virgül">
      <calculatedColumnFormula>$E$2*R2</calculatedColumnFormula>
    </tableColumn>
    <tableColumn id="19" xr3:uid="{D889F19F-AD69-4DD7-BC89-4D42F61DEF2F}" name="1A26" dataDxfId="614" dataCellStyle="Virgül">
      <calculatedColumnFormula>$E$2*S2</calculatedColumnFormula>
    </tableColumn>
    <tableColumn id="20" xr3:uid="{04D11626-0B2F-4716-882F-9D53EEFB3F13}" name="2A26" dataDxfId="613" dataCellStyle="Virgül">
      <calculatedColumnFormula>$E$2*T2</calculatedColumnFormula>
    </tableColumn>
    <tableColumn id="21" xr3:uid="{F999A97F-6461-4F6A-8C3C-6DD58CC76F5A}" name="3A26" dataDxfId="612" dataCellStyle="Virgül">
      <calculatedColumnFormula>$E$2*U2</calculatedColumnFormula>
    </tableColumn>
    <tableColumn id="22" xr3:uid="{70E648DF-8A70-4C18-84F4-C331729048F7}" name="4A26" dataDxfId="611" dataCellStyle="Virgül">
      <calculatedColumnFormula>$E$2*V2</calculatedColumnFormula>
    </tableColumn>
    <tableColumn id="23" xr3:uid="{FEE579A0-EC5D-43FE-B19F-147E11934071}" name="5A26" dataDxfId="610" dataCellStyle="Virgül">
      <calculatedColumnFormula>$E$2*W2</calculatedColumnFormula>
    </tableColumn>
    <tableColumn id="24" xr3:uid="{375611B7-350E-4582-BC41-B4B9A63D69FA}" name="6A26" dataDxfId="609" dataCellStyle="Virgül">
      <calculatedColumnFormula>$E$2*X2</calculatedColumnFormula>
    </tableColumn>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1177354-F2B4-4680-9D1C-F20357024AE5}" name="Tablo46" displayName="Tablo46" ref="A26:X27" totalsRowShown="0" headerRowDxfId="608" dataDxfId="607">
  <autoFilter ref="A26:X27" xr:uid="{A1177354-F2B4-4680-9D1C-F20357024AE5}"/>
  <tableColumns count="24">
    <tableColumn id="1" xr3:uid="{F935686E-163A-49B0-B4C4-6CB52E13A75D}" name="SANTRALLERİN TL BAZLI GETİRİLERİ" dataDxfId="606"/>
    <tableColumn id="2" xr3:uid="{870249DD-B6D7-44E6-8E57-909C59406F3D}" name="Sütun1" dataDxfId="605"/>
    <tableColumn id="3" xr3:uid="{1B9BA7C3-3688-430C-BE7F-506B22EA538B}" name="Sütun2" dataDxfId="604"/>
    <tableColumn id="4" xr3:uid="{ECA105D0-9BEF-4CDC-B4F3-CF81B07BA655}" name="Sütun3" dataDxfId="603"/>
    <tableColumn id="5" xr3:uid="{42AA81C3-B2FA-4292-83C9-C45020B4C427}" name="Sütun4" dataDxfId="602"/>
    <tableColumn id="6" xr3:uid="{D908BFFF-D3CD-4794-AE48-B8F84C33EB1C}" name="Sütun5" dataDxfId="601"/>
    <tableColumn id="7" xr3:uid="{B6C12EAF-1697-49D0-BB35-0CCDD10E56DE}" name="1A25" dataDxfId="600" dataCellStyle="Virgül">
      <calculatedColumnFormula>G34*G20</calculatedColumnFormula>
    </tableColumn>
    <tableColumn id="8" xr3:uid="{A74982F5-D204-4005-9559-F7303E118AC2}" name="2A25" dataDxfId="599" dataCellStyle="Virgül">
      <calculatedColumnFormula>H34*H20</calculatedColumnFormula>
    </tableColumn>
    <tableColumn id="9" xr3:uid="{235C9164-A096-463B-99E0-0514AB94D805}" name="3A25" dataDxfId="598" dataCellStyle="Virgül">
      <calculatedColumnFormula>I34*I20</calculatedColumnFormula>
    </tableColumn>
    <tableColumn id="10" xr3:uid="{FBF8669D-DBE2-485F-895E-C0638BA4948D}" name="4A25" dataDxfId="597" dataCellStyle="Virgül">
      <calculatedColumnFormula>J34*J20</calculatedColumnFormula>
    </tableColumn>
    <tableColumn id="11" xr3:uid="{9487D9F1-A73F-4F3F-8C71-513F05E48F14}" name="5A25" dataDxfId="596" dataCellStyle="Virgül">
      <calculatedColumnFormula>K34*K20</calculatedColumnFormula>
    </tableColumn>
    <tableColumn id="12" xr3:uid="{4146C91A-C1A2-44E8-A5E3-305C451B0DC9}" name="6A25" dataDxfId="595" dataCellStyle="Virgül">
      <calculatedColumnFormula>L34*L20</calculatedColumnFormula>
    </tableColumn>
    <tableColumn id="13" xr3:uid="{D55F11FA-21C9-4C99-9645-96309B2534D7}" name="7A25" dataDxfId="594" dataCellStyle="Virgül">
      <calculatedColumnFormula>M34*M20</calculatedColumnFormula>
    </tableColumn>
    <tableColumn id="14" xr3:uid="{9D2DDF18-70BC-43F0-8230-F3C012B8AD52}" name="8A25" dataDxfId="593" dataCellStyle="Virgül">
      <calculatedColumnFormula>N34*N20</calculatedColumnFormula>
    </tableColumn>
    <tableColumn id="15" xr3:uid="{97560280-2E82-4841-BF4F-03DE315C590B}" name="9A25" dataDxfId="592" dataCellStyle="Virgül">
      <calculatedColumnFormula>O34*O20</calculatedColumnFormula>
    </tableColumn>
    <tableColumn id="16" xr3:uid="{B27CF5E2-467D-47D9-B67F-E17816CF8DE6}" name="10A25" dataDxfId="591" dataCellStyle="Virgül">
      <calculatedColumnFormula>P34*P20</calculatedColumnFormula>
    </tableColumn>
    <tableColumn id="17" xr3:uid="{8139CE87-05E8-4902-BCED-96055A440348}" name="11A25" dataDxfId="590" dataCellStyle="Virgül">
      <calculatedColumnFormula>Q34*Q20</calculatedColumnFormula>
    </tableColumn>
    <tableColumn id="18" xr3:uid="{395AE67B-2425-475A-BC66-CD2FEECD493A}" name="12A25" dataDxfId="589" dataCellStyle="Virgül">
      <calculatedColumnFormula>R34*R20</calculatedColumnFormula>
    </tableColumn>
    <tableColumn id="19" xr3:uid="{8CF4BF93-6D4B-4180-BAC1-AF1AA94FE4BE}" name="1A26" dataDxfId="588" dataCellStyle="Virgül">
      <calculatedColumnFormula>S34*S20</calculatedColumnFormula>
    </tableColumn>
    <tableColumn id="20" xr3:uid="{42DF1F28-5F56-48B6-B924-3B04167ADCF1}" name="2A26" dataDxfId="587" dataCellStyle="Virgül">
      <calculatedColumnFormula>T34*T20</calculatedColumnFormula>
    </tableColumn>
    <tableColumn id="21" xr3:uid="{CD4557D5-D1A4-4A15-965A-69C057E795B1}" name="3A26" dataDxfId="586" dataCellStyle="Virgül">
      <calculatedColumnFormula>U34*U20</calculatedColumnFormula>
    </tableColumn>
    <tableColumn id="22" xr3:uid="{C22478E4-27FE-454B-B5E5-A4992BD6E7FA}" name="4A26" dataDxfId="585" dataCellStyle="Virgül">
      <calculatedColumnFormula>V34*V20</calculatedColumnFormula>
    </tableColumn>
    <tableColumn id="23" xr3:uid="{255AE2DD-B903-4C82-B2C2-EFF5F13588F2}" name="5A26" dataDxfId="584" dataCellStyle="Virgül">
      <calculatedColumnFormula>W34*W20</calculatedColumnFormula>
    </tableColumn>
    <tableColumn id="24" xr3:uid="{ADFD4545-7FD9-4349-AE58-35B5BAFF1A1C}" name="6A26" dataDxfId="583" dataCellStyle="Virgül">
      <calculatedColumnFormula>X34*X20</calculatedColumnFormula>
    </tableColumn>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6775962-5751-4D91-BD1C-1742F869F263}" name="Tablo15" displayName="Tablo15" ref="A1:X15" totalsRowShown="0" headerRowDxfId="582" dataDxfId="581">
  <autoFilter ref="A1:X15" xr:uid="{E6775962-5751-4D91-BD1C-1742F869F263}"/>
  <tableColumns count="24">
    <tableColumn id="1" xr3:uid="{25F7E7ED-A57A-4C91-AD04-8E0E99131A0C}" name="SANTRAL ADI" dataDxfId="580"/>
    <tableColumn id="2" xr3:uid="{10EC7B96-9457-48CF-896A-B50C3FB3BC38}" name="KURULU GÜÇ" dataDxfId="579"/>
    <tableColumn id="3" xr3:uid="{4C305B20-2E14-4133-9473-E2D06CEE1BD3}" name="EIC KODU" dataDxfId="578"/>
    <tableColumn id="4" xr3:uid="{C9B20B7F-72B7-443D-BE5A-AE6C9A43DDD2}" name="ID" dataDxfId="577"/>
    <tableColumn id="5" xr3:uid="{700FBC82-2A76-4F89-AB08-F4EB922C9145}" name="SATIŞ FİYATI" dataDxfId="576"/>
    <tableColumn id="6" xr3:uid="{629845E1-6739-40B1-935A-8B2CC64C968D}" name="SÜRE (YIL SONU)" dataDxfId="575"/>
    <tableColumn id="7" xr3:uid="{D5B6E706-00A8-4023-981C-F981ED011346}" name="1A25" dataDxfId="574"/>
    <tableColumn id="8" xr3:uid="{72EC7959-9CBE-4BDA-8C2C-FC8D271C8DE3}" name="2A25" dataDxfId="573"/>
    <tableColumn id="9" xr3:uid="{BBC10CC8-E83B-4DA9-A463-BF9B3D0A55B8}" name="3A25" dataDxfId="572"/>
    <tableColumn id="10" xr3:uid="{5566204F-BE4E-4FAB-AB1C-6D7A0C26351E}" name="4A25" dataDxfId="571"/>
    <tableColumn id="11" xr3:uid="{109CD2E8-22D8-4AF9-87E3-17EBA8DCEB07}" name="5A25" dataDxfId="570"/>
    <tableColumn id="12" xr3:uid="{DC70612E-B668-4F1C-9257-B1E94234F527}" name="6A25" dataDxfId="569"/>
    <tableColumn id="13" xr3:uid="{80542CA2-86DC-4BB1-8E44-8FC8E78D774D}" name="7A25" dataDxfId="568"/>
    <tableColumn id="14" xr3:uid="{BF5BB534-7517-4D44-B1D1-23E20468E394}" name="8A25" dataDxfId="567"/>
    <tableColumn id="15" xr3:uid="{F391E847-CB43-40D2-B49A-E0BDC36AEC85}" name="9A25" dataDxfId="566"/>
    <tableColumn id="16" xr3:uid="{369896EE-0CDC-47CE-9B27-A4737A5E855E}" name="10A25" dataDxfId="565"/>
    <tableColumn id="17" xr3:uid="{3E0555E9-1223-4262-BB87-B04C2C33F3F1}" name="11A25" dataDxfId="564"/>
    <tableColumn id="18" xr3:uid="{C75EF00D-0EDC-44AE-9348-6CCE26030B79}" name="12A25" dataDxfId="563"/>
    <tableColumn id="19" xr3:uid="{911922E8-76DE-4298-9E88-FAAB56D0065F}" name="1A26" dataDxfId="562"/>
    <tableColumn id="20" xr3:uid="{74A306E3-2A20-448E-818B-858D2AC24C51}" name="2A26" dataDxfId="561"/>
    <tableColumn id="21" xr3:uid="{8520A91E-A177-40CC-9CCC-9511E24668BD}" name="3A26" dataDxfId="560"/>
    <tableColumn id="22" xr3:uid="{7655F3FD-04B8-4DDC-A42F-6C3A714CC1E2}" name="4A26" dataDxfId="559"/>
    <tableColumn id="23" xr3:uid="{563C98D3-4B29-42C0-A790-F9E395338CD1}" name="5A26" dataDxfId="558"/>
    <tableColumn id="24" xr3:uid="{D3220817-3C5B-4137-8F69-C8D15401BABC}" name="6A26" dataDxfId="557"/>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0499537-F623-4C7F-8B26-A0154244F0C7}" name="Tablo47" displayName="Tablo47" ref="A26:X36" totalsRowShown="0" headerRowDxfId="556" dataDxfId="555" headerRowCellStyle="Virgül" dataCellStyle="Virgül">
  <autoFilter ref="A26:X36" xr:uid="{30499537-F623-4C7F-8B26-A0154244F0C7}"/>
  <tableColumns count="24">
    <tableColumn id="1" xr3:uid="{26A6811F-68C0-42A0-A0B3-06A969A8E475}" name="SANTRALLERİN DOLAR BAZLI GETİRİLERİ" dataDxfId="554" dataCellStyle="Virgül"/>
    <tableColumn id="2" xr3:uid="{EE3DBB6D-9E4D-4A9D-8BCE-836BC4E685A8}" name="Sütun1" dataDxfId="553" dataCellStyle="Virgül"/>
    <tableColumn id="3" xr3:uid="{FFDE067F-DAF9-48C1-9909-3147C7EFE7B4}" name="Sütun2" dataDxfId="552" dataCellStyle="Virgül"/>
    <tableColumn id="4" xr3:uid="{FE4CE9D0-1C50-44E1-BF76-AD515A474DA2}" name="Sütun3" dataDxfId="551" dataCellStyle="Virgül"/>
    <tableColumn id="5" xr3:uid="{8BAEEED5-2AB8-4312-9F32-60DC7A3342EB}" name="Sütun4" dataDxfId="550" dataCellStyle="Virgül"/>
    <tableColumn id="6" xr3:uid="{70C6F5D9-FC9D-494B-9AD2-26552AFF87E5}" name="Sütun5" dataDxfId="549" dataCellStyle="Virgül"/>
    <tableColumn id="7" xr3:uid="{ADBD97BE-F918-4F22-B971-D9AAC41CFBA6}" name="1A25" dataDxfId="548" dataCellStyle="Virgül"/>
    <tableColumn id="8" xr3:uid="{2D20382F-5BB9-423A-869F-4FAED88FF012}" name="2A25" dataDxfId="547" dataCellStyle="Virgül"/>
    <tableColumn id="9" xr3:uid="{CBA0B1CA-9EF2-4E88-88EF-3AC3ACE2C540}" name="3A25" dataDxfId="546" dataCellStyle="Virgül"/>
    <tableColumn id="10" xr3:uid="{0660533A-8F30-400F-9D2E-85E0B67D00E2}" name="4A25" dataDxfId="545" dataCellStyle="Virgül"/>
    <tableColumn id="11" xr3:uid="{AF34E771-CAA4-4045-95F3-316C2A52FDCE}" name="5A25" dataDxfId="544" dataCellStyle="Virgül"/>
    <tableColumn id="12" xr3:uid="{63C6EA27-5636-4B66-BD11-AA924BEA83A6}" name="6A25" dataDxfId="543" dataCellStyle="Virgül"/>
    <tableColumn id="13" xr3:uid="{399459F4-7D0F-4817-B05D-8D407B7F96F9}" name="7A25" dataDxfId="542" dataCellStyle="Virgül"/>
    <tableColumn id="14" xr3:uid="{4DD9E809-ACAE-4BCF-B630-F3D572E2798F}" name="8A25" dataDxfId="541" dataCellStyle="Virgül"/>
    <tableColumn id="15" xr3:uid="{60EE6959-EF44-44EA-AA4C-D174D37C817D}" name="9A25" dataDxfId="540" dataCellStyle="Virgül"/>
    <tableColumn id="16" xr3:uid="{CBC20AD3-5E13-49BB-A4F5-C4C7647C359C}" name="10A25" dataDxfId="539" dataCellStyle="Virgül"/>
    <tableColumn id="17" xr3:uid="{88018A0E-B21C-43D1-8750-869619E47BED}" name="11A25" dataDxfId="538" dataCellStyle="Virgül"/>
    <tableColumn id="18" xr3:uid="{583CC95B-5345-471F-938F-5D76AF07A374}" name="12A25" dataDxfId="537" dataCellStyle="Virgül"/>
    <tableColumn id="19" xr3:uid="{FEB6AB10-D8D6-47A4-871E-5BCF04D7D4A2}" name="1A26" dataDxfId="536" dataCellStyle="Virgül"/>
    <tableColumn id="20" xr3:uid="{9D16D065-6328-42FB-82C3-3A6FBE4342E6}" name="2A26" dataDxfId="535" dataCellStyle="Virgül"/>
    <tableColumn id="21" xr3:uid="{7A024335-9C8E-43F3-977D-E6C11C3195FD}" name="3A26" dataDxfId="534" dataCellStyle="Virgül"/>
    <tableColumn id="22" xr3:uid="{B3BCDA7B-DD8B-4CDC-A1BE-5C7CC86AE529}" name="4A26" dataDxfId="533" dataCellStyle="Virgül">
      <calculatedColumnFormula>V44*V2</calculatedColumnFormula>
    </tableColumn>
    <tableColumn id="23" xr3:uid="{1D9FCFD1-7241-49B2-8F05-5D6FE69FE1DF}" name="5A26" dataDxfId="532" dataCellStyle="Virgül"/>
    <tableColumn id="24" xr3:uid="{579676BF-0BE2-4B77-B5F5-9AD41C91FB6A}" name="6A26" dataDxfId="531" dataCellStyle="Virgül"/>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95E7716B-D2D1-49F7-8BF4-CDD6877824EC}" name="Tablo48" displayName="Tablo48" ref="A46:X56" totalsRowShown="0" headerRowDxfId="530" headerRowCellStyle="Virgül" dataCellStyle="Virgül">
  <autoFilter ref="A46:X56" xr:uid="{95E7716B-D2D1-49F7-8BF4-CDD6877824EC}"/>
  <tableColumns count="24">
    <tableColumn id="1" xr3:uid="{146A0BD0-8501-4CDA-B87F-85A41CD98B97}" name="SANTRALLERİN TL BAZLI GETİRİLERİ" dataDxfId="529" dataCellStyle="Virgül"/>
    <tableColumn id="2" xr3:uid="{0196FEF3-23CD-4921-97BF-7DCAD83B50C1}" name="Sütun1" dataCellStyle="Virgül"/>
    <tableColumn id="3" xr3:uid="{BFEB969B-93FF-4F8B-832E-DC00CB72EEA8}" name="Sütun2" dataCellStyle="Virgül"/>
    <tableColumn id="4" xr3:uid="{B9862CF1-94F1-4098-8164-3BEB98E77D14}" name="Sütun3" dataCellStyle="Virgül"/>
    <tableColumn id="5" xr3:uid="{1616B445-F917-4897-A0FA-AC583638DC7E}" name="Sütun4" dataCellStyle="Virgül"/>
    <tableColumn id="6" xr3:uid="{EB649C9E-DD7E-4F2C-AC65-A2B3D718A297}" name="Sütun5" dataCellStyle="Virgül"/>
    <tableColumn id="7" xr3:uid="{FFB52BB1-F327-4A77-A6F3-817F91410EF0}" name="1A25" dataCellStyle="Virgül"/>
    <tableColumn id="8" xr3:uid="{F2A4B84E-1B60-44C8-9C0D-262EE0D76DF4}" name="2A25" dataCellStyle="Virgül"/>
    <tableColumn id="9" xr3:uid="{74000868-F899-4742-B0FD-B7E261B7790C}" name="3A25" dataCellStyle="Virgül"/>
    <tableColumn id="10" xr3:uid="{E3BF1933-FB4A-477C-9F49-57D56A9C609F}" name="4A25" dataCellStyle="Virgül"/>
    <tableColumn id="11" xr3:uid="{D227CF3A-3656-414E-AB88-F76518E4D316}" name="5A25" dataCellStyle="Virgül"/>
    <tableColumn id="12" xr3:uid="{9B71B2F4-E5B7-4A23-B51D-F6869171403C}" name="6A25" dataCellStyle="Virgül"/>
    <tableColumn id="13" xr3:uid="{D35A151F-806B-4971-AA61-4F220086A2BE}" name="7A25" dataCellStyle="Virgül"/>
    <tableColumn id="14" xr3:uid="{F71E9DD8-A4DE-4C19-B86B-31DC06E1CB0B}" name="8A25" dataCellStyle="Virgül"/>
    <tableColumn id="15" xr3:uid="{81F8674A-3714-49ED-A3DE-D558C86547B8}" name="9A25" dataCellStyle="Virgül"/>
    <tableColumn id="16" xr3:uid="{CF6BE9B1-790A-4B50-8E47-7B2804B8FCF9}" name="10A25" dataCellStyle="Virgül"/>
    <tableColumn id="17" xr3:uid="{3A2DCCA9-7CC8-4EE8-815B-DA82DBEA1F59}" name="11A25" dataCellStyle="Virgül"/>
    <tableColumn id="18" xr3:uid="{7BC896E1-402D-457A-97BB-2FA64BCDD66F}" name="12A25" dataCellStyle="Virgül"/>
    <tableColumn id="19" xr3:uid="{A54B0BB0-531F-4983-A97C-5F7115ADC653}" name="1A26" dataCellStyle="Virgül"/>
    <tableColumn id="20" xr3:uid="{3C68AE12-BA46-4F57-8D40-8A03FAD66AB3}" name="2A26" dataCellStyle="Virgül"/>
    <tableColumn id="21" xr3:uid="{6ECF281B-370C-4848-B99D-BFFBA7C94474}" name="3A26" dataCellStyle="Virgül"/>
    <tableColumn id="22" xr3:uid="{23BA1001-FBAB-4C43-AB09-3CC99E1B884B}" name="4A26" dataCellStyle="Virgül"/>
    <tableColumn id="23" xr3:uid="{07293AC9-679F-4FBF-AE96-D00696B0022F}" name="5A26" dataCellStyle="Virgül"/>
    <tableColumn id="24" xr3:uid="{A0234197-0179-4B88-8175-77C6556CF321}" name="6A26" dataCellStyle="Virgül"/>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7217033-E3EF-477C-A457-97F950E2A29D}" name="Tablo16" displayName="Tablo16" ref="A1:X12" totalsRowShown="0" headerRowDxfId="528" dataDxfId="527">
  <autoFilter ref="A1:X12" xr:uid="{F7217033-E3EF-477C-A457-97F950E2A29D}"/>
  <tableColumns count="24">
    <tableColumn id="1" xr3:uid="{33639061-5A81-4187-A690-CCBA8C3D654A}" name="SANTRAL ADI" dataDxfId="526"/>
    <tableColumn id="2" xr3:uid="{C0ADCE7F-894F-45C9-B1E7-413E68E957C7}" name="KURULU GÜÇ" dataDxfId="525"/>
    <tableColumn id="3" xr3:uid="{94EC8A51-5BA9-467D-A9BC-912DD5D38FB7}" name="EIC KODU" dataDxfId="524"/>
    <tableColumn id="4" xr3:uid="{668CB39D-F2C3-41F6-850D-C947BF2303A8}" name="ID" dataDxfId="523"/>
    <tableColumn id="5" xr3:uid="{37142F9C-8456-4EB1-8EB6-BB11E750D823}" name="SATIŞ FİYATI" dataDxfId="522"/>
    <tableColumn id="6" xr3:uid="{DBFFF576-7FD2-4D21-B060-6FF33FC199A3}" name="SÜRE (YIL SONU9" dataDxfId="521"/>
    <tableColumn id="7" xr3:uid="{915D02C0-BC46-41E3-9323-6785F517E1D0}" name="1A25" dataDxfId="520"/>
    <tableColumn id="8" xr3:uid="{47E7F8FC-61D0-46CF-B680-2523C87B9A72}" name="2A25" dataDxfId="519"/>
    <tableColumn id="9" xr3:uid="{78D1C691-6553-40D9-B744-4D78637A792C}" name="3A25" dataDxfId="518"/>
    <tableColumn id="10" xr3:uid="{BF59CCB2-79AC-4C83-98CF-03F4342F0F3E}" name="4A25" dataDxfId="517"/>
    <tableColumn id="11" xr3:uid="{F084E22A-4080-4AE1-8028-8A83C39AC3D6}" name="5A25" dataDxfId="516"/>
    <tableColumn id="12" xr3:uid="{29A3968D-5126-464D-ABE4-DD17758C46B4}" name="6A25" dataDxfId="515"/>
    <tableColumn id="13" xr3:uid="{AFBEF5F7-6B2F-43A2-9C5F-43348522E6D5}" name="7A25" dataDxfId="514"/>
    <tableColumn id="14" xr3:uid="{75AD9C82-FFD0-4C15-B8E3-5E3DD4B8888D}" name="8A25" dataDxfId="513"/>
    <tableColumn id="15" xr3:uid="{941E833A-8C85-4875-B0B6-8103692E4033}" name="9A25" dataDxfId="512"/>
    <tableColumn id="16" xr3:uid="{FBC60C7F-C4A1-41CA-97A7-C7F5F26E7F60}" name="10A25" dataDxfId="511"/>
    <tableColumn id="17" xr3:uid="{00145528-D751-488A-9374-40C974B14483}" name="11A25" dataDxfId="510"/>
    <tableColumn id="18" xr3:uid="{5CD67950-F463-4A51-8BAC-DAE593FB73A3}" name="12A25" dataDxfId="509"/>
    <tableColumn id="19" xr3:uid="{8FA6B1F2-925C-4DEE-BE8E-6C2CD909393A}" name="1A26" dataDxfId="508"/>
    <tableColumn id="20" xr3:uid="{F1F7006F-A7C2-4E55-8C90-632C816A9221}" name="2A26" dataDxfId="507"/>
    <tableColumn id="21" xr3:uid="{A90376C7-0160-4D60-BF7D-58EA9F9911CC}" name="3A26" dataDxfId="506"/>
    <tableColumn id="22" xr3:uid="{0218ACED-3E28-41AF-966B-C7886B10A0C6}" name="4A26" dataDxfId="505"/>
    <tableColumn id="23" xr3:uid="{BAC5D4DC-4DA8-4166-BC91-DD4AE1975AB5}" name="5A26" dataDxfId="504"/>
    <tableColumn id="24" xr3:uid="{686C027F-8AF2-4B41-AFB7-9092D716EF76}" name="6A26" dataDxfId="503"/>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9750BE36-C9C5-4C92-9C1D-9077378FB6BB}" name="Tablo49" displayName="Tablo49" ref="A17:X27" totalsRowShown="0" headerRowDxfId="502">
  <autoFilter ref="A17:X27" xr:uid="{9750BE36-C9C5-4C92-9C1D-9077378FB6BB}"/>
  <tableColumns count="24">
    <tableColumn id="1" xr3:uid="{A3D1825D-D64D-40B5-B204-EDA0A1D0D03B}" name="SANTRALLERİN DOLAR BAZLI GETİRİLERİ" dataDxfId="501"/>
    <tableColumn id="2" xr3:uid="{4595B978-41A4-40BA-B439-843F2E75F7DE}" name="Sütun1" dataDxfId="500"/>
    <tableColumn id="3" xr3:uid="{54F0E9C3-02C9-4A64-8BC4-E03B9C1D4F2B}" name="Sütun2" dataDxfId="499"/>
    <tableColumn id="4" xr3:uid="{3C337D08-D689-4F6C-A56D-16712A84E335}" name="Sütun3" dataDxfId="498"/>
    <tableColumn id="5" xr3:uid="{8B35C2BC-636A-459E-9741-C273F266E913}" name="Sütun4" dataDxfId="497"/>
    <tableColumn id="6" xr3:uid="{44D8807C-CF09-42B5-9619-30ADE1F0528D}" name="Sütun5" dataDxfId="496"/>
    <tableColumn id="7" xr3:uid="{AEA0E852-33D3-4DAB-A68D-D0F45688BE15}" name="1A25" dataCellStyle="Virgül"/>
    <tableColumn id="8" xr3:uid="{C666BAB4-21B8-4D16-B7DD-1DFE0A22B311}" name="2A25" dataCellStyle="Virgül"/>
    <tableColumn id="9" xr3:uid="{44D5D49B-5FA9-4CCC-9B85-40B6FF63680D}" name="3A25" dataCellStyle="Virgül"/>
    <tableColumn id="10" xr3:uid="{3B36B2BF-8EB1-431C-97C9-32969ED9B04F}" name="4A25" dataCellStyle="Virgül"/>
    <tableColumn id="11" xr3:uid="{0B7A5CD4-CDFF-4C2E-A107-60FC6F091AA7}" name="5A25" dataCellStyle="Virgül"/>
    <tableColumn id="12" xr3:uid="{B6911B62-25A8-416F-8E9E-4527583516E1}" name="6A25" dataCellStyle="Virgül"/>
    <tableColumn id="13" xr3:uid="{62CBCAEF-1B67-4760-BAE7-57CF838D6903}" name="7A25" dataCellStyle="Virgül"/>
    <tableColumn id="14" xr3:uid="{F654D37E-548F-4F86-846C-804E9EA62584}" name="8A25" dataCellStyle="Virgül"/>
    <tableColumn id="15" xr3:uid="{414F2974-550B-4430-9491-4957510AE3EF}" name="9A25" dataCellStyle="Virgül"/>
    <tableColumn id="16" xr3:uid="{F871F7D7-D6F4-46E3-B452-0BAED9E3B5BC}" name="10A25" dataCellStyle="Virgül"/>
    <tableColumn id="17" xr3:uid="{145132A3-743D-413C-802A-CFEFEAC2F0EF}" name="11A25" dataCellStyle="Virgül"/>
    <tableColumn id="18" xr3:uid="{56450128-DD0F-4D91-B00D-07C2D7E38AAB}" name="12A25" dataCellStyle="Virgül"/>
    <tableColumn id="19" xr3:uid="{8C521C6E-DC02-4370-B0DD-C7553613276A}" name="1A26" dataCellStyle="Virgül"/>
    <tableColumn id="20" xr3:uid="{34AC1926-3377-4F77-B34B-4295933AA8AC}" name="2A26" dataCellStyle="Virgül"/>
    <tableColumn id="21" xr3:uid="{85E85397-A242-4385-AA24-4BB39C5CBF93}" name="3A26" dataCellStyle="Virgül"/>
    <tableColumn id="22" xr3:uid="{89FDDFD0-950B-4EDF-9693-373CF0AC0521}" name="4A26" dataCellStyle="Virgül"/>
    <tableColumn id="23" xr3:uid="{7DB8280E-1C43-48AC-8F03-91FA719759B3}" name="5A26" dataCellStyle="Virgül"/>
    <tableColumn id="24" xr3:uid="{B2BD9E71-3886-40C4-8323-C42B84156338}" name="6A26" dataCellStyle="Virgül"/>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4C48660-43F8-4E2C-91CC-557931D0C3A4}" name="Tablo50" displayName="Tablo50" ref="A36:X46" totalsRowShown="0" headerRowDxfId="495" dataDxfId="494">
  <autoFilter ref="A36:X46" xr:uid="{B4C48660-43F8-4E2C-91CC-557931D0C3A4}"/>
  <tableColumns count="24">
    <tableColumn id="1" xr3:uid="{F9292DEB-2B3D-49BD-9E08-A9FD1A927181}" name="SANTRALLERİN TL BAZLI GETİRİLERİ" dataDxfId="493"/>
    <tableColumn id="2" xr3:uid="{851DACE9-0B1C-4163-9422-7D48CCBD2AAE}" name="Sütun1" dataDxfId="492"/>
    <tableColumn id="3" xr3:uid="{FB1608E8-9C76-4025-9F51-3D6AFA6E133A}" name="Sütun2" dataDxfId="491"/>
    <tableColumn id="4" xr3:uid="{3939EFE5-4106-4055-9B90-EDC56F70856B}" name="Sütun3" dataDxfId="490"/>
    <tableColumn id="5" xr3:uid="{5854AAE0-D168-4567-AAFD-C2EF225FD0A1}" name="Sütun4" dataDxfId="489"/>
    <tableColumn id="6" xr3:uid="{F732B35F-5CF9-4671-A87F-DF97BAF563C1}" name="Sütun5" dataDxfId="488"/>
    <tableColumn id="7" xr3:uid="{4B301512-9975-4010-9B5F-43E171343853}" name="1A25" dataDxfId="487" dataCellStyle="Virgül"/>
    <tableColumn id="8" xr3:uid="{0F528170-BA35-4F5E-AB2E-D213DFDEEBAA}" name="2A25" dataDxfId="486" dataCellStyle="Virgül"/>
    <tableColumn id="9" xr3:uid="{09966223-9F1E-495F-9D73-9ECB6C55573F}" name="3A25" dataDxfId="485" dataCellStyle="Virgül"/>
    <tableColumn id="10" xr3:uid="{1086C716-982C-4934-B9E4-15DD11118EAB}" name="4A25" dataDxfId="484" dataCellStyle="Virgül"/>
    <tableColumn id="11" xr3:uid="{9BC7586F-96F6-413D-AAD3-6DA775410BB1}" name="5A25" dataDxfId="483" dataCellStyle="Virgül"/>
    <tableColumn id="12" xr3:uid="{47820FE6-B1D4-4C2B-8EBA-A9BEB65FED35}" name="6A25" dataDxfId="482" dataCellStyle="Virgül"/>
    <tableColumn id="13" xr3:uid="{72DF6431-987F-461F-AD7D-7EBD92F8E5E7}" name="7A25" dataDxfId="481" dataCellStyle="Virgül"/>
    <tableColumn id="14" xr3:uid="{135A66C6-03C1-43EC-9214-5B63EB4B455D}" name="8A25" dataDxfId="480" dataCellStyle="Virgül"/>
    <tableColumn id="15" xr3:uid="{830F8FE3-991A-4124-9A42-EDF24E2B4D47}" name="9A25" dataDxfId="479" dataCellStyle="Virgül"/>
    <tableColumn id="16" xr3:uid="{6F0E289E-B924-4F39-A461-FC6BDE5B396B}" name="10A25" dataDxfId="478" dataCellStyle="Virgül"/>
    <tableColumn id="17" xr3:uid="{2351DF90-ACF6-4E05-835B-23BE8F8E7906}" name="11A25" dataDxfId="477" dataCellStyle="Virgül"/>
    <tableColumn id="18" xr3:uid="{4FE108DA-5278-43CB-9F47-18778CD421F6}" name="12A25" dataDxfId="476" dataCellStyle="Virgül"/>
    <tableColumn id="19" xr3:uid="{39D78578-D506-4594-A0E6-030851104B0C}" name="1A26" dataDxfId="475" dataCellStyle="Virgül"/>
    <tableColumn id="20" xr3:uid="{5A9C3139-E7E9-4ED8-9839-195E093708F7}" name="2A26" dataDxfId="474" dataCellStyle="Virgül"/>
    <tableColumn id="21" xr3:uid="{2CCDA3C6-78B0-4AA6-A21E-48FC5CB911B6}" name="3A26" dataDxfId="473" dataCellStyle="Virgül"/>
    <tableColumn id="22" xr3:uid="{6AE52181-039E-4C6B-A8D0-E58E1125F091}" name="4A26" dataDxfId="472" dataCellStyle="Virgül"/>
    <tableColumn id="23" xr3:uid="{6634B9FF-F840-42F4-9320-647FB6BC7829}" name="5A26" dataDxfId="471" dataCellStyle="Virgül"/>
    <tableColumn id="24" xr3:uid="{7B7056C6-B212-4413-9950-F74585367040}" name="6A26" dataDxfId="470" dataCellStyle="Virgül"/>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59C6E67-D5C7-4C72-9D51-4158770CB56B}" name="Tablo17" displayName="Tablo17" ref="A1:X8" totalsRowShown="0" headerRowDxfId="469" dataDxfId="468">
  <autoFilter ref="A1:X8" xr:uid="{959C6E67-D5C7-4C72-9D51-4158770CB56B}"/>
  <tableColumns count="24">
    <tableColumn id="1" xr3:uid="{16F53883-9862-4DB5-935C-250CFBD079BB}" name="SANTRAL ADI" dataDxfId="467"/>
    <tableColumn id="2" xr3:uid="{518639DC-DDC3-4CF7-8AC7-0DFE4AC7F3DB}" name="KURULU GÜÇ" dataDxfId="466"/>
    <tableColumn id="3" xr3:uid="{84BA1DC9-688C-4FE1-9E72-7CFC2B183DFE}" name="EIC KODU" dataDxfId="465"/>
    <tableColumn id="4" xr3:uid="{F7A1F46D-DB05-42A0-925A-C8AF576A9E60}" name="ID" dataDxfId="464"/>
    <tableColumn id="5" xr3:uid="{2B082EDC-806E-48B8-8A91-0A6587FE5E90}" name="SATIŞ FİYATI" dataDxfId="463"/>
    <tableColumn id="6" xr3:uid="{1D1CD96F-CF5B-4CC8-B057-EF9227DE2869}" name="SÜRE (YIL SONU9" dataDxfId="462"/>
    <tableColumn id="7" xr3:uid="{969E5F29-5497-4CDA-BB9D-096BFF2CC002}" name="1A25" dataDxfId="461"/>
    <tableColumn id="8" xr3:uid="{8A82B2E2-FF69-4ED0-8773-C44203DB0263}" name="2A25" dataDxfId="460"/>
    <tableColumn id="9" xr3:uid="{9C51A6FE-AAC8-4A3C-B5FF-1249B12BA8E6}" name="3A25" dataDxfId="459"/>
    <tableColumn id="10" xr3:uid="{F28018F5-871A-45DF-9952-BCD74BD3898E}" name="4A25" dataDxfId="458"/>
    <tableColumn id="11" xr3:uid="{1A7E375D-F644-42B7-88C2-A56AF5DD62B3}" name="5A25" dataDxfId="457"/>
    <tableColumn id="12" xr3:uid="{01DA4245-5F2A-4DB4-A1ED-F5BFE9720B72}" name="6A25" dataDxfId="456"/>
    <tableColumn id="13" xr3:uid="{3E274914-D99B-49DC-8099-0A9C59EEEA18}" name="7A25" dataDxfId="455"/>
    <tableColumn id="14" xr3:uid="{48FF28FE-67B2-4C9B-ACDE-25966F3BFF55}" name="8A25" dataDxfId="454"/>
    <tableColumn id="15" xr3:uid="{35C271DE-3C84-4DC8-A3EC-6DE0DA845203}" name="9A25" dataDxfId="453"/>
    <tableColumn id="16" xr3:uid="{9960C51D-35A8-499C-BF4B-85212C65CF35}" name="10A25" dataDxfId="452"/>
    <tableColumn id="17" xr3:uid="{B42BC451-2716-454C-BCA4-888344231DDD}" name="11A25" dataDxfId="451"/>
    <tableColumn id="18" xr3:uid="{7D92A5DA-5104-492F-9BC9-ADDD187A57A1}" name="12A25" dataDxfId="450"/>
    <tableColumn id="19" xr3:uid="{6B6E3CF5-94BD-4D18-A41E-924F670DFF85}" name="1A26" dataDxfId="449"/>
    <tableColumn id="20" xr3:uid="{DA67A737-DE76-4694-B9E0-2FD0C0843745}" name="2A26" dataDxfId="448"/>
    <tableColumn id="21" xr3:uid="{E341BBF7-E7DC-4859-99EB-54C0B5A6A764}" name="3A26" dataDxfId="447"/>
    <tableColumn id="22" xr3:uid="{74D34DB0-75B9-4413-B8B1-7A83F4CB438E}" name="4A26" dataDxfId="446"/>
    <tableColumn id="23" xr3:uid="{19993550-F522-482B-8C32-109BC0BEC398}" name="5A26" dataDxfId="445"/>
    <tableColumn id="24" xr3:uid="{2E03C9A2-73BC-4D8A-8512-0598A6FFC53D}" name="6A26" dataDxfId="444"/>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B9DA0381-F7BF-494A-9FEE-331F5DE342EB}" name="Tablo51" displayName="Tablo51" ref="A16:X20" totalsRowShown="0" headerRowDxfId="443" dataDxfId="442" headerRowCellStyle="Virgül" dataCellStyle="Virgül">
  <autoFilter ref="A16:X20" xr:uid="{B9DA0381-F7BF-494A-9FEE-331F5DE342EB}"/>
  <tableColumns count="24">
    <tableColumn id="1" xr3:uid="{96624F91-2AE5-4096-B681-A9988F7C2F2F}" name="SANTRALLERİN DOLAR BAZLI GETİRİLERİ" dataDxfId="441" dataCellStyle="Virgül"/>
    <tableColumn id="2" xr3:uid="{85C0D82E-6E94-4BCC-A3E1-CDCA6611E39A}" name="Sütun1" dataDxfId="440" dataCellStyle="Virgül"/>
    <tableColumn id="3" xr3:uid="{D44D1A76-E461-4010-9895-8817B982BC6E}" name="Sütun2" dataDxfId="439" dataCellStyle="Virgül"/>
    <tableColumn id="4" xr3:uid="{8035A524-C531-4CB3-AA41-8AC8F1E554D1}" name="Sütun3" dataDxfId="438" dataCellStyle="Virgül"/>
    <tableColumn id="5" xr3:uid="{FEB5DC14-AEE8-4214-A345-0C2F668F890C}" name="Sütun4" dataDxfId="437" dataCellStyle="Virgül"/>
    <tableColumn id="6" xr3:uid="{33829605-6B8A-453B-B0E8-3C8EAA4E331B}" name="Sütun5" dataDxfId="436" dataCellStyle="Virgül"/>
    <tableColumn id="7" xr3:uid="{0803A122-57C7-4D51-A15C-3F1A5C204B14}" name="1A25" dataDxfId="435" dataCellStyle="Virgül"/>
    <tableColumn id="8" xr3:uid="{058F4021-AAB2-490D-90EC-66B5D17C016E}" name="2A25" dataDxfId="434" dataCellStyle="Virgül"/>
    <tableColumn id="9" xr3:uid="{060B419E-5BFB-4EF6-974F-28D7487F2C94}" name="3A25" dataDxfId="433" dataCellStyle="Virgül"/>
    <tableColumn id="10" xr3:uid="{B7279C71-3068-41A4-97FF-8D0789C32534}" name="4A25" dataDxfId="432" dataCellStyle="Virgül"/>
    <tableColumn id="11" xr3:uid="{6BB3E585-611A-4B29-9D68-3993A510D714}" name="5A25" dataDxfId="431" dataCellStyle="Virgül"/>
    <tableColumn id="12" xr3:uid="{7B28439F-361A-47CE-BDEF-ABAD4E149C2F}" name="6A25" dataDxfId="430" dataCellStyle="Virgül"/>
    <tableColumn id="13" xr3:uid="{B842930E-5E87-464E-8A94-64FDD0ADFDE5}" name="7A25" dataDxfId="429" dataCellStyle="Virgül"/>
    <tableColumn id="14" xr3:uid="{F568F791-BABE-41EF-9AE5-A5919990349F}" name="8A25" dataDxfId="428" dataCellStyle="Virgül"/>
    <tableColumn id="15" xr3:uid="{2CA43B46-844F-4609-8A75-94E95589C605}" name="9A25" dataDxfId="427" dataCellStyle="Virgül"/>
    <tableColumn id="16" xr3:uid="{E0C0FB31-1103-4F50-97BC-A7ECD87AE2BD}" name="10A25" dataDxfId="426" dataCellStyle="Virgül"/>
    <tableColumn id="17" xr3:uid="{294727DC-93AE-4B2D-92B5-D41EB273B181}" name="11A25" dataDxfId="425" dataCellStyle="Virgül"/>
    <tableColumn id="18" xr3:uid="{7BC2B2E2-D042-4A20-8192-DA88A9C79F0B}" name="12A25" dataDxfId="424" dataCellStyle="Virgül"/>
    <tableColumn id="19" xr3:uid="{252A5AA2-7207-436B-A50B-5436DE5ECB06}" name="1A26" dataDxfId="423" dataCellStyle="Virgül"/>
    <tableColumn id="20" xr3:uid="{BA3A41CF-E42F-4EEF-9F7F-9F8F5413E824}" name="2A26" dataDxfId="422" dataCellStyle="Virgül"/>
    <tableColumn id="21" xr3:uid="{7A6CE029-F7A7-47EE-8690-1067647DC129}" name="3A26" dataDxfId="421" dataCellStyle="Virgül"/>
    <tableColumn id="22" xr3:uid="{0BCE80EB-D216-493C-85CA-DEF8FFEE021E}" name="4A26" dataDxfId="420" dataCellStyle="Virgül"/>
    <tableColumn id="23" xr3:uid="{081CBE8D-1D14-4117-9A72-68A66D56DB19}" name="5A26" dataDxfId="419" dataCellStyle="Virgül"/>
    <tableColumn id="24" xr3:uid="{C9348261-7152-48D1-BE50-A09360D98AC0}" name="6A26" dataDxfId="418" dataCellStyle="Virgül"/>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409072A-EDB5-461E-B7BF-A131088E70C7}" name="Tablo52" displayName="Tablo52" ref="A30:X34" totalsRowShown="0" headerRowDxfId="417" dataDxfId="416" headerRowCellStyle="Virgül" dataCellStyle="Virgül">
  <autoFilter ref="A30:X34" xr:uid="{4409072A-EDB5-461E-B7BF-A131088E70C7}"/>
  <tableColumns count="24">
    <tableColumn id="1" xr3:uid="{5F325C01-DE41-4B3A-9F88-CC23F994A1C5}" name="SANTRALLERİN TL BAZLI GETİRİLERİ" dataDxfId="415" dataCellStyle="Virgül"/>
    <tableColumn id="2" xr3:uid="{34135F9C-C2DA-4C71-ADA9-11C75DDA1219}" name="Sütun1" dataDxfId="414" dataCellStyle="Virgül"/>
    <tableColumn id="3" xr3:uid="{FB0F87BF-F749-470F-B6B5-D7CFF03BC0BC}" name="Sütun2" dataDxfId="413" dataCellStyle="Virgül"/>
    <tableColumn id="4" xr3:uid="{FFAF72A8-2B5B-40F9-9F37-D789B0FD7CCA}" name="Sütun3" dataDxfId="412" dataCellStyle="Virgül"/>
    <tableColumn id="5" xr3:uid="{5522E090-6FEB-4062-B211-23A1AD19C27A}" name="Sütun4" dataDxfId="411" dataCellStyle="Virgül"/>
    <tableColumn id="6" xr3:uid="{5F2EC22D-7FD9-4601-872D-F88357F8E586}" name="Sütun5" dataDxfId="410" dataCellStyle="Virgül"/>
    <tableColumn id="7" xr3:uid="{E77E174F-4708-4288-83EB-AB4C832135CA}" name="1A25" dataDxfId="409" dataCellStyle="Virgül"/>
    <tableColumn id="8" xr3:uid="{E3628AF5-6A82-4DC7-A8E9-E48BD58C6A68}" name="2A25" dataDxfId="408" dataCellStyle="Virgül"/>
    <tableColumn id="9" xr3:uid="{C03D5B33-953E-43AC-9ECA-12B75F5DF83B}" name="3A25" dataDxfId="407" dataCellStyle="Virgül"/>
    <tableColumn id="10" xr3:uid="{D7F0E76A-A718-463B-97D4-B106D8D82673}" name="4A25" dataDxfId="406" dataCellStyle="Virgül"/>
    <tableColumn id="11" xr3:uid="{EF0C16F5-A844-47C9-92EA-996C97572A3D}" name="5A25" dataDxfId="405" dataCellStyle="Virgül"/>
    <tableColumn id="12" xr3:uid="{3941BE83-BA58-41D0-90EA-63C6F517CD06}" name="6A25" dataDxfId="404" dataCellStyle="Virgül"/>
    <tableColumn id="13" xr3:uid="{9242414C-49D0-4F37-B07A-1D3CA2014267}" name="7A25" dataDxfId="403" dataCellStyle="Virgül"/>
    <tableColumn id="14" xr3:uid="{599052AA-473E-4CAE-9D64-FA86AD794110}" name="8A25" dataDxfId="402" dataCellStyle="Virgül"/>
    <tableColumn id="15" xr3:uid="{E1B7F93E-5F85-493F-A24D-B7B6840E1164}" name="9A25" dataDxfId="401" dataCellStyle="Virgül"/>
    <tableColumn id="16" xr3:uid="{2F5D2324-692C-4701-9A84-A265D2C05BB6}" name="10A25" dataDxfId="400" dataCellStyle="Virgül"/>
    <tableColumn id="17" xr3:uid="{55094DC9-BC0E-47EA-B7DE-8AC5AEE2C952}" name="11A25" dataDxfId="399" dataCellStyle="Virgül"/>
    <tableColumn id="18" xr3:uid="{E1BE697B-B016-412F-BB22-CE6BE95FE768}" name="12A25" dataDxfId="398" dataCellStyle="Virgül"/>
    <tableColumn id="19" xr3:uid="{DA9C29E5-8213-4D37-9519-672D435337CE}" name="1A26" dataDxfId="397" dataCellStyle="Virgül"/>
    <tableColumn id="20" xr3:uid="{1C6B96A3-4BD8-4CCF-9ED2-E766B1859366}" name="2A26" dataDxfId="396" dataCellStyle="Virgül"/>
    <tableColumn id="21" xr3:uid="{EDD69D14-507D-4A3C-9907-C0FD0687AB83}" name="3A26" dataDxfId="395" dataCellStyle="Virgül"/>
    <tableColumn id="22" xr3:uid="{C564D05F-9EE6-48AB-A0AC-BC7540D7B4AF}" name="4A26" dataDxfId="394" dataCellStyle="Virgül"/>
    <tableColumn id="23" xr3:uid="{5C08A455-DA95-4534-B670-E0FCCE957A78}" name="5A26" dataDxfId="393" dataCellStyle="Virgül"/>
    <tableColumn id="24" xr3:uid="{7C362545-5B82-4B4D-B76D-B3FDD107B99A}" name="6A26" dataDxfId="392" dataCellStyle="Virgül"/>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B8A7829-DB56-411A-9189-7BE952A7CB30}" name="Tablo18" displayName="Tablo18" ref="A1:X21" totalsRowShown="0" headerRowDxfId="391" dataDxfId="390">
  <autoFilter ref="A1:X21" xr:uid="{FB8A7829-DB56-411A-9189-7BE952A7CB30}"/>
  <tableColumns count="24">
    <tableColumn id="1" xr3:uid="{BF0BE137-3061-4D42-B0FB-E39049E732E6}" name="SANTRAL ADI" dataDxfId="389"/>
    <tableColumn id="2" xr3:uid="{A154D941-8C09-432E-BAAD-A14D91229724}" name="KURULU GÜÇ" dataDxfId="388"/>
    <tableColumn id="3" xr3:uid="{878570B9-C6DF-447F-96CE-3BBE42A50129}" name="EIC KODU" dataDxfId="387"/>
    <tableColumn id="4" xr3:uid="{FF946223-7886-4D4A-A036-1B3EC0339025}" name="ID" dataDxfId="386"/>
    <tableColumn id="5" xr3:uid="{9768C082-2ACE-4071-9719-25E122B91315}" name="SATIŞ FİYATI" dataDxfId="385"/>
    <tableColumn id="6" xr3:uid="{6F8B5F5D-2762-4D58-928F-5E7369CF2925}" name="SÜRE (YIL SONU)" dataDxfId="384"/>
    <tableColumn id="7" xr3:uid="{3BAA4BB1-2C9C-4713-92EA-BB80DB24AE9E}" name="1A25" dataDxfId="383"/>
    <tableColumn id="8" xr3:uid="{9D5A3256-6D03-45FD-9297-50EB1607D4A7}" name="2A25" dataDxfId="382"/>
    <tableColumn id="9" xr3:uid="{244335A8-9CB7-4340-A3A1-0084AF4D6D2A}" name="3A25" dataDxfId="381"/>
    <tableColumn id="10" xr3:uid="{3917D595-C95D-4D40-8241-9F7DD5ED84B1}" name="4A25" dataDxfId="380"/>
    <tableColumn id="11" xr3:uid="{972AA453-9B09-4788-A001-07E26112C15F}" name="5A25" dataDxfId="379"/>
    <tableColumn id="12" xr3:uid="{DF01B959-DA6F-42AA-95AD-6174EAFCA5C1}" name="6A25" dataDxfId="378"/>
    <tableColumn id="13" xr3:uid="{8AEB8C09-544A-441F-92B9-618E1C9FEC30}" name="7A25" dataDxfId="377"/>
    <tableColumn id="14" xr3:uid="{E6689154-3DE1-4239-8CFB-BE5E9ADF8434}" name="8A25" dataDxfId="376"/>
    <tableColumn id="15" xr3:uid="{67309043-4414-4617-876A-EA01B00A0EE1}" name="9A25" dataDxfId="375"/>
    <tableColumn id="16" xr3:uid="{0A84DF00-7F8B-4B22-9431-5379B92D4EF8}" name="10A25" dataDxfId="374"/>
    <tableColumn id="17" xr3:uid="{6477E2B0-AC20-48F7-88E1-C71655C67728}" name="11A25" dataDxfId="373"/>
    <tableColumn id="18" xr3:uid="{6ABD6992-A109-436C-9030-BF16F017232A}" name="12A25" dataDxfId="372"/>
    <tableColumn id="19" xr3:uid="{A4CA3470-C1C3-4E70-91B1-290208EB8016}" name="1A26" dataDxfId="371"/>
    <tableColumn id="20" xr3:uid="{7C687E6A-CBBD-47D4-8398-A1DE91CFEE29}" name="2A26" dataDxfId="370"/>
    <tableColumn id="21" xr3:uid="{E3F4EF1C-C8F6-4A2F-A27F-05BB580F6802}" name="3A26" dataDxfId="369"/>
    <tableColumn id="22" xr3:uid="{94C4E580-3DF9-4ACF-92C4-05A1A1FAF380}" name="4A26" dataDxfId="368"/>
    <tableColumn id="23" xr3:uid="{EB389133-2636-491A-A8FF-BFD0F808152B}" name="5A26" dataDxfId="367"/>
    <tableColumn id="24" xr3:uid="{2126ACC2-6F0A-4D5E-81E3-9502D304064F}" name="6A26" dataDxfId="366"/>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795BF43-164C-4240-AA8D-8E469994D2B7}" name="Tablo53" displayName="Tablo53" ref="A34:X52" totalsRowShown="0" headerRowDxfId="365" dataDxfId="364">
  <autoFilter ref="A34:X52" xr:uid="{1795BF43-164C-4240-AA8D-8E469994D2B7}"/>
  <tableColumns count="24">
    <tableColumn id="1" xr3:uid="{5ECE96DE-4A5F-4285-AB77-384D753CE3A5}" name="SANTRALLERİN DOLAR BAZLI GETİRİLERİ" dataDxfId="363"/>
    <tableColumn id="2" xr3:uid="{605B6ACA-9157-4B14-A96C-65B9A49F6CA0}" name="Sütun1" dataDxfId="362"/>
    <tableColumn id="3" xr3:uid="{1EDE91DB-CD0C-49FA-A56F-D2A7A3306AE7}" name="Sütun2" dataDxfId="361"/>
    <tableColumn id="4" xr3:uid="{7231ECB0-2CBF-4FF7-8E80-998B1C847A42}" name="Sütun3" dataDxfId="360"/>
    <tableColumn id="5" xr3:uid="{9BB5B5D9-FFE2-412A-92FA-5B173B9E1288}" name="Sütun4" dataDxfId="359"/>
    <tableColumn id="6" xr3:uid="{0905D9B9-7693-471F-938A-8681C6AD4141}" name="Sütun5" dataDxfId="358"/>
    <tableColumn id="7" xr3:uid="{BB7F8932-7764-48E1-A950-FEAD5871A339}" name="1A25" dataDxfId="357" dataCellStyle="Virgül"/>
    <tableColumn id="8" xr3:uid="{C8DB4CE1-8FAF-422C-AD8D-C9B4FF8C6728}" name="2A25" dataDxfId="356" dataCellStyle="Virgül"/>
    <tableColumn id="9" xr3:uid="{7CE87800-68D8-4252-94CC-0145D67341A4}" name="3A25" dataDxfId="355" dataCellStyle="Virgül"/>
    <tableColumn id="10" xr3:uid="{96BC58EB-29EF-40EF-A65F-44DAECB08919}" name="4A25" dataDxfId="354" dataCellStyle="Virgül"/>
    <tableColumn id="11" xr3:uid="{B1C37388-7521-448F-80A2-0DD19FD47A27}" name="5A25" dataDxfId="353" dataCellStyle="Virgül"/>
    <tableColumn id="12" xr3:uid="{795CDBCD-E43C-40A5-AB79-68B6D8C48243}" name="6A25" dataDxfId="352" dataCellStyle="Virgül"/>
    <tableColumn id="13" xr3:uid="{9044BC21-7E36-44B5-AF0A-268E036CE920}" name="7A25" dataDxfId="351" dataCellStyle="Virgül"/>
    <tableColumn id="14" xr3:uid="{5C57E416-8489-4219-824B-B8D4CEBCA448}" name="8A25" dataDxfId="350" dataCellStyle="Virgül"/>
    <tableColumn id="15" xr3:uid="{8B9C61A5-D36B-4116-8747-9F0092D49B53}" name="9A25" dataDxfId="349" dataCellStyle="Virgül"/>
    <tableColumn id="16" xr3:uid="{B374A39D-0A4A-4974-8299-3196B906615C}" name="10A25" dataDxfId="348" dataCellStyle="Virgül"/>
    <tableColumn id="17" xr3:uid="{E53662E9-31FC-48D9-A45B-B7FCE6FB4AC7}" name="11A25" dataDxfId="347" dataCellStyle="Virgül"/>
    <tableColumn id="18" xr3:uid="{15135224-6B71-4A3D-A537-AB15124FF5A2}" name="12A25" dataDxfId="346" dataCellStyle="Virgül"/>
    <tableColumn id="19" xr3:uid="{6B79CB5B-9201-47D8-977D-F0346C222379}" name="1A26" dataDxfId="345" dataCellStyle="Virgül"/>
    <tableColumn id="20" xr3:uid="{7B011401-4792-42AE-8346-64CB316DA195}" name="2A26" dataDxfId="344" dataCellStyle="Virgül"/>
    <tableColumn id="21" xr3:uid="{A1B447B0-BA8F-47EC-93AE-064DAB09BC0E}" name="3A26" dataDxfId="343" dataCellStyle="Virgül"/>
    <tableColumn id="22" xr3:uid="{79F811A9-D96C-48A5-8C72-59EA530767B3}" name="4A26" dataDxfId="342" dataCellStyle="Virgül"/>
    <tableColumn id="23" xr3:uid="{694721EF-455C-4728-A6A7-0CF5FD06CF3F}" name="5A26" dataDxfId="341" dataCellStyle="Virgül"/>
    <tableColumn id="24" xr3:uid="{DAFB8B51-DD57-46D8-94C8-68628CE6DDB1}" name="6A26" dataDxfId="340" dataCellStyle="Virgül"/>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B6DABC59-D56C-4AC5-8208-43C824E38D89}" name="Tablo54" displayName="Tablo54" ref="A62:X80" totalsRowShown="0" headerRowDxfId="339" dataDxfId="338">
  <autoFilter ref="A62:X80" xr:uid="{B6DABC59-D56C-4AC5-8208-43C824E38D89}"/>
  <tableColumns count="24">
    <tableColumn id="1" xr3:uid="{934CFE45-294A-4BD4-9F58-95709653FCD9}" name="SANTRALLERİN TL BAZLI GETİRİLERİ" dataDxfId="337"/>
    <tableColumn id="2" xr3:uid="{A80E765A-3988-4812-8A3C-2BA3A90BA9DC}" name="Sütun1" dataDxfId="336"/>
    <tableColumn id="3" xr3:uid="{84A5A553-8AD0-4E78-B4A9-1B361A054138}" name="Sütun2" dataDxfId="335"/>
    <tableColumn id="4" xr3:uid="{6D98FB85-2424-446A-8979-ED28651CE6E2}" name="Sütun3" dataDxfId="334"/>
    <tableColumn id="5" xr3:uid="{7B0894AB-0241-4536-A19A-457487151B08}" name="Sütun4" dataDxfId="333"/>
    <tableColumn id="6" xr3:uid="{4DFDC590-6561-412C-8ABA-1E42F747A288}" name="Sütun5" dataDxfId="332"/>
    <tableColumn id="7" xr3:uid="{C2986175-67A9-4FBE-BEDD-100E7EDCFDB5}" name="1A25" dataDxfId="331" dataCellStyle="Virgül"/>
    <tableColumn id="8" xr3:uid="{8F6FDD1A-F3D3-4FE0-B284-5F77231DCC45}" name="2A25" dataDxfId="330" dataCellStyle="Virgül"/>
    <tableColumn id="9" xr3:uid="{B57FD62E-F8BD-4948-9618-2639BA3567D0}" name="3A25" dataDxfId="329" dataCellStyle="Virgül"/>
    <tableColumn id="10" xr3:uid="{C1838355-1137-4AB7-9106-B65E7276B8D4}" name="4A25" dataDxfId="328" dataCellStyle="Virgül"/>
    <tableColumn id="11" xr3:uid="{C47D551D-DBCF-4731-8217-66D1043249E0}" name="5A25" dataDxfId="327" dataCellStyle="Virgül"/>
    <tableColumn id="12" xr3:uid="{9BF51180-48E7-4329-BC9B-8E83BF89CD74}" name="6A25" dataDxfId="326" dataCellStyle="Virgül"/>
    <tableColumn id="13" xr3:uid="{0EEDF945-5D32-4DFC-8071-8A9381181BE6}" name="7A25" dataDxfId="325" dataCellStyle="Virgül"/>
    <tableColumn id="14" xr3:uid="{D088183A-353D-43C7-BF27-481DAD968A39}" name="8A25" dataDxfId="324" dataCellStyle="Virgül"/>
    <tableColumn id="15" xr3:uid="{31F2FF96-1869-4571-A8E9-52862DE5EB6D}" name="9A25" dataDxfId="323" dataCellStyle="Virgül"/>
    <tableColumn id="16" xr3:uid="{A7080A1A-9667-4323-9D6A-64218A5A481C}" name="10A25" dataDxfId="322" dataCellStyle="Virgül"/>
    <tableColumn id="17" xr3:uid="{48033AB8-1E12-4A47-9B66-6961F9490677}" name="11A25" dataDxfId="321" dataCellStyle="Virgül"/>
    <tableColumn id="18" xr3:uid="{6A97673D-E75C-4084-A48B-CD2D962B99B1}" name="12A25" dataDxfId="320" dataCellStyle="Virgül"/>
    <tableColumn id="19" xr3:uid="{BFF90601-266B-4C7D-BD01-2147FF7B7FFB}" name="1A26" dataDxfId="319" dataCellStyle="Virgül"/>
    <tableColumn id="20" xr3:uid="{F452B0CA-EAD3-46EB-ABDD-8BBE511604AC}" name="2A26" dataDxfId="318" dataCellStyle="Virgül"/>
    <tableColumn id="21" xr3:uid="{B0761CE4-5650-499F-BC5E-9DD6265F03C3}" name="3A26" dataDxfId="317" dataCellStyle="Virgül"/>
    <tableColumn id="22" xr3:uid="{25A6DA1E-BB53-4102-91C8-0891399F295E}" name="4A26" dataDxfId="316" dataCellStyle="Virgül"/>
    <tableColumn id="23" xr3:uid="{E7EFDC72-81A9-4D5F-8FBE-080E7F20F00E}" name="5A26" dataDxfId="315" dataCellStyle="Virgül"/>
    <tableColumn id="24" xr3:uid="{97D14159-BAA1-408A-A397-653AA9D41371}" name="6A26" dataDxfId="314" dataCellStyle="Virgül"/>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EC4FAE3-78D7-48E4-BC27-44FC792A27D0}" name="Tablo19" displayName="Tablo19" ref="A1:X5" totalsRowShown="0" headerRowDxfId="313" dataDxfId="312">
  <autoFilter ref="A1:X5" xr:uid="{2EC4FAE3-78D7-48E4-BC27-44FC792A27D0}"/>
  <tableColumns count="24">
    <tableColumn id="1" xr3:uid="{1BB3D538-BAD8-4A0C-B4A7-0343FEC11563}" name="SANTRAL ADI" dataDxfId="311"/>
    <tableColumn id="2" xr3:uid="{7DB6418B-27BA-4F9E-8439-BD4CD5FF2193}" name="KURULU GÜÇ" dataDxfId="310"/>
    <tableColumn id="3" xr3:uid="{104F37EF-7C8F-4396-84FD-DBD6CECBDA6F}" name="EIC KODU" dataDxfId="309"/>
    <tableColumn id="4" xr3:uid="{C3F508A3-6293-42D5-88B2-78990BA669E1}" name="ID" dataDxfId="308"/>
    <tableColumn id="5" xr3:uid="{816BB6EC-C7AC-411E-8059-48D1C9A444F7}" name="SATIŞ FİYATI" dataDxfId="307"/>
    <tableColumn id="6" xr3:uid="{F36E8803-03D0-435D-A8FB-5E550523B8BA}" name="SÜRE (YIL SONU)" dataDxfId="306"/>
    <tableColumn id="7" xr3:uid="{FA48132F-0B9F-4382-B16F-23E4DF23DE7D}" name="1A25" dataDxfId="305"/>
    <tableColumn id="8" xr3:uid="{8298F2C8-ED9F-485C-A2AA-8AF3510644B7}" name="2A25" dataDxfId="304"/>
    <tableColumn id="9" xr3:uid="{7338A035-BCBF-4D7D-99EE-2A707302A249}" name="3A25" dataDxfId="303"/>
    <tableColumn id="10" xr3:uid="{BCE1F50A-A513-4CD6-8A92-6CD6EDC307FE}" name="4A25" dataDxfId="302"/>
    <tableColumn id="11" xr3:uid="{1CD4C816-718E-4018-9E70-42EDDDB9DD1F}" name="5A25" dataDxfId="301"/>
    <tableColumn id="12" xr3:uid="{3AE36B90-5EE5-4F90-ADDA-3F539D27CF1D}" name="6A25" dataDxfId="300"/>
    <tableColumn id="13" xr3:uid="{56D882AD-6DFD-45FE-A3FC-B66EC4DA0E9A}" name="7A25" dataDxfId="299"/>
    <tableColumn id="14" xr3:uid="{05696D7C-E3C4-4151-9254-689A636E0562}" name="8A25" dataDxfId="298"/>
    <tableColumn id="15" xr3:uid="{9380007E-8F3D-4C26-881B-82AD6D4311FE}" name="9A25" dataDxfId="297"/>
    <tableColumn id="16" xr3:uid="{1F482179-8098-4B5E-866D-333626134190}" name="10A25" dataDxfId="296"/>
    <tableColumn id="17" xr3:uid="{6F6DB791-7F94-4B12-B209-36D1D046CFB7}" name="11A25" dataDxfId="295"/>
    <tableColumn id="18" xr3:uid="{E8AC9C75-0F56-44E7-BB92-0B5B57F96672}" name="12A25" dataDxfId="294"/>
    <tableColumn id="19" xr3:uid="{32A305A7-1E11-4B06-8095-0796663C9FC3}" name="1A26" dataDxfId="293"/>
    <tableColumn id="20" xr3:uid="{0946ED8C-C9E2-47EC-BDE2-B92E5738627C}" name="2A26" dataDxfId="292"/>
    <tableColumn id="21" xr3:uid="{E7A54D08-DF6B-44D6-BFBB-A547A7E5C698}" name="3A26" dataDxfId="291"/>
    <tableColumn id="22" xr3:uid="{6193A57A-B56E-4D43-914D-5139C0EEB306}" name="4A26" dataDxfId="290"/>
    <tableColumn id="23" xr3:uid="{1C8EB718-0A4E-4C81-B3E5-8CD67BAD1D42}" name="5A26" dataDxfId="289"/>
    <tableColumn id="24" xr3:uid="{8B596FA5-2922-49B7-AB90-31CDED516ED6}" name="6A26" dataDxfId="288"/>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D1F9A44A-3971-4BB2-954A-CE6A4404E7E8}" name="Tablo55" displayName="Tablo55" ref="A14:X17" totalsRowShown="0" headerRowDxfId="287" dataDxfId="286">
  <autoFilter ref="A14:X17" xr:uid="{D1F9A44A-3971-4BB2-954A-CE6A4404E7E8}"/>
  <tableColumns count="24">
    <tableColumn id="1" xr3:uid="{9D22A735-2597-44C0-9E0E-754ADB4F31B0}" name="SANTRALLERİN DOLAR BAZLI GETİRİLERİ" dataDxfId="285"/>
    <tableColumn id="2" xr3:uid="{146A0999-BB68-48A8-A855-8D06E25B27E8}" name="Sütun1" dataDxfId="284"/>
    <tableColumn id="3" xr3:uid="{187C5931-2F93-4A3B-8407-BB6F39F1D849}" name="Sütun2" dataDxfId="283"/>
    <tableColumn id="4" xr3:uid="{ADDC490E-C4C1-4E1F-8A60-0C70EE672644}" name="Sütun3" dataDxfId="282"/>
    <tableColumn id="5" xr3:uid="{D06D985B-A07F-47B0-B9E1-111B2E74D5C4}" name="Sütun4" dataDxfId="281"/>
    <tableColumn id="6" xr3:uid="{3090F5C9-820D-4071-BED0-3E30FB294449}" name="Sütun5" dataDxfId="280"/>
    <tableColumn id="7" xr3:uid="{80B76FDC-D594-483E-91F0-1CF6F2226882}" name="1A25" dataDxfId="279" dataCellStyle="Virgül"/>
    <tableColumn id="8" xr3:uid="{A81BE969-BF95-4C41-AC1D-A272D9CEEA4F}" name="2A25" dataDxfId="278" dataCellStyle="Virgül"/>
    <tableColumn id="9" xr3:uid="{D5864694-BFFA-410D-9BE5-1FB27F43B26F}" name="3A25" dataDxfId="277" dataCellStyle="Virgül"/>
    <tableColumn id="10" xr3:uid="{C675911C-4AB6-4636-90B2-4BAC2C045767}" name="4A25" dataDxfId="276" dataCellStyle="Virgül"/>
    <tableColumn id="11" xr3:uid="{3A8536AA-4A93-4029-A375-3AFC01ADE310}" name="5A25" dataDxfId="275" dataCellStyle="Virgül"/>
    <tableColumn id="12" xr3:uid="{B5DA7022-F8FD-4797-8764-C9D5FBE5E9E8}" name="6A25" dataDxfId="274" dataCellStyle="Virgül"/>
    <tableColumn id="13" xr3:uid="{5EAD7E7C-BD93-4B5F-921E-1ACC0790C58D}" name="7A25" dataDxfId="273" dataCellStyle="Virgül"/>
    <tableColumn id="14" xr3:uid="{B9B6BEDB-68BB-49E7-9FAD-081BE6B9F342}" name="8A25" dataDxfId="272" dataCellStyle="Virgül"/>
    <tableColumn id="15" xr3:uid="{95A1FD58-13E3-414A-916B-B81ADD9F0A9A}" name="9A25" dataDxfId="271" dataCellStyle="Virgül"/>
    <tableColumn id="16" xr3:uid="{2AFE01E1-EB66-4ED3-B9EB-8FD8BE581981}" name="10A25" dataDxfId="270" dataCellStyle="Virgül"/>
    <tableColumn id="17" xr3:uid="{A5FCA58D-5C12-4D64-A970-512B7BCDB04A}" name="11A25" dataDxfId="269" dataCellStyle="Virgül"/>
    <tableColumn id="18" xr3:uid="{B793E517-5E7C-43B6-BBBC-84DD0FC4690A}" name="12A25" dataDxfId="268" dataCellStyle="Virgül"/>
    <tableColumn id="19" xr3:uid="{08BCB8F2-D05C-496B-A73A-9E19553D99A2}" name="1A26" dataDxfId="267" dataCellStyle="Virgül"/>
    <tableColumn id="20" xr3:uid="{826818E0-A16E-4A64-A42B-32D9BF84CBE1}" name="2A26" dataDxfId="266" dataCellStyle="Virgül"/>
    <tableColumn id="21" xr3:uid="{8F8166CC-FEBE-41F1-AA75-28D7A2CC3F0A}" name="3A26" dataDxfId="265" dataCellStyle="Virgül"/>
    <tableColumn id="22" xr3:uid="{24832362-4029-4AB7-92F0-B1E3CFAB881C}" name="4A26" dataDxfId="264" dataCellStyle="Virgül"/>
    <tableColumn id="23" xr3:uid="{6A6360CB-046B-441B-94F6-824B53670E7F}" name="5A26" dataDxfId="263" dataCellStyle="Virgül"/>
    <tableColumn id="24" xr3:uid="{F9A48581-4937-43A4-B646-DD4BEB873F35}" name="6A26" dataDxfId="262" dataCellStyle="Virgül"/>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606934A3-E8CB-498B-BBEE-49EB913F770B}" name="Tablo5557" displayName="Tablo5557" ref="A23:X26" totalsRowShown="0" headerRowDxfId="261" dataDxfId="260">
  <autoFilter ref="A23:X26" xr:uid="{606934A3-E8CB-498B-BBEE-49EB913F770B}"/>
  <tableColumns count="24">
    <tableColumn id="1" xr3:uid="{50D39C1E-A7A6-4E09-BA82-0730521AD4C5}" name="SANTRALLERİN TL BAZLI GETİRİLERİ" dataDxfId="259"/>
    <tableColumn id="2" xr3:uid="{13CC2982-4743-476B-9B8D-FF1D270CC858}" name="Sütun1" dataDxfId="258"/>
    <tableColumn id="3" xr3:uid="{39E68D4A-F05C-4733-B5B8-FD8EF07F4C21}" name="Sütun2" dataDxfId="257"/>
    <tableColumn id="4" xr3:uid="{694C50F6-4BBA-469D-83F1-78277742556E}" name="Sütun3" dataDxfId="256"/>
    <tableColumn id="5" xr3:uid="{3B29E0CC-BC93-4968-B6FD-45D6D37CF760}" name="Sütun4" dataDxfId="255"/>
    <tableColumn id="6" xr3:uid="{2D6B38D1-1477-4830-AFAB-2FDBE645919D}" name="Sütun5" dataDxfId="254"/>
    <tableColumn id="7" xr3:uid="{FAF5D28F-420C-4653-8934-EE0F1BCC80F7}" name="1A25" dataDxfId="253" dataCellStyle="Virgül">
      <calculatedColumnFormula>G15*G33</calculatedColumnFormula>
    </tableColumn>
    <tableColumn id="8" xr3:uid="{A39218EC-9FBA-45CA-BB62-A22F6283F842}" name="2A25" dataDxfId="252" dataCellStyle="Virgül"/>
    <tableColumn id="9" xr3:uid="{54E3F9D9-D0C7-4C79-932F-D27C481DE3B1}" name="3A25" dataDxfId="251" dataCellStyle="Virgül"/>
    <tableColumn id="10" xr3:uid="{DA52C7B2-E246-4852-AF9C-A3AAD6161586}" name="4A25" dataDxfId="250" dataCellStyle="Virgül"/>
    <tableColumn id="11" xr3:uid="{16CF288A-E050-4CEA-9A8B-E1ECF50B30DB}" name="5A25" dataDxfId="249" dataCellStyle="Virgül"/>
    <tableColumn id="12" xr3:uid="{9CDC07C4-188B-433F-B9D7-9F1367AAE81C}" name="6A25" dataDxfId="248" dataCellStyle="Virgül"/>
    <tableColumn id="13" xr3:uid="{06868B30-1A82-43A5-A636-6179BCF30CE9}" name="7A25" dataDxfId="247" dataCellStyle="Virgül"/>
    <tableColumn id="14" xr3:uid="{17398BBD-CB1D-4ECF-BCAD-5C49412F26FF}" name="8A25" dataDxfId="246" dataCellStyle="Virgül"/>
    <tableColumn id="15" xr3:uid="{D4EE6BDF-46DD-472B-BB84-DF7E0C302156}" name="9A25" dataDxfId="245" dataCellStyle="Virgül"/>
    <tableColumn id="16" xr3:uid="{97F349CD-A4A3-4ADB-B414-0E9847E3FAD5}" name="10A25" dataDxfId="244" dataCellStyle="Virgül"/>
    <tableColumn id="17" xr3:uid="{349544F4-157C-497E-9CBD-EEF22CAD3D2D}" name="11A25" dataDxfId="243" dataCellStyle="Virgül"/>
    <tableColumn id="18" xr3:uid="{F09DCEC4-50A5-41FA-9715-ECD5879337C8}" name="12A25" dataDxfId="242" dataCellStyle="Virgül"/>
    <tableColumn id="19" xr3:uid="{E7B6C920-7E1C-403C-8061-CB31B47E1057}" name="1A26" dataDxfId="241" dataCellStyle="Virgül"/>
    <tableColumn id="20" xr3:uid="{88D33ADD-4585-4B5A-A1CA-9487D748CFDA}" name="2A26" dataDxfId="240" dataCellStyle="Virgül"/>
    <tableColumn id="21" xr3:uid="{DD4D3B00-670D-431F-9088-5FFF3B38A6DD}" name="3A26" dataDxfId="239" dataCellStyle="Virgül"/>
    <tableColumn id="22" xr3:uid="{E330AA66-E2E6-4491-BB5B-9B21F3FF7029}" name="4A26" dataDxfId="238" dataCellStyle="Virgül"/>
    <tableColumn id="23" xr3:uid="{F3075806-472D-402E-8934-4C64D4C11037}" name="5A26" dataDxfId="237" dataCellStyle="Virgül"/>
    <tableColumn id="24" xr3:uid="{AA0D0C19-C22C-4339-A717-277720A196EA}" name="6A26" dataDxfId="236" dataCellStyle="Virgül"/>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3D12B9C-C9D9-4252-B067-29069D082FBB}" name="Tablo20" displayName="Tablo20" ref="A1:X8" totalsRowShown="0" headerRowDxfId="235" dataDxfId="234">
  <autoFilter ref="A1:X8" xr:uid="{B3D12B9C-C9D9-4252-B067-29069D082FBB}"/>
  <tableColumns count="24">
    <tableColumn id="1" xr3:uid="{D3BF6F30-B9C1-4787-8A05-F0A52A730AA6}" name="SANTRAL ADI" dataDxfId="233"/>
    <tableColumn id="2" xr3:uid="{71B51259-2821-4DED-9F72-3964D4E8CDA3}" name="KURULU GÜÇ" dataDxfId="232"/>
    <tableColumn id="3" xr3:uid="{9C7208C7-6392-45F0-AA06-4FC49F3C7F73}" name="EIC KODU" dataDxfId="231"/>
    <tableColumn id="4" xr3:uid="{F1A8EECF-FBF7-4394-9A60-326F4B82CF58}" name="ID" dataDxfId="230"/>
    <tableColumn id="5" xr3:uid="{D737B1C4-D998-4EB5-A7DF-E25FC6CC7D64}" name="SATIŞ FİYATI" dataDxfId="229"/>
    <tableColumn id="6" xr3:uid="{0F9DC2F5-7F4F-4FA7-9D72-839099C291C3}" name="SÜRE (YIL SONU)" dataDxfId="228"/>
    <tableColumn id="7" xr3:uid="{C11EA708-98AF-4A3F-BB2F-98B7552FD450}" name="1A25" dataDxfId="227"/>
    <tableColumn id="8" xr3:uid="{54CEE02D-0937-46F9-8D1C-6BD5F59AEBD3}" name="2A25" dataDxfId="226"/>
    <tableColumn id="9" xr3:uid="{32AEB3FF-3006-4FBC-8E36-182B139BB0F3}" name="3A25" dataDxfId="225"/>
    <tableColumn id="10" xr3:uid="{AD767A0B-F1B3-45E0-B1FB-BA67C9BC1581}" name="4A25" dataDxfId="224"/>
    <tableColumn id="11" xr3:uid="{ECE52540-A867-497F-A53E-C16EC417BD3B}" name="5A25" dataDxfId="223"/>
    <tableColumn id="12" xr3:uid="{5D286089-235C-43A0-A8D2-29BA9FA16DB8}" name="6A25" dataDxfId="222"/>
    <tableColumn id="13" xr3:uid="{8169291C-98C1-4CA8-9161-AA9E1D0882B0}" name="7A25" dataDxfId="221"/>
    <tableColumn id="14" xr3:uid="{5AF6D358-9FD5-4C73-BB1F-8EC659AFDF10}" name="8A25" dataDxfId="220"/>
    <tableColumn id="15" xr3:uid="{D4D3B27C-89F3-4F97-BBEC-E4F7F28F0CDB}" name="9A25" dataDxfId="219"/>
    <tableColumn id="16" xr3:uid="{1A90E946-815A-4858-8A1B-D69FC8BF3723}" name="10A25" dataDxfId="218"/>
    <tableColumn id="17" xr3:uid="{F1D4F1EA-FCAC-43A1-81F3-776B957A301F}" name="11A25" dataDxfId="217"/>
    <tableColumn id="18" xr3:uid="{9BA27F25-27CF-4D05-80A4-045EC51EF064}" name="12A25" dataDxfId="216"/>
    <tableColumn id="19" xr3:uid="{0B993888-909B-46AA-A201-57236FF78E24}" name="1A26" dataDxfId="215"/>
    <tableColumn id="20" xr3:uid="{82BCDE09-A78A-4A1E-95D1-1C6C075CD710}" name="2A26" dataDxfId="214"/>
    <tableColumn id="21" xr3:uid="{E628F05F-442B-4EF1-AE53-696BE75CC7CD}" name="3A26" dataDxfId="213"/>
    <tableColumn id="22" xr3:uid="{94F2E157-8724-4905-B55F-DC2187CBEAE2}" name="4A26" dataDxfId="212"/>
    <tableColumn id="23" xr3:uid="{0204718D-77DD-4638-A243-CCFD12C3A32B}" name="5A26" dataDxfId="211"/>
    <tableColumn id="24" xr3:uid="{E9435C60-307E-45A0-86F1-C5B22AFB0849}" name="6A26" dataDxfId="210"/>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E5B8195-A9B4-4EEE-990D-C77F669FC7FD}" name="Tablo61" displayName="Tablo61" ref="A19:X24" totalsRowShown="0" headerRowDxfId="209" dataDxfId="208" headerRowCellStyle="Virgül" dataCellStyle="Virgül">
  <autoFilter ref="A19:X24" xr:uid="{1E5B8195-A9B4-4EEE-990D-C77F669FC7FD}"/>
  <tableColumns count="24">
    <tableColumn id="1" xr3:uid="{6E6AF714-DA0A-4ECF-A5C8-F55109DDC556}" name="SANTRALLERİN DOLAR BAZLI GETİRİLERİ" dataDxfId="207" dataCellStyle="Virgül"/>
    <tableColumn id="2" xr3:uid="{CCF172BB-C003-4FB4-92EF-6001887CAEFD}" name="Sütun1" dataDxfId="206" dataCellStyle="Virgül"/>
    <tableColumn id="3" xr3:uid="{B5237126-2EB7-4D62-AB6C-AFD44A8D06AF}" name="Sütun2" dataDxfId="205" dataCellStyle="Virgül"/>
    <tableColumn id="4" xr3:uid="{8499125E-971B-43C2-85E9-72EE6B2380F3}" name="Sütun3" dataDxfId="204" dataCellStyle="Virgül"/>
    <tableColumn id="5" xr3:uid="{4BC58263-4525-435C-9A7B-0FD6B25EC6AB}" name="Sütun4" dataDxfId="203" dataCellStyle="Virgül"/>
    <tableColumn id="6" xr3:uid="{01FE1098-2773-44C1-8137-E8422B2A5D99}" name="Sütun5" dataDxfId="202" dataCellStyle="Virgül"/>
    <tableColumn id="7" xr3:uid="{67C477A3-F0FF-416F-8086-68F3780A46A9}" name="1A25" dataDxfId="201" dataCellStyle="Virgül"/>
    <tableColumn id="8" xr3:uid="{E5870D54-08B0-472E-BE5E-9534C33FCA53}" name="2A25" dataDxfId="200" dataCellStyle="Virgül"/>
    <tableColumn id="9" xr3:uid="{76625364-C032-4A2E-82FD-22EFDB3CC119}" name="3A25" dataDxfId="199" dataCellStyle="Virgül"/>
    <tableColumn id="10" xr3:uid="{2241491E-2275-47D6-98D8-C8196733DBCA}" name="4A25" dataDxfId="198" dataCellStyle="Virgül"/>
    <tableColumn id="11" xr3:uid="{E66A5A23-247B-49D1-9E94-D79430323206}" name="5A25" dataDxfId="197" dataCellStyle="Virgül"/>
    <tableColumn id="12" xr3:uid="{49403F50-327F-43DF-AD73-9495F1A6E98F}" name="6A25" dataDxfId="196" dataCellStyle="Virgül"/>
    <tableColumn id="13" xr3:uid="{52DFCFBA-0955-4ADC-A85B-C89ED81C7485}" name="7A25" dataDxfId="195" dataCellStyle="Virgül"/>
    <tableColumn id="14" xr3:uid="{20F5BBEE-6C17-41C6-AA41-C88C078DB4D7}" name="8A25" dataDxfId="194" dataCellStyle="Virgül"/>
    <tableColumn id="15" xr3:uid="{04CC92F8-CC30-4615-A4F8-2388A8E67694}" name="9A25" dataDxfId="193" dataCellStyle="Virgül"/>
    <tableColumn id="16" xr3:uid="{CEA727D8-319F-4689-8F16-D4EDDDEB9010}" name="10A25" dataDxfId="192" dataCellStyle="Virgül"/>
    <tableColumn id="17" xr3:uid="{3F7EFB7E-23EB-49CD-9A48-8A9EA393F13F}" name="11A25" dataDxfId="191" dataCellStyle="Virgül"/>
    <tableColumn id="18" xr3:uid="{3600D39A-64D4-44E1-9D94-20FDB87212E5}" name="12A25" dataDxfId="190" dataCellStyle="Virgül"/>
    <tableColumn id="19" xr3:uid="{78C97F62-6ED0-4036-8A9D-405BDA0BC4A4}" name="1A26" dataDxfId="189" dataCellStyle="Virgül"/>
    <tableColumn id="20" xr3:uid="{7B373C48-8697-49DF-A72E-3574A9C98AC8}" name="2A26" dataDxfId="188" dataCellStyle="Virgül"/>
    <tableColumn id="21" xr3:uid="{FB1F2840-80BF-491D-8A6E-3AAEEA9BB1B0}" name="3A26" dataDxfId="187" dataCellStyle="Virgül"/>
    <tableColumn id="22" xr3:uid="{665C6A05-2C62-4D27-847D-EC40CDF7627A}" name="4A26" dataDxfId="186" dataCellStyle="Virgül"/>
    <tableColumn id="23" xr3:uid="{4E9A4F5A-3721-4091-A5EC-7F916BA5E71F}" name="5A26" dataDxfId="185" dataCellStyle="Virgül"/>
    <tableColumn id="24" xr3:uid="{EC6A007D-6CB5-4282-B805-0BA841EF408F}" name="6A26" dataDxfId="184" dataCellStyle="Virgül"/>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618BBD6-C176-4DDF-8FC1-C70E8853900A}" name="Tablo62" displayName="Tablo62" ref="A30:X35" totalsRowShown="0" headerRowDxfId="183" dataDxfId="182" headerRowCellStyle="Virgül" dataCellStyle="Virgül">
  <autoFilter ref="A30:X35" xr:uid="{6618BBD6-C176-4DDF-8FC1-C70E8853900A}"/>
  <tableColumns count="24">
    <tableColumn id="1" xr3:uid="{2021AF29-37BE-48C9-BEBD-95B24A3AEA91}" name="SANTRALLERİN TL BAZLI GETİRİLERİ" dataDxfId="181" dataCellStyle="Virgül"/>
    <tableColumn id="2" xr3:uid="{8BA15C5D-2394-4BB7-92D3-115267E2235D}" name="Sütun1" dataDxfId="180" dataCellStyle="Virgül"/>
    <tableColumn id="3" xr3:uid="{14884DFF-44D5-4CC0-AF67-F81A4D05CC6B}" name="Sütun2" dataDxfId="179" dataCellStyle="Virgül"/>
    <tableColumn id="4" xr3:uid="{31434B7E-DBAC-4AC8-BBE2-B2A920B50E1A}" name="Sütun3" dataDxfId="178" dataCellStyle="Virgül"/>
    <tableColumn id="5" xr3:uid="{821CA1EA-63F0-41AA-912C-C617671F9A01}" name="Sütun4" dataDxfId="177" dataCellStyle="Virgül"/>
    <tableColumn id="6" xr3:uid="{9535CEFF-8D7E-4C85-A83A-A92A1A4A4C70}" name="Sütun5" dataDxfId="176" dataCellStyle="Virgül"/>
    <tableColumn id="7" xr3:uid="{29800190-FA6C-471B-83AE-CD155477A461}" name="1A25" dataDxfId="175" dataCellStyle="Virgül"/>
    <tableColumn id="8" xr3:uid="{F135E630-0FCC-402A-9729-080DD207193D}" name="2A25" dataDxfId="174" dataCellStyle="Virgül"/>
    <tableColumn id="9" xr3:uid="{D7FBC391-FD4E-4484-996E-D80302043654}" name="3A25" dataDxfId="173" dataCellStyle="Virgül"/>
    <tableColumn id="10" xr3:uid="{8D3E548B-D7C5-4044-9CC3-A54A931516C1}" name="4A25" dataDxfId="172" dataCellStyle="Virgül"/>
    <tableColumn id="11" xr3:uid="{4F0057AF-6526-4F8A-9589-3F48E67AC2F9}" name="5A25" dataDxfId="171" dataCellStyle="Virgül"/>
    <tableColumn id="12" xr3:uid="{CED35AD8-36AD-49C7-9E76-7C1A09F4B0E4}" name="6A25" dataDxfId="170" dataCellStyle="Virgül"/>
    <tableColumn id="13" xr3:uid="{5BAFCE75-63FB-4743-8568-E7394714C371}" name="7A25" dataDxfId="169" dataCellStyle="Virgül"/>
    <tableColumn id="14" xr3:uid="{245BC8A3-8A81-4969-ABC1-2267F2DA4E79}" name="8A25" dataDxfId="168" dataCellStyle="Virgül"/>
    <tableColumn id="15" xr3:uid="{A3DBD660-E266-4C77-9076-BA7439888DAF}" name="9A25" dataDxfId="167" dataCellStyle="Virgül"/>
    <tableColumn id="16" xr3:uid="{64CDB881-A317-4C82-9930-17A0C050E8D9}" name="10A25" dataDxfId="166" dataCellStyle="Virgül"/>
    <tableColumn id="17" xr3:uid="{0970F016-64EA-45CD-B926-32468811BEEE}" name="11A25" dataDxfId="165" dataCellStyle="Virgül"/>
    <tableColumn id="18" xr3:uid="{4E4F904B-F069-4109-A7BD-5F8019055ACF}" name="12A25" dataDxfId="164" dataCellStyle="Virgül"/>
    <tableColumn id="19" xr3:uid="{7AE562C6-A26A-458D-B137-7F515F6FAC81}" name="1A26" dataDxfId="163" dataCellStyle="Virgül"/>
    <tableColumn id="20" xr3:uid="{068E2812-7E26-4EED-A810-1A416DDB8ED6}" name="2A26" dataDxfId="162" dataCellStyle="Virgül"/>
    <tableColumn id="21" xr3:uid="{379D417D-5D67-47AC-93E9-DDDEC032D24C}" name="3A26" dataDxfId="161" dataCellStyle="Virgül"/>
    <tableColumn id="22" xr3:uid="{7F1A8451-A084-40C1-A2EA-A9A9B45128DB}" name="4A26" dataDxfId="160" dataCellStyle="Virgül">
      <calculatedColumnFormula>$V$42*V20</calculatedColumnFormula>
    </tableColumn>
    <tableColumn id="23" xr3:uid="{8A154AAA-BCBD-44FC-883F-55279D64519D}" name="5A26" dataDxfId="159" dataCellStyle="Virgül"/>
    <tableColumn id="24" xr3:uid="{3E63AF02-C19B-4BE9-8D8F-4DE96078E7AD}" name="6A26" dataDxfId="158" dataCellStyle="Virgül"/>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B3F675B-B4E2-44B9-8D86-5B46DD14D561}" name="Tablo21" displayName="Tablo21" ref="A1:X6" totalsRowShown="0" headerRowDxfId="157" dataDxfId="156">
  <autoFilter ref="A1:X6" xr:uid="{BB3F675B-B4E2-44B9-8D86-5B46DD14D561}"/>
  <tableColumns count="24">
    <tableColumn id="1" xr3:uid="{9C95ADFC-511F-457B-B5AB-5C1BBC8FD92D}" name="SANTRAL ADI" dataDxfId="155"/>
    <tableColumn id="2" xr3:uid="{FE5CE16B-63F7-4A03-A99C-19CCF112A5D8}" name="KURULU GÜÇ" dataDxfId="154"/>
    <tableColumn id="3" xr3:uid="{D4CBBFB5-2AC6-4251-BEE7-934AD0CC5C82}" name="EIC KODU" dataDxfId="153"/>
    <tableColumn id="4" xr3:uid="{55971FA3-B725-49DA-8E65-9CE1D29BC90F}" name="ID" dataDxfId="152"/>
    <tableColumn id="5" xr3:uid="{FC7C045B-44BC-4EC5-BAAE-081595A9BF5E}" name="SATIŞ FİYATI" dataDxfId="151"/>
    <tableColumn id="6" xr3:uid="{B777843F-9B08-4B78-B704-AAED3FABAA38}" name="SÜRE (YIL SONU)" dataDxfId="150"/>
    <tableColumn id="7" xr3:uid="{17B1C10F-8020-4A64-B3B5-AAA149FD494A}" name="1A25" dataDxfId="149"/>
    <tableColumn id="8" xr3:uid="{C223A31D-DA49-4DB4-8700-B08F5EA01355}" name="2A25" dataDxfId="148"/>
    <tableColumn id="9" xr3:uid="{F76E73B6-1238-419D-92F1-9A3AF8310921}" name="3A25" dataDxfId="147"/>
    <tableColumn id="10" xr3:uid="{5B3BE65C-9972-4D0C-B0A1-9D84CC91694D}" name="4A25" dataDxfId="146"/>
    <tableColumn id="11" xr3:uid="{DD02D215-A654-4B58-904C-1539391B8EA1}" name="5A25" dataDxfId="145"/>
    <tableColumn id="12" xr3:uid="{65CB4F69-7A51-4FEB-AC68-D0832D516AE1}" name="6A25" dataDxfId="144"/>
    <tableColumn id="13" xr3:uid="{9B8B5874-4017-4716-A3DF-F49E5BD50D55}" name="7A25" dataDxfId="143"/>
    <tableColumn id="14" xr3:uid="{798D2D5A-A12C-4E8E-B283-0040B5C0A709}" name="8A25" dataDxfId="142"/>
    <tableColumn id="15" xr3:uid="{DB4F87D7-CC8E-41A5-BA1B-C1AB6B8875DC}" name="9A25" dataDxfId="141"/>
    <tableColumn id="16" xr3:uid="{F7EC9AB9-6EE0-41C9-A258-E31D8111EF25}" name="10A25" dataDxfId="140"/>
    <tableColumn id="17" xr3:uid="{C0F55778-7A27-4F63-B91E-EAF055C01ACC}" name="11A25" dataDxfId="139"/>
    <tableColumn id="18" xr3:uid="{74B8A965-B65A-4B11-94D0-08AC9BF4400C}" name="12A25" dataDxfId="138"/>
    <tableColumn id="19" xr3:uid="{34FCECF5-232C-4A54-A9A8-8C298CF608E4}" name="1A26" dataDxfId="137"/>
    <tableColumn id="20" xr3:uid="{62DC3D3D-2523-45DB-AF37-3F09D072EB48}" name="2A26" dataDxfId="136"/>
    <tableColumn id="21" xr3:uid="{5AE00005-52C5-4FAD-BD89-3F1860939FF7}" name="3A26" dataDxfId="135"/>
    <tableColumn id="22" xr3:uid="{2C7B9B0B-7286-407C-87A0-36C37E5AAE64}" name="4A26" dataDxfId="134"/>
    <tableColumn id="23" xr3:uid="{2B0A461E-2323-4CA5-80D5-845FAD54BC82}" name="5A26" dataDxfId="133"/>
    <tableColumn id="24" xr3:uid="{F5108C15-2B83-47CE-BAD3-15AF517BA679}" name="6A26" dataDxfId="132"/>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4DF87C55-21FE-4DA0-9B0B-65FC19BFFE54}" name="Tablo59" displayName="Tablo59" ref="A12:X13" totalsRowShown="0" headerRowDxfId="131" dataDxfId="130">
  <autoFilter ref="A12:X13" xr:uid="{4DF87C55-21FE-4DA0-9B0B-65FC19BFFE54}"/>
  <tableColumns count="24">
    <tableColumn id="1" xr3:uid="{4B27BFF1-6C15-4FB9-BA4E-8012351466E3}" name="SANTRALLERİN DOLAR BAZLI GETİRİLERİ" dataDxfId="129"/>
    <tableColumn id="2" xr3:uid="{B23E146C-DEF4-4A03-9DF7-E9A6F294BAC4}" name="Sütun1" dataDxfId="128"/>
    <tableColumn id="3" xr3:uid="{DC31C9B2-211F-432A-964C-B4401186F6C9}" name="Sütun2" dataDxfId="127"/>
    <tableColumn id="4" xr3:uid="{5E2B8ABB-A1E9-4DE6-AED2-53142F6308F7}" name="Sütun3" dataDxfId="126"/>
    <tableColumn id="5" xr3:uid="{19961352-CF28-46C3-B453-B0599FF913B3}" name="Sütun4" dataDxfId="125"/>
    <tableColumn id="6" xr3:uid="{5394A5CC-8507-4484-B788-2E186036E800}" name="Sütun5" dataDxfId="124"/>
    <tableColumn id="7" xr3:uid="{29E015AB-994A-4D48-8142-F7B33B4323AC}" name="1A25" dataDxfId="123">
      <calculatedColumnFormula>G20*G6</calculatedColumnFormula>
    </tableColumn>
    <tableColumn id="8" xr3:uid="{79771BBC-2EEA-4F40-A5BF-45B476C1D3C2}" name="2A25" dataDxfId="122">
      <calculatedColumnFormula>H20*H6</calculatedColumnFormula>
    </tableColumn>
    <tableColumn id="9" xr3:uid="{AACD86E2-D4BC-4453-A541-82AC9220BF6F}" name="3A25" dataDxfId="121">
      <calculatedColumnFormula>I20*I6</calculatedColumnFormula>
    </tableColumn>
    <tableColumn id="10" xr3:uid="{EFE94C0C-F2B1-4B82-AE90-91D2109CD39B}" name="4A25" dataDxfId="120">
      <calculatedColumnFormula>J20*J6</calculatedColumnFormula>
    </tableColumn>
    <tableColumn id="11" xr3:uid="{DC0EF543-E40D-48CE-829C-649E4B2A7E03}" name="5A25" dataDxfId="119">
      <calculatedColumnFormula>K20*K6</calculatedColumnFormula>
    </tableColumn>
    <tableColumn id="12" xr3:uid="{76B764CD-1F03-4772-B430-109DAC8F46A4}" name="6A25" dataDxfId="118">
      <calculatedColumnFormula>L20*L6</calculatedColumnFormula>
    </tableColumn>
    <tableColumn id="13" xr3:uid="{2283BC94-7A6A-4A26-AB3D-074039F6B45F}" name="7A25" dataDxfId="117">
      <calculatedColumnFormula>M20*M6</calculatedColumnFormula>
    </tableColumn>
    <tableColumn id="14" xr3:uid="{64D11E02-F6BF-4A5C-8AE9-C5B7A0A0D4D8}" name="8A25" dataDxfId="116">
      <calculatedColumnFormula>N20*N6</calculatedColumnFormula>
    </tableColumn>
    <tableColumn id="15" xr3:uid="{EE6A098A-EF5D-4C25-BFF9-99B13BC33040}" name="9A25" dataDxfId="115">
      <calculatedColumnFormula>O20*O6</calculatedColumnFormula>
    </tableColumn>
    <tableColumn id="16" xr3:uid="{8D129BF7-E7F9-4544-9341-3CDB1DF99C30}" name="10A25" dataDxfId="114">
      <calculatedColumnFormula>P20*P6</calculatedColumnFormula>
    </tableColumn>
    <tableColumn id="17" xr3:uid="{A1631C07-8BFD-4A84-84A1-C09B561E3E46}" name="11A25" dataDxfId="113">
      <calculatedColumnFormula>Q20*Q6</calculatedColumnFormula>
    </tableColumn>
    <tableColumn id="18" xr3:uid="{FB434B2E-7D54-42DF-8D88-1606FE602748}" name="12A25" dataDxfId="112">
      <calculatedColumnFormula>R20*R6</calculatedColumnFormula>
    </tableColumn>
    <tableColumn id="19" xr3:uid="{0157F955-D7A9-4AE2-AB19-77407F2BE7D0}" name="1A26" dataDxfId="111">
      <calculatedColumnFormula>S20*S6</calculatedColumnFormula>
    </tableColumn>
    <tableColumn id="20" xr3:uid="{CB1E7218-DFE9-4929-A28E-02643CBBD84C}" name="2A26" dataDxfId="110">
      <calculatedColumnFormula>T20*T6</calculatedColumnFormula>
    </tableColumn>
    <tableColumn id="21" xr3:uid="{934E355B-7384-4254-BCA6-F9AD6071615C}" name="3A26" dataDxfId="109">
      <calculatedColumnFormula>U20*U6</calculatedColumnFormula>
    </tableColumn>
    <tableColumn id="22" xr3:uid="{2D47C702-2598-44AF-90D0-B11DE16E363D}" name="4A26" dataDxfId="108">
      <calculatedColumnFormula>V20*V6</calculatedColumnFormula>
    </tableColumn>
    <tableColumn id="23" xr3:uid="{5BF2E6CE-22B4-41B0-95BF-3A21E60DEBB7}" name="5A26" dataDxfId="107">
      <calculatedColumnFormula>W20*W6</calculatedColumnFormula>
    </tableColumn>
    <tableColumn id="24" xr3:uid="{3ADCCC17-F916-40EB-B60C-61B06EA95B27}" name="6A26" dataDxfId="106">
      <calculatedColumnFormula>X20*X6</calculatedColumnFormula>
    </tableColumn>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92BB84A-7B72-4B7A-BCFA-0E509A92F9B1}" name="Tablo60" displayName="Tablo60" ref="A22:X23" totalsRowShown="0" headerRowDxfId="105" dataDxfId="104">
  <autoFilter ref="A22:X23" xr:uid="{092BB84A-7B72-4B7A-BCFA-0E509A92F9B1}"/>
  <tableColumns count="24">
    <tableColumn id="1" xr3:uid="{72FF018B-0FF7-4E4E-ACE4-DF300EBBAFC7}" name="SANTRALLERİN DOLAR BAZLI GETİRİLERİ" dataDxfId="103"/>
    <tableColumn id="2" xr3:uid="{80B2A6A5-5B61-46A5-8E85-401D96AE01E2}" name="Sütun1" dataDxfId="102"/>
    <tableColumn id="3" xr3:uid="{064C12BF-4200-4983-804C-72B531CFA187}" name="Sütun2" dataDxfId="101"/>
    <tableColumn id="4" xr3:uid="{EC70AFBB-6BB9-47FA-9095-5FBC23CDC574}" name="Sütun3" dataDxfId="100"/>
    <tableColumn id="5" xr3:uid="{1BFF35CB-E4B0-432A-96A9-8789A2571463}" name="Sütun4" dataDxfId="99"/>
    <tableColumn id="6" xr3:uid="{86BC58EA-765D-4458-8F09-FCA344A9333F}" name="Sütun5" dataDxfId="98"/>
    <tableColumn id="7" xr3:uid="{325483BD-738A-407E-97EA-A079006134C2}" name="1A25" dataDxfId="97">
      <calculatedColumnFormula>G30*G13</calculatedColumnFormula>
    </tableColumn>
    <tableColumn id="8" xr3:uid="{018E041D-C639-42F7-B8AD-566E85C8EC65}" name="2A25" dataDxfId="96">
      <calculatedColumnFormula>H30*H13</calculatedColumnFormula>
    </tableColumn>
    <tableColumn id="9" xr3:uid="{EFCFC06B-4A6C-4D62-A7EB-CBA48AAA1A6E}" name="3A25" dataDxfId="95">
      <calculatedColumnFormula>I30*I13</calculatedColumnFormula>
    </tableColumn>
    <tableColumn id="10" xr3:uid="{D986B1CD-F075-46C4-AEE7-B10B94F58B1D}" name="4A25" dataDxfId="94">
      <calculatedColumnFormula>J30*J13</calculatedColumnFormula>
    </tableColumn>
    <tableColumn id="11" xr3:uid="{096109D5-5F61-4401-A74F-ECBA02AA94D3}" name="5A25" dataDxfId="93">
      <calculatedColumnFormula>K30*K13</calculatedColumnFormula>
    </tableColumn>
    <tableColumn id="12" xr3:uid="{4900E6B1-D765-4CD4-A38D-365E321D197E}" name="6A25" dataDxfId="92">
      <calculatedColumnFormula>L30*L13</calculatedColumnFormula>
    </tableColumn>
    <tableColumn id="13" xr3:uid="{97951B49-1DD8-432A-A4B6-BF5A4E4E2152}" name="7A25" dataDxfId="91">
      <calculatedColumnFormula>M30*M13</calculatedColumnFormula>
    </tableColumn>
    <tableColumn id="14" xr3:uid="{E0E22B42-76EB-4E89-8A2F-7678E17E25CD}" name="8A25" dataDxfId="90">
      <calculatedColumnFormula>N30*N13</calculatedColumnFormula>
    </tableColumn>
    <tableColumn id="15" xr3:uid="{0A6635BA-73FB-4EA1-9DAB-2395C853C477}" name="9A25" dataDxfId="89">
      <calculatedColumnFormula>O30*O13</calculatedColumnFormula>
    </tableColumn>
    <tableColumn id="16" xr3:uid="{0DC687B5-8A4C-41C6-98E9-9BEBB9C3549C}" name="10A25" dataDxfId="88">
      <calculatedColumnFormula>P30*P13</calculatedColumnFormula>
    </tableColumn>
    <tableColumn id="17" xr3:uid="{12477C41-CC0D-4E56-A196-ECF11799169B}" name="11A25" dataDxfId="87">
      <calculatedColumnFormula>Q30*Q13</calculatedColumnFormula>
    </tableColumn>
    <tableColumn id="18" xr3:uid="{9D67DA6A-0B80-413F-82B7-CD0431185067}" name="12A25" dataDxfId="86">
      <calculatedColumnFormula>R30*R13</calculatedColumnFormula>
    </tableColumn>
    <tableColumn id="19" xr3:uid="{A821CEF0-EDFC-413E-9613-0208181BBBBC}" name="1A26" dataDxfId="85">
      <calculatedColumnFormula>S30*S13</calculatedColumnFormula>
    </tableColumn>
    <tableColumn id="20" xr3:uid="{4A1C66F9-E394-4B3A-BE1D-E9B3EB5D3B30}" name="2A26" dataDxfId="84">
      <calculatedColumnFormula>T30*T13</calculatedColumnFormula>
    </tableColumn>
    <tableColumn id="21" xr3:uid="{7F2F8E35-893C-4A08-B2D8-69E0125D9098}" name="3A26" dataDxfId="83">
      <calculatedColumnFormula>U30*U13</calculatedColumnFormula>
    </tableColumn>
    <tableColumn id="22" xr3:uid="{E8FE7CEC-2E20-48A1-83BF-40BFC5344DF4}" name="4A26" dataDxfId="82">
      <calculatedColumnFormula>V30*V13</calculatedColumnFormula>
    </tableColumn>
    <tableColumn id="23" xr3:uid="{6F39AF9A-5807-41A7-B75D-836C96E24156}" name="5A26" dataDxfId="81">
      <calculatedColumnFormula>W30*W13</calculatedColumnFormula>
    </tableColumn>
    <tableColumn id="24" xr3:uid="{55BF6190-EFD4-4453-A8BB-A5C891A53972}" name="6A26" dataDxfId="80">
      <calculatedColumnFormula>X30*X13</calculatedColumnFormula>
    </tableColumn>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AEBB548-0A29-46AF-8417-8692F18B2879}" name="Tablo22" displayName="Tablo22" ref="A1:X15" totalsRowShown="0" headerRowDxfId="79" dataDxfId="78">
  <autoFilter ref="A1:X15" xr:uid="{FAEBB548-0A29-46AF-8417-8692F18B2879}"/>
  <tableColumns count="24">
    <tableColumn id="1" xr3:uid="{F4CEFD8B-CAEF-4189-AD23-B71A12F498D8}" name="SANTRAL ADI" dataDxfId="77"/>
    <tableColumn id="2" xr3:uid="{D2998BA2-D804-4258-9285-FA4E7A334D2F}" name="KURULU GÜÇ" dataDxfId="76"/>
    <tableColumn id="3" xr3:uid="{4C1F3FEF-5819-490B-B0FD-122D6AAE2DE3}" name="EIC KODU" dataDxfId="75"/>
    <tableColumn id="4" xr3:uid="{85C25E3A-7EBD-4C00-96D4-737DADC4B8E5}" name="ID" dataDxfId="74"/>
    <tableColumn id="5" xr3:uid="{EC188E44-305E-45E0-99D3-D9F5783A37DF}" name="SATIŞ FİYATI" dataDxfId="73"/>
    <tableColumn id="6" xr3:uid="{92072B79-6C1D-46D8-A9A0-A647EEA60917}" name="SÜRE (YIL SONU)" dataDxfId="72"/>
    <tableColumn id="7" xr3:uid="{E0DEC968-97E5-42CE-953E-B3B663F5221B}" name="1A25" dataDxfId="71"/>
    <tableColumn id="8" xr3:uid="{A06A561E-F2A3-4981-9FB7-D83907A3F859}" name="2A25" dataDxfId="70"/>
    <tableColumn id="9" xr3:uid="{A089B56A-C5E9-4E0D-B9BE-023059670E67}" name="3A25" dataDxfId="69"/>
    <tableColumn id="10" xr3:uid="{3B411B86-BF27-418A-9B12-66CB02191E97}" name="4A25" dataDxfId="68"/>
    <tableColumn id="11" xr3:uid="{E918A778-7193-4BD8-BF35-805E8A7F7D05}" name="5A25" dataDxfId="67"/>
    <tableColumn id="12" xr3:uid="{F45E9E6B-6AEE-4AFA-907C-947E85658C48}" name="6A25" dataDxfId="66"/>
    <tableColumn id="13" xr3:uid="{BE564021-BC02-4A15-9B10-EADA436E530D}" name="7A25" dataDxfId="65"/>
    <tableColumn id="14" xr3:uid="{1E5BD1EF-000F-41B9-9B41-43A1587F1061}" name="8A25" dataDxfId="64"/>
    <tableColumn id="15" xr3:uid="{6D8694F0-F094-43DF-A5F1-BC836C2F5F02}" name="9A25" dataDxfId="63"/>
    <tableColumn id="16" xr3:uid="{03856C38-B055-44D2-A3AA-CDF43C30BE3E}" name="10A25" dataDxfId="62"/>
    <tableColumn id="17" xr3:uid="{CD4D5C15-6798-4F50-ADF6-61B9C12E7D19}" name="11A25" dataDxfId="61"/>
    <tableColumn id="18" xr3:uid="{49D5785C-9B7B-48A9-9572-37AE850F7B48}" name="12A25" dataDxfId="60"/>
    <tableColumn id="19" xr3:uid="{EFBCA8D9-7596-46F5-A942-3FB64B0EA15F}" name="1A26" dataDxfId="59"/>
    <tableColumn id="20" xr3:uid="{098880ED-1BB1-46F3-923D-0AB7969CA423}" name="2A26" dataDxfId="58"/>
    <tableColumn id="21" xr3:uid="{F1D1C705-1607-4ED7-9BDF-432EEAC311DB}" name="3A26" dataDxfId="57"/>
    <tableColumn id="22" xr3:uid="{698C9D31-8063-4D5D-92BD-63B832EEF0C6}" name="4A26" dataDxfId="56"/>
    <tableColumn id="23" xr3:uid="{B8A5D472-BA5C-4220-8063-0767D4AF4109}" name="5A26" dataDxfId="55"/>
    <tableColumn id="24" xr3:uid="{4703BE98-17DD-482C-A046-329B42F27718}" name="6A26" dataDxfId="54"/>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EFC98A-C951-4C95-BB67-6B1FA4D7BAD3}" name="Tablo57" displayName="Tablo57" ref="A28:X41" totalsRowShown="0" headerRowDxfId="53" dataDxfId="52">
  <autoFilter ref="A28:X41" xr:uid="{00EFC98A-C951-4C95-BB67-6B1FA4D7BAD3}"/>
  <tableColumns count="24">
    <tableColumn id="1" xr3:uid="{78D2C0D2-0B25-4BDF-8F32-4982FF3FCDB0}" name="SANTRALLERİN DOLAR BAZLI GETİRİLERİ" dataDxfId="51"/>
    <tableColumn id="2" xr3:uid="{A02B62FF-0895-45BD-A080-A28B89CEE57E}" name="Sütun1" dataDxfId="50"/>
    <tableColumn id="3" xr3:uid="{5CC70D8C-2822-4D49-B223-426915847B33}" name="Sütun2" dataDxfId="49"/>
    <tableColumn id="4" xr3:uid="{09B668E5-71E1-43A9-8B7D-D9859B170D1C}" name="Sütun3" dataDxfId="48"/>
    <tableColumn id="5" xr3:uid="{758B04EE-D5C8-4557-93EA-31EF329EDEFB}" name="Sütun4" dataDxfId="47"/>
    <tableColumn id="6" xr3:uid="{D5BA0CA4-3EF5-471A-AA86-ED67EC91C201}" name="Sütun5" dataDxfId="46"/>
    <tableColumn id="7" xr3:uid="{FAE2DA70-597E-4BD6-8060-3647AF732BF2}" name="1A25" dataDxfId="45" dataCellStyle="Virgül"/>
    <tableColumn id="8" xr3:uid="{DADF057D-8E04-4FB2-94C8-FCAC65B224C0}" name="2A25" dataDxfId="44" dataCellStyle="Virgül"/>
    <tableColumn id="9" xr3:uid="{D5D6B358-0981-4D8F-8A37-D55EDAD53764}" name="3A25" dataDxfId="43" dataCellStyle="Virgül"/>
    <tableColumn id="10" xr3:uid="{1DED39BE-1A53-4D0B-A583-477C46B4ECAF}" name="4A25" dataDxfId="42" dataCellStyle="Virgül"/>
    <tableColumn id="11" xr3:uid="{8516E073-3722-4910-9F56-6BEC7DB36365}" name="5A25" dataDxfId="41" dataCellStyle="Virgül"/>
    <tableColumn id="12" xr3:uid="{CF0B9723-5677-47B8-A99A-E2A26D2469FC}" name="6A25" dataDxfId="40" dataCellStyle="Virgül"/>
    <tableColumn id="13" xr3:uid="{D987BEA8-1805-4902-B090-51A043FB69C2}" name="7A25" dataDxfId="39" dataCellStyle="Virgül"/>
    <tableColumn id="14" xr3:uid="{6AEF6E76-EA3F-4D10-B9BA-216D714C5B46}" name="8A25" dataDxfId="38" dataCellStyle="Virgül"/>
    <tableColumn id="15" xr3:uid="{9AF72C41-5126-4555-8AFE-6F67EBB97C1D}" name="9A25" dataDxfId="37" dataCellStyle="Virgül"/>
    <tableColumn id="16" xr3:uid="{81F9DF6F-C8A4-4072-85C6-CE738F911E86}" name="10A25" dataDxfId="36" dataCellStyle="Virgül"/>
    <tableColumn id="17" xr3:uid="{3066D331-A5B7-4CDA-8CF6-0B5D467E6367}" name="11A25" dataDxfId="35" dataCellStyle="Virgül"/>
    <tableColumn id="18" xr3:uid="{ADE4A7A4-DB13-411C-B586-25F92D2CCB4C}" name="12A25" dataDxfId="34" dataCellStyle="Virgül"/>
    <tableColumn id="19" xr3:uid="{E29B6E68-B027-4EFD-8827-803D58BE5625}" name="1A26" dataDxfId="33" dataCellStyle="Virgül"/>
    <tableColumn id="20" xr3:uid="{AA20C038-83DA-4092-8AE3-03E737A9DEDA}" name="2A26" dataDxfId="32" dataCellStyle="Virgül"/>
    <tableColumn id="21" xr3:uid="{E7BC02D5-A030-455C-BCAB-1EE5B3D4BCC0}" name="3A26" dataDxfId="31" dataCellStyle="Virgül"/>
    <tableColumn id="22" xr3:uid="{55D37BEB-E528-4F46-8FC2-2C96623A031B}" name="4A26" dataDxfId="30" dataCellStyle="Virgül"/>
    <tableColumn id="23" xr3:uid="{C39B7804-306D-456B-A719-C6D6C61128F9}" name="5A26" dataDxfId="29" dataCellStyle="Virgül"/>
    <tableColumn id="24" xr3:uid="{E0E35C77-E9F7-4A09-92A0-22C6FC801FD4}" name="6A26" dataDxfId="28" dataCellStyle="Virgül"/>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9BACD77-5C97-4D17-A746-FEA52EEBCAC7}" name="Tablo58" displayName="Tablo58" ref="A52:X65" totalsRowShown="0" headerRowDxfId="27" dataDxfId="26">
  <autoFilter ref="A52:X65" xr:uid="{79BACD77-5C97-4D17-A746-FEA52EEBCAC7}"/>
  <tableColumns count="24">
    <tableColumn id="1" xr3:uid="{79BD40F1-CFF0-461D-8D1A-9E8B7DBF60FA}" name="SANTRALLERİN TL BAZLI GETİRİLERİ" dataDxfId="25"/>
    <tableColumn id="2" xr3:uid="{9ED30F74-30E5-4AA8-A7FF-375640BE8687}" name="Sütun1" dataDxfId="24"/>
    <tableColumn id="3" xr3:uid="{C0525CC7-9D03-4FB1-867B-E0F8C0399A2F}" name="Sütun2" dataDxfId="23"/>
    <tableColumn id="4" xr3:uid="{A5EB49F8-872D-48FA-928D-8DD27A98B102}" name="Sütun3" dataDxfId="22"/>
    <tableColumn id="5" xr3:uid="{522F45C3-DE81-4FE5-92F1-3A795F22CBA9}" name="Sütun4" dataDxfId="21"/>
    <tableColumn id="6" xr3:uid="{29EBA647-BE02-49E4-B1A8-30BD2C893BDF}" name="Sütun5" dataDxfId="20"/>
    <tableColumn id="7" xr3:uid="{A6FA7974-2E79-48B9-BD8B-40C08FA7B956}" name="1A25" dataDxfId="19" dataCellStyle="Virgül"/>
    <tableColumn id="8" xr3:uid="{2AA39997-7028-49BF-9B4B-8B4F4220DB92}" name="2A25" dataDxfId="18" dataCellStyle="Virgül"/>
    <tableColumn id="9" xr3:uid="{E07D9EAF-B766-4107-8F9A-99426D3F4CBF}" name="3A25" dataDxfId="17" dataCellStyle="Virgül"/>
    <tableColumn id="10" xr3:uid="{E8367582-3CD4-4F4D-856D-DD28D311CFE9}" name="4A25" dataDxfId="16" dataCellStyle="Virgül"/>
    <tableColumn id="11" xr3:uid="{FEA6F5C6-642A-43E5-A6C7-0BF023D758BC}" name="5A25" dataDxfId="15" dataCellStyle="Virgül"/>
    <tableColumn id="12" xr3:uid="{D87B30D0-1CDD-4A53-9EB8-C460D0A42B12}" name="6A25" dataDxfId="14" dataCellStyle="Virgül"/>
    <tableColumn id="13" xr3:uid="{BE7129AB-A876-499C-9186-87C4C8621793}" name="7A25" dataDxfId="13" dataCellStyle="Virgül"/>
    <tableColumn id="14" xr3:uid="{C7A4780F-7155-479B-AE76-6A3F64D367B0}" name="8A25" dataDxfId="12" dataCellStyle="Virgül"/>
    <tableColumn id="15" xr3:uid="{841F7FB5-6161-4268-B817-AC2D93CE810F}" name="9A25" dataDxfId="11" dataCellStyle="Virgül"/>
    <tableColumn id="16" xr3:uid="{8BB4469F-789B-4698-A9CC-069B03E96B5A}" name="10A25" dataDxfId="10" dataCellStyle="Virgül"/>
    <tableColumn id="17" xr3:uid="{95B83EF2-C353-407F-8033-4FACEA353F22}" name="11A25" dataDxfId="9" dataCellStyle="Virgül"/>
    <tableColumn id="18" xr3:uid="{9AB61511-45B9-46A8-8DFB-377F2775A6B5}" name="12A25" dataDxfId="8" dataCellStyle="Virgül"/>
    <tableColumn id="19" xr3:uid="{C16B7F98-320D-4563-B664-4FB9092E244E}" name="1A26" dataDxfId="7" dataCellStyle="Virgül"/>
    <tableColumn id="20" xr3:uid="{375CC109-9A7E-4FAC-A4AA-5B3BC9B663ED}" name="2A26" dataDxfId="6" dataCellStyle="Virgül"/>
    <tableColumn id="21" xr3:uid="{2F624B06-9753-4DFD-AE31-86CA5D19B721}" name="3A26" dataDxfId="5" dataCellStyle="Virgül"/>
    <tableColumn id="22" xr3:uid="{B182AF0D-0F2E-44CB-8836-02091191A672}" name="4A26" dataDxfId="4" dataCellStyle="Virgül"/>
    <tableColumn id="23" xr3:uid="{2F65AAB9-B50F-4153-80E3-45A62870E2AE}" name="5A26" dataDxfId="3" dataCellStyle="Virgül"/>
    <tableColumn id="24" xr3:uid="{03021834-6DC4-4328-B171-2C7A8CACA84F}" name="6A26" dataDxfId="2" dataCellStyle="Virgü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5" dT="2026-01-30T07:30:58.36" personId="{042FE231-63B2-4AD7-894B-AD12BC5D3E63}" id="{2D9396B3-6FBF-45B1-B69C-1739E464690B}">
    <text>270 TERMİK 618 FUEL OIL</text>
  </threadedComment>
  <threadedComment ref="AD5" dT="2026-03-31T10:49:17.66" personId="{042FE231-63B2-4AD7-894B-AD12BC5D3E63}" id="{93310B05-BE99-4E56-8C05-F468E5BD7079}">
    <text xml:space="preserve">HFO AKARYAKIT
</text>
  </threadedComment>
  <threadedComment ref="O6" dT="2026-02-05T06:45:46.83" personId="{042FE231-63B2-4AD7-894B-AD12BC5D3E63}" id="{D0A81E51-2A6B-4DF5-A81E-E3A034B08BD6}">
    <text>26,54 MW GOLTS SAHİP OLDUĞU 104,3 MW KURULU GÜCÜNDEN GELMEKTEDİR. ŞİRKETİN GOLTS’DA %25,45 PAYI BULUNMAKTADIR.</text>
  </threadedComment>
  <threadedComment ref="T7" dT="2026-02-02T10:49:41.11" personId="{042FE231-63B2-4AD7-894B-AD12BC5D3E63}" id="{F9E546B5-793A-4C65-A312-4449686239BB}">
    <text xml:space="preserve">ALFAS SOLAR TOPLAMDA 39,88 MW GESDEN ENERJİ ÜRETİMİ GERÇEKLEŞTİRİYOR BUNUN 17 MW’NI FABRİKADA KENDİ İHTİYAÇLARI İÇİN KULLANIYOR </text>
  </threadedComment>
  <threadedComment ref="AD7" dT="2026-03-31T08:20:53.92" personId="{042FE231-63B2-4AD7-894B-AD12BC5D3E63}" id="{F03395C3-AB74-4D0D-A5DD-F972AF0F1A4D}">
    <text xml:space="preserve">EN YAKIN ZAMANDA TAMAMLANACAK DEMİŞLER
</text>
  </threadedComment>
  <threadedComment ref="O9" dT="2026-02-04T07:58:45.80" personId="{042FE231-63B2-4AD7-894B-AD12BC5D3E63}" id="{F8B40939-9182-4F99-92BE-FDC754772DAF}">
    <text xml:space="preserve">ŞİRKETİN ARNAVUTLUKTAKİ HES PROJELERİ KURULU GÜÇE DAHİL EDİLMEMİŞTİR.
</text>
  </threadedComment>
  <threadedComment ref="AF9" dT="2026-03-31T10:30:22.56" personId="{042FE231-63B2-4AD7-894B-AD12BC5D3E63}" id="{A1678B61-ADAA-484D-A887-DF647E309DA4}">
    <text>111 MW HES ARNAVUTLUKTA</text>
  </threadedComment>
  <threadedComment ref="S12" dT="2026-02-02T06:52:29.37" personId="{042FE231-63B2-4AD7-894B-AD12BC5D3E63}" id="{218CC77C-9795-4214-B54E-0C70BF014BE3}">
    <text xml:space="preserve">340 MWm ÜRETİLİYOR </text>
  </threadedComment>
  <threadedComment ref="T14" dT="2026-02-02T11:32:10.01" personId="{042FE231-63B2-4AD7-894B-AD12BC5D3E63}" id="{BBD1355A-1134-4EDE-9DCB-D6826A7C367B}">
    <text>Şirket toplam kurulu güçü 107,4 MW olup 62,4 MW kısmı dağıtık enerjiden gelmektedir. BU İŞLEM BAĞLI ORTAKLIK Tres Enerji üzerinden gerçekleştiirlmektedir.</text>
  </threadedComment>
  <threadedComment ref="AE14" dT="2026-03-31T10:40:19.36" personId="{042FE231-63B2-4AD7-894B-AD12BC5D3E63}" id="{25D3F4C7-5760-4701-97F3-366ED4D66DF4}">
    <text>SANTRALLER BAHAMADA KURULACAK</text>
  </threadedComment>
  <threadedComment ref="M19" dT="2026-02-02T13:18:07.41" personId="{042FE231-63B2-4AD7-894B-AD12BC5D3E63}" id="{54422567-71F7-4028-AD57-9B14D161CBD3}">
    <text>36,2 MW HİBRİT GES</text>
  </threadedComment>
  <threadedComment ref="O20" dT="2026-02-03T07:21:49.12" personId="{042FE231-63B2-4AD7-894B-AD12BC5D3E63}" id="{A0BC244D-C772-4652-8E65-44221624AFBE}">
    <text xml:space="preserve">14 MW KURULU GÜCE SAHİP BAĞBAŞI HES’İN ÇED OLUMLU RAPORUNUN KISMEN İPTAL EDİLMESİ NEDENİYLE FAALİYERLERİ GEÇİÇİ OLARAK DURDURULDU.
</text>
  </threadedComment>
  <threadedComment ref="AF23" dT="2026-03-31T11:41:06.94" personId="{042FE231-63B2-4AD7-894B-AD12BC5D3E63}" id="{D65437CB-3F41-4243-92D1-B51E791D7D26}">
    <text xml:space="preserve">ARNAVUTLUK </text>
  </threadedComment>
  <threadedComment ref="R24" dT="2026-02-05T07:53:45.49" personId="{042FE231-63B2-4AD7-894B-AD12BC5D3E63}" id="{87B27EBD-0FE9-4957-9A96-19C51A9DDF35}">
    <text>ÖZBEKİSTAN DOIĞALGAZ ÇEVRİM SANTRALİNDEN GELİYOR</text>
  </threadedComment>
  <threadedComment ref="S24" dT="2026-02-05T07:54:07.65" personId="{042FE231-63B2-4AD7-894B-AD12BC5D3E63}" id="{ACE0F99F-0F2C-4978-B443-5E1C6B6D1A02}">
    <text>CANTEDEKİ ORTAKLIĞINDAN GELİYOR</text>
  </threadedComment>
  <threadedComment ref="M26" dT="2026-02-05T09:03:13.88" personId="{042FE231-63B2-4AD7-894B-AD12BC5D3E63}" id="{CC238E99-9BD3-454C-9B2D-1081EECED79D}">
    <text>100 MWe kurulu güce sahip projenin %93,01’lik kısmı için kabul süreci tamamlandı.</text>
  </threadedComment>
  <threadedComment ref="AF26" dT="2026-03-31T10:59:56.00" personId="{042FE231-63B2-4AD7-894B-AD12BC5D3E63}" id="{F2EBE565-7E83-4743-BE09-5521F8B19695}">
    <text>60,6 MW ARNAVUTLUK</text>
  </threadedComment>
  <threadedComment ref="T27" dT="2026-02-02T08:35:11.98" personId="{042FE231-63B2-4AD7-894B-AD12BC5D3E63}" id="{ABFBBC19-5370-4FC2-9FBE-5B4CABE68DE7}">
    <text xml:space="preserve">YILI HEDEFİ 360 MW KURULU GÜÇ GÜNCEL KAP BİLGİLERİNE GÖRE HEDEF AŞILIP 362,5 MW KURULU GÜÇE ULAŞILMIŞTIR
</text>
  </threadedComment>
</ThreadedComments>
</file>

<file path=xl/threadedComments/threadedComment2.xml><?xml version="1.0" encoding="utf-8"?>
<ThreadedComments xmlns="http://schemas.microsoft.com/office/spreadsheetml/2018/threadedcomments" xmlns:x="http://schemas.openxmlformats.org/spreadsheetml/2006/main">
  <threadedComment ref="A92" dT="2026-04-28T07:36:33.81" personId="{042FE231-63B2-4AD7-894B-AD12BC5D3E63}" id="{08D3825A-2E3A-4BBD-A5AD-DA1AADF8B028}">
    <text xml:space="preserve">16/18 santral üretim verisi biliniyor faaliyet raporu verilerine göre şirketin RES üretim verileri 0 sapmayla hesaplanmıştır. HES de iki adet santralin bilinmediği için sapma oluşmuştur.  </text>
  </threadedComment>
  <threadedComment ref="A110" dT="2026-04-28T07:36:33.81" personId="{042FE231-63B2-4AD7-894B-AD12BC5D3E63}" id="{35B0A3CC-4B43-4755-BB52-C46EFDBA2F2C}">
    <text xml:space="preserve">16/18 santral üretim verisi biliniyor faaliyet raporu verilerine göre şirketin RES üretim verileri 0 sapmayla hesaplanmıştır. HES de iki adet santralin bilinmediği için sapma oluşmuştur.  </text>
  </threadedComment>
</ThreadedComments>
</file>

<file path=xl/threadedComments/threadedComment3.xml><?xml version="1.0" encoding="utf-8"?>
<ThreadedComments xmlns="http://schemas.microsoft.com/office/spreadsheetml/2018/threadedcomments" xmlns:x="http://schemas.openxmlformats.org/spreadsheetml/2006/main">
  <threadedComment ref="E3" dT="2026-03-26T19:48:34.54" personId="{042FE231-63B2-4AD7-894B-AD12BC5D3E63}" id="{C0FF9A8A-7711-4EF7-AABE-959FCE7FBC25}">
    <text>PTF fiyatı 75 doları aşarsa ptf fiyatı üzerinden satılır</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6-02-05T06:33:26.55" personId="{042FE231-63B2-4AD7-894B-AD12BC5D3E63}" id="{C03C580E-AF76-4C7A-AB0C-4406E1FA0D20}">
    <text>İKİ SANTRAL OLUŞMAKTADIR SANTRALLERİN TOPLAM GÜCÜ HAKKINDA BİLGİ VERİLMEMİŞTİR.YAP-İŞLET-DEVRET MODELİYLE 1989 DA KURULAN İLK SANTRALDİR.</text>
  </threadedComment>
  <threadedComment ref="A10" dT="2026-02-05T06:47:18.06" personId="{042FE231-63B2-4AD7-894B-AD12BC5D3E63}" id="{F1683371-ED4D-46D1-B4F7-D1A628FC0026}">
    <text>GOLTS %25,45 PAY SAHİBİ</text>
  </threadedComment>
</ThreadedComments>
</file>

<file path=xl/threadedComments/threadedComment5.xml><?xml version="1.0" encoding="utf-8"?>
<ThreadedComments xmlns="http://schemas.microsoft.com/office/spreadsheetml/2018/threadedcomments" xmlns:x="http://schemas.openxmlformats.org/spreadsheetml/2006/main">
  <threadedComment ref="B9" dT="2026-02-05T08:13:43.15" personId="{042FE231-63B2-4AD7-894B-AD12BC5D3E63}" id="{787CBAC7-0F9B-4620-8467-2573FDAB4F71}">
    <text>18000MWh CİNSİNDEN VERİLMİŞTİR. 18000 MWh /8760h YAKLAŞIK 2,05 MW YAPIYOR.</text>
  </threadedComment>
</ThreadedComments>
</file>

<file path=xl/threadedComments/threadedComment6.xml><?xml version="1.0" encoding="utf-8"?>
<ThreadedComments xmlns="http://schemas.microsoft.com/office/spreadsheetml/2018/threadedcomments" xmlns:x="http://schemas.openxmlformats.org/spreadsheetml/2006/main">
  <threadedComment ref="A5" dT="2026-02-02T11:17:52.74" personId="{042FE231-63B2-4AD7-894B-AD12BC5D3E63}" id="{0B0F132F-5CC1-4697-AD39-3BEA555B3132}">
    <text xml:space="preserve">Kojenerasyon, trijinerasyon ve öz tüketim GES içerir
</text>
  </threadedComment>
  <threadedComment ref="B5" dT="2026-02-02T11:44:09.42" personId="{042FE231-63B2-4AD7-894B-AD12BC5D3E63}" id="{98EADF1F-4467-44BE-9C30-C7D2A8E9F0C6}">
    <text xml:space="preserve">+3,065 MW artarak toplam kurulu güç 65,5 MW ulaştı
</text>
  </threadedComment>
  <threadedComment ref="A41" dT="2026-02-02T11:38:50.52" personId="{042FE231-63B2-4AD7-894B-AD12BC5D3E63}" id="{DA552E6F-9144-4461-9F43-0D9874C2BF48}">
    <text xml:space="preserve">Bahamalardaki projede %50 oranında dolaylı ortaklığı bulunmaktadır.
</text>
  </threadedComment>
  <threadedComment ref="A43" dT="2026-02-02T11:42:10.75" personId="{042FE231-63B2-4AD7-894B-AD12BC5D3E63}" id="{0C19F1EF-FE65-4834-A911-13C0DD85114A}">
    <text xml:space="preserve">26 Kasım: Tres Enerji ile Boyner arasında imzalanan sözleşmeye konu güneş santrali, gerekli işlmler tamamlanarak 3,065 MWp kapasite ile işletmeye alınmıştır.
</text>
  </threadedComment>
</ThreadedComments>
</file>

<file path=xl/threadedComments/threadedComment7.xml><?xml version="1.0" encoding="utf-8"?>
<ThreadedComments xmlns="http://schemas.microsoft.com/office/spreadsheetml/2018/threadedcomments" xmlns:x="http://schemas.openxmlformats.org/spreadsheetml/2006/main">
  <threadedComment ref="B2" dT="2026-02-02T07:04:41.33" personId="{042FE231-63B2-4AD7-894B-AD12BC5D3E63}" id="{47F3B6F8-8284-406F-8FA5-506633E083B9}">
    <text>340 MWm elektrik üretiliyor</text>
  </threadedComment>
</ThreadedComments>
</file>

<file path=xl/threadedComments/threadedComment8.xml><?xml version="1.0" encoding="utf-8"?>
<ThreadedComments xmlns="http://schemas.microsoft.com/office/spreadsheetml/2018/threadedcomments" xmlns:x="http://schemas.openxmlformats.org/spreadsheetml/2006/main">
  <threadedComment ref="B2" dT="2026-02-03T11:19:00.77" personId="{042FE231-63B2-4AD7-894B-AD12BC5D3E63}" id="{499C1786-8067-4921-B5B2-3A6487423566}">
    <text>TAMAMI MWp FORMATINDA</text>
  </threadedComment>
  <threadedComment ref="B2" dT="2026-02-03T11:26:46.88" personId="{042FE231-63B2-4AD7-894B-AD12BC5D3E63}" id="{58306125-4E78-4CFD-A897-C991FCAE74D9}" parentId="{499C1786-8067-4921-B5B2-3A6487423566}">
    <text>8 YIL BOYUNCA 28 USD/MWH YEKDEM SATIŞ GARANTİSİ</text>
  </threadedComment>
  <threadedComment ref="B9" dT="2026-02-03T11:23:52.20" personId="{042FE231-63B2-4AD7-894B-AD12BC5D3E63}" id="{65A620A4-76D3-4AE8-A95D-9D3BB603BA93}">
    <text xml:space="preserve">TAMAMI MWe FORMATINDA
</text>
  </threadedComment>
  <threadedComment ref="B9" dT="2026-02-03T11:27:31.34" personId="{042FE231-63B2-4AD7-894B-AD12BC5D3E63}" id="{DD2A2268-6EBB-4077-AF93-DAE6BFF4D409}" parentId="{65A620A4-76D3-4AE8-A95D-9D3BB603BA93}">
    <text xml:space="preserve">133 USD/MWH YEKDEM SATIŞ GARANTİSİ
</text>
  </threadedComment>
  <threadedComment ref="A43" dT="2026-02-03T12:03:42.64" personId="{042FE231-63B2-4AD7-894B-AD12BC5D3E63}" id="{4F4CC894-BB66-4A7A-BD37-8D0849EBBCF0}">
    <text xml:space="preserve">İlk 5 yıl serbest fiyatından satışla yıllık yaklaşık 7,1 milyon Euro, sonraki 20 yıl alım garantisi kapsamında yaklasık 3,9 milyon Euro brüt gelir elde edecek
</text>
  </threadedComment>
</ThreadedComments>
</file>

<file path=xl/threadedComments/threadedComment9.xml><?xml version="1.0" encoding="utf-8"?>
<ThreadedComments xmlns="http://schemas.microsoft.com/office/spreadsheetml/2018/threadedcomments" xmlns:x="http://schemas.openxmlformats.org/spreadsheetml/2006/main">
  <threadedComment ref="B1" dT="2026-02-03T08:23:46.15" personId="{042FE231-63B2-4AD7-894B-AD12BC5D3E63}" id="{53456DC3-B7B2-4205-8C79-515D521F1444}">
    <text>TAMAMI MWE CİNSİNDEN</text>
  </threadedComment>
  <threadedComment ref="B1" dT="2026-02-03T08:32:21.49" personId="{042FE231-63B2-4AD7-894B-AD12BC5D3E63}" id="{9C3C62AD-3B92-479F-8E04-F01B85C1390B}" parentId="{53456DC3-B7B2-4205-8C79-515D521F1444}">
    <text>BÜTÜN VERİLER ŞİRKETİN DOLAYLI ORTAKLIĞINDAKI SAHİP OLDUĞU PAY ORANIYLA ÇARPILDI.</text>
  </threadedComment>
</ThreadedComments>
</file>

<file path=xl/threadedComments/threadedComment10.xml><?xml version="1.0" encoding="utf-8"?>
<ThreadedComments xmlns="http://schemas.microsoft.com/office/spreadsheetml/2018/threadedcomments" xmlns:x="http://schemas.openxmlformats.org/spreadsheetml/2006/main">
  <threadedComment ref="B11" dT="2026-02-03T07:45:38.40" personId="{042FE231-63B2-4AD7-894B-AD12BC5D3E63}" id="{4A2CB396-252E-4FA7-B562-3014FF1C8DA0}">
    <text xml:space="preserve">136 MWe
</text>
  </threadedComment>
</ThreadedComments>
</file>

<file path=xl/threadedComments/threadedComment11.xml><?xml version="1.0" encoding="utf-8"?>
<ThreadedComments xmlns="http://schemas.microsoft.com/office/spreadsheetml/2018/threadedcomments" xmlns:x="http://schemas.openxmlformats.org/spreadsheetml/2006/main">
  <threadedComment ref="B1" dT="2026-02-03T09:20:28.95" personId="{042FE231-63B2-4AD7-894B-AD12BC5D3E63}" id="{55B091FE-6C29-44AA-BE87-D5C31F301BA8}">
    <text xml:space="preserve">BÜTÜN VERİLER MWe CİNSİNDEN VERİLMİŞ OLUP HEPSİ MOGAN’IN ŞİRKETTE PAY SAHİBİ OLDUĞU ORANLARLA CARPILMIŞTIR.
</text>
  </threadedComment>
  <threadedComment ref="E4" dT="2026-03-27T15:01:16.77" personId="{042FE231-63B2-4AD7-894B-AD12BC5D3E63}" id="{EAD40642-BDBA-4D32-B418-5187B70DF2DA}">
    <text xml:space="preserve">105 125 ARALIGINDA YAZMIŞ RAPORDA
</text>
  </threadedComment>
  <threadedComment ref="C7" dT="2026-02-09T12:27:44.72" personId="{042FE231-63B2-4AD7-894B-AD12BC5D3E63}" id="{331727BE-75EE-4A37-8447-F9271A258643}">
    <text xml:space="preserve">Çeşmebaşı HES
</text>
  </threadedComment>
  <threadedComment ref="B20" dT="2026-02-03T09:12:42.13" personId="{042FE231-63B2-4AD7-894B-AD12BC5D3E63}" id="{81B5E9E4-D801-4AFF-B263-8FF9B8713092}">
    <text xml:space="preserve">32,5 MWm KURULU GÜCÜ VAR
</text>
  </threadedComment>
</ThreadedComments>
</file>

<file path=xl/threadedComments/threadedComment12.xml><?xml version="1.0" encoding="utf-8"?>
<ThreadedComments xmlns="http://schemas.microsoft.com/office/spreadsheetml/2018/threadedcomments" xmlns:x="http://schemas.openxmlformats.org/spreadsheetml/2006/main">
  <threadedComment ref="B2" dT="2026-02-05T07:45:43.54" personId="{042FE231-63B2-4AD7-894B-AD12BC5D3E63}" id="{8B933A25-972E-40B7-A240-24F27D72D5FB}">
    <text>ÇAN2 TERMİK SANTRALİNDE %29,29 PAYA SAHİP</text>
  </threadedComment>
</ThreadedComments>
</file>

<file path=xl/threadedComments/threadedComment13.xml><?xml version="1.0" encoding="utf-8"?>
<ThreadedComments xmlns="http://schemas.microsoft.com/office/spreadsheetml/2018/threadedcomments" xmlns:x="http://schemas.openxmlformats.org/spreadsheetml/2006/main">
  <threadedComment ref="B2" dT="2026-02-05T09:03:13.88" personId="{042FE231-63B2-4AD7-894B-AD12BC5D3E63}" id="{DD6B2B52-7559-4213-94C5-13CEF7A02612}">
    <text>100 MWe kurulu güce sahip projenin %93,01’lik kısmı için kabul süreci tamamlandı.</text>
  </threadedComment>
  <threadedComment ref="A9" dT="2026-02-05T09:13:09.13" personId="{042FE231-63B2-4AD7-894B-AD12BC5D3E63}" id="{372CB43D-391E-4F2B-9D29-BEF29410A20A}">
    <text xml:space="preserve">Arnavutluklu yerel ortakla girilen ihalede Smart Holding %20 ve Smart Güneş %31 oranında pay sahibi olup. 40,3 MW lik santral için 53,53 euro / mwh ve 20,2 MW lık santral için 56,28 euro / mwh fiyatı üzerinden anlaşmaya varıldı.
</text>
  </threadedComment>
</ThreadedComments>
</file>

<file path=xl/threadedComments/threadedComment14.xml><?xml version="1.0" encoding="utf-8"?>
<ThreadedComments xmlns="http://schemas.microsoft.com/office/spreadsheetml/2018/threadedcomments" xmlns:x="http://schemas.openxmlformats.org/spreadsheetml/2006/main">
  <threadedComment ref="B2" dT="2026-02-02T08:53:34.86" personId="{042FE231-63B2-4AD7-894B-AD12BC5D3E63}" id="{BFE63308-2313-469A-AB30-F958DD2A55D6}">
    <text xml:space="preserve">50,1 MW ULAŞTI
</text>
  </threadedComment>
  <threadedComment ref="B3" dT="2026-02-02T08:46:58.83" personId="{042FE231-63B2-4AD7-894B-AD12BC5D3E63}" id="{DDC4A228-A056-4549-922B-989397BA40CE}">
    <text xml:space="preserve">59,6 MW ULAŞTI
</text>
  </threadedComment>
  <threadedComment ref="B8" dT="2026-02-02T08:53:49.78" personId="{042FE231-63B2-4AD7-894B-AD12BC5D3E63}" id="{780C0736-4993-4A8B-80D7-38487699F854}">
    <text>362,5 MW ULAŞTI</text>
  </threadedComment>
</ThreadedComments>
</file>

<file path=xl/threadedComments/threadedComment15.xml><?xml version="1.0" encoding="utf-8"?>
<ThreadedComments xmlns="http://schemas.microsoft.com/office/spreadsheetml/2018/threadedcomments" xmlns:x="http://schemas.openxmlformats.org/spreadsheetml/2006/main">
  <threadedComment ref="B2" dT="2026-02-05T07:13:11.26" personId="{042FE231-63B2-4AD7-894B-AD12BC5D3E63}" id="{8141E20E-AB15-40AC-9078-28E32EACB874}">
    <text xml:space="preserve">6 SANTRALLERDEN OLUŞUYOR HEPSİNİN KURULU GÜÇ KAPASİTESİ 1,148 MW
</text>
  </threadedComment>
  <threadedComment ref="B3" dT="2026-02-05T07:14:24.19" personId="{042FE231-63B2-4AD7-894B-AD12BC5D3E63}" id="{C1F77EC1-BAFC-4A4A-9DD3-D00895FA3FD3}">
    <text>6 SANTRALDEN OLUŞUP HER BİR SANTRALİN 0,598 MW KURULU GÜÇ KAPASİTESİNE SAHİP</text>
  </threadedComment>
  <threadedComment ref="B4" dT="2026-02-05T07:16:27.30" personId="{042FE231-63B2-4AD7-894B-AD12BC5D3E63}" id="{ED29DC9B-B941-4C8B-84AD-8A969B0D92F2}">
    <text>3 SANTRALDEN OLUŞUP HER BİR SANTRALİN 0,573 MW KURULU GÜÇ KAPASİTESİNE SAHİP</text>
  </threadedComment>
  <threadedComment ref="B5" dT="2026-02-05T07:21:02.02" personId="{042FE231-63B2-4AD7-894B-AD12BC5D3E63}" id="{C9B82217-0AC6-4EDC-B972-B02613F00561}">
    <text>4,0 MWm KURULUGÜÇ KAPASİTESİNE SAHİP.</text>
  </threadedComment>
</ThreadedComments>
</file>

<file path=xl/threadedComments/threadedComment16.xml><?xml version="1.0" encoding="utf-8"?>
<ThreadedComments xmlns="http://schemas.microsoft.com/office/spreadsheetml/2018/threadedcomments" xmlns:x="http://schemas.openxmlformats.org/spreadsheetml/2006/main">
  <threadedComment ref="B2" dT="2026-02-03T13:28:54.39" personId="{042FE231-63B2-4AD7-894B-AD12BC5D3E63}" id="{3595B7B2-09D1-4BE6-BDC3-6A541686D7AD}">
    <text>0,9867 MW’lık kısmında ticari elektrik satısına başladı</text>
  </threadedComment>
  <threadedComment ref="A6" dT="2026-03-30T06:59:24.93" personId="{042FE231-63B2-4AD7-894B-AD12BC5D3E63}" id="{C16DE71D-950C-4EA0-818A-79231BCA3E9C}">
    <text>29 ARALIK 2025’TE RESMİ OLARAK SANTRALİ RÖNESANS YES DEVRETTİ</text>
  </threadedComment>
  <threadedComment ref="A33" dT="2026-03-30T06:59:24.93" personId="{042FE231-63B2-4AD7-894B-AD12BC5D3E63}" id="{D859A757-7FB0-4646-AACD-7690463815BA}">
    <text>29 ARALIK 2025’TE RESMİ OLARAK SANTRALİ RÖNESANS YES DEVRETTİ</text>
  </threadedComment>
  <threadedComment ref="A57" dT="2026-03-30T06:59:24.93" personId="{042FE231-63B2-4AD7-894B-AD12BC5D3E63}" id="{0AD9385E-9AD0-4AB2-8B90-23C8EE0BA4CC}">
    <text>29 ARALIK 2025’TE RESMİ OLARAK SANTRALİ RÖNESANS YES DEVRETTİ</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vmlDrawing" Target="../drawings/vmlDrawing3.vml"/><Relationship Id="rId5" Type="http://schemas.openxmlformats.org/officeDocument/2006/relationships/comments" Target="../comments3.xml"/><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vmlDrawing" Target="../drawings/vmlDrawing4.vml"/><Relationship Id="rId6" Type="http://schemas.microsoft.com/office/2017/10/relationships/threadedComment" Target="../threadedComments/threadedComment3.xml"/><Relationship Id="rId5" Type="http://schemas.openxmlformats.org/officeDocument/2006/relationships/comments" Target="../comments4.xml"/><Relationship Id="rId4"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7" Type="http://schemas.microsoft.com/office/2017/10/relationships/threadedComment" Target="../threadedComments/threadedComment4.xml"/><Relationship Id="rId2" Type="http://schemas.openxmlformats.org/officeDocument/2006/relationships/table" Target="../tables/table10.xml"/><Relationship Id="rId1" Type="http://schemas.openxmlformats.org/officeDocument/2006/relationships/vmlDrawing" Target="../drawings/vmlDrawing5.vml"/><Relationship Id="rId6" Type="http://schemas.openxmlformats.org/officeDocument/2006/relationships/comments" Target="../comments5.xml"/><Relationship Id="rId5" Type="http://schemas.openxmlformats.org/officeDocument/2006/relationships/table" Target="../tables/table13.xml"/><Relationship Id="rId4"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vmlDrawing" Target="../drawings/vmlDrawing6.vml"/><Relationship Id="rId5" Type="http://schemas.openxmlformats.org/officeDocument/2006/relationships/comments" Target="../comments6.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vmlDrawing" Target="../drawings/vmlDrawing7.vml"/><Relationship Id="rId6" Type="http://schemas.microsoft.com/office/2017/10/relationships/threadedComment" Target="../threadedComments/threadedComment5.xml"/><Relationship Id="rId5" Type="http://schemas.openxmlformats.org/officeDocument/2006/relationships/comments" Target="../comments7.xml"/><Relationship Id="rId4" Type="http://schemas.openxmlformats.org/officeDocument/2006/relationships/table" Target="../tables/table2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vmlDrawing" Target="../drawings/vmlDrawing8.vml"/><Relationship Id="rId6" Type="http://schemas.microsoft.com/office/2017/10/relationships/threadedComment" Target="../threadedComments/threadedComment6.xml"/><Relationship Id="rId5" Type="http://schemas.openxmlformats.org/officeDocument/2006/relationships/comments" Target="../comments8.xml"/><Relationship Id="rId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vmlDrawing" Target="../drawings/vmlDrawing9.vml"/><Relationship Id="rId6" Type="http://schemas.microsoft.com/office/2017/10/relationships/threadedComment" Target="../threadedComments/threadedComment7.xml"/><Relationship Id="rId5" Type="http://schemas.openxmlformats.org/officeDocument/2006/relationships/comments" Target="../comments9.xml"/><Relationship Id="rId4" Type="http://schemas.openxmlformats.org/officeDocument/2006/relationships/table" Target="../tables/table31.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table" Target="../tables/table3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vmlDrawing" Target="../drawings/vmlDrawing10.vml"/><Relationship Id="rId6" Type="http://schemas.microsoft.com/office/2017/10/relationships/threadedComment" Target="../threadedComments/threadedComment8.xml"/><Relationship Id="rId5" Type="http://schemas.openxmlformats.org/officeDocument/2006/relationships/comments" Target="../comments10.xml"/><Relationship Id="rId4" Type="http://schemas.openxmlformats.org/officeDocument/2006/relationships/table" Target="../tables/table37.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vmlDrawing" Target="../drawings/vmlDrawing11.vml"/><Relationship Id="rId6" Type="http://schemas.microsoft.com/office/2017/10/relationships/threadedComment" Target="../threadedComments/threadedComment9.xml"/><Relationship Id="rId5" Type="http://schemas.openxmlformats.org/officeDocument/2006/relationships/comments" Target="../comments11.xml"/><Relationship Id="rId4" Type="http://schemas.openxmlformats.org/officeDocument/2006/relationships/table" Target="../tables/table40.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vmlDrawing" Target="../drawings/vmlDrawing12.vml"/><Relationship Id="rId6" Type="http://schemas.microsoft.com/office/2017/10/relationships/threadedComment" Target="../threadedComments/threadedComment10.xml"/><Relationship Id="rId5" Type="http://schemas.openxmlformats.org/officeDocument/2006/relationships/comments" Target="../comments12.xml"/><Relationship Id="rId4" Type="http://schemas.openxmlformats.org/officeDocument/2006/relationships/table" Target="../tables/table4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vmlDrawing" Target="../drawings/vmlDrawing13.vml"/><Relationship Id="rId5" Type="http://schemas.openxmlformats.org/officeDocument/2006/relationships/comments" Target="../comments13.xml"/><Relationship Id="rId4" Type="http://schemas.openxmlformats.org/officeDocument/2006/relationships/table" Target="../tables/table46.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7.xml"/><Relationship Id="rId7" Type="http://schemas.microsoft.com/office/2017/10/relationships/threadedComment" Target="../threadedComments/threadedComment11.xml"/><Relationship Id="rId2" Type="http://schemas.openxmlformats.org/officeDocument/2006/relationships/vmlDrawing" Target="../drawings/vmlDrawing14.vml"/><Relationship Id="rId1" Type="http://schemas.openxmlformats.org/officeDocument/2006/relationships/printerSettings" Target="../printerSettings/printerSettings3.bin"/><Relationship Id="rId6" Type="http://schemas.openxmlformats.org/officeDocument/2006/relationships/comments" Target="../comments14.xml"/><Relationship Id="rId5" Type="http://schemas.openxmlformats.org/officeDocument/2006/relationships/table" Target="../tables/table49.xml"/><Relationship Id="rId4" Type="http://schemas.openxmlformats.org/officeDocument/2006/relationships/table" Target="../tables/table48.xm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6.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table" Target="../tables/table51.xml"/><Relationship Id="rId1" Type="http://schemas.openxmlformats.org/officeDocument/2006/relationships/table" Target="../tables/table50.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4.bin"/><Relationship Id="rId4" Type="http://schemas.microsoft.com/office/2017/10/relationships/threadedComment" Target="../threadedComments/threadedComment13.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table" Target="../tables/table53.xml"/><Relationship Id="rId1" Type="http://schemas.openxmlformats.org/officeDocument/2006/relationships/vmlDrawing" Target="../drawings/vmlDrawing17.vml"/><Relationship Id="rId6" Type="http://schemas.microsoft.com/office/2017/10/relationships/threadedComment" Target="../threadedComments/threadedComment14.xml"/><Relationship Id="rId5" Type="http://schemas.openxmlformats.org/officeDocument/2006/relationships/comments" Target="../comments17.xml"/><Relationship Id="rId4" Type="http://schemas.openxmlformats.org/officeDocument/2006/relationships/table" Target="../tables/table55.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7.xml"/><Relationship Id="rId2" Type="http://schemas.openxmlformats.org/officeDocument/2006/relationships/table" Target="../tables/table56.xml"/><Relationship Id="rId1" Type="http://schemas.openxmlformats.org/officeDocument/2006/relationships/vmlDrawing" Target="../drawings/vmlDrawing18.vml"/><Relationship Id="rId6" Type="http://schemas.microsoft.com/office/2017/10/relationships/threadedComment" Target="../threadedComments/threadedComment15.xml"/><Relationship Id="rId5" Type="http://schemas.openxmlformats.org/officeDocument/2006/relationships/comments" Target="../comments18.xml"/><Relationship Id="rId4" Type="http://schemas.openxmlformats.org/officeDocument/2006/relationships/table" Target="../tables/table58.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60.xml"/><Relationship Id="rId2" Type="http://schemas.openxmlformats.org/officeDocument/2006/relationships/table" Target="../tables/table59.xml"/><Relationship Id="rId1" Type="http://schemas.openxmlformats.org/officeDocument/2006/relationships/vmlDrawing" Target="../drawings/vmlDrawing19.vml"/><Relationship Id="rId6" Type="http://schemas.microsoft.com/office/2017/10/relationships/threadedComment" Target="../threadedComments/threadedComment16.xml"/><Relationship Id="rId5" Type="http://schemas.openxmlformats.org/officeDocument/2006/relationships/comments" Target="../comments19.xml"/><Relationship Id="rId4" Type="http://schemas.openxmlformats.org/officeDocument/2006/relationships/table" Target="../tables/table6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81"/>
  <sheetViews>
    <sheetView topLeftCell="A2" zoomScaleNormal="100" workbookViewId="0">
      <selection activeCell="C8" sqref="C8"/>
    </sheetView>
  </sheetViews>
  <sheetFormatPr defaultRowHeight="15" x14ac:dyDescent="0.25"/>
  <cols>
    <col min="1" max="1" width="11.140625" bestFit="1" customWidth="1"/>
    <col min="2" max="2" width="35.28515625" customWidth="1"/>
    <col min="3" max="3" width="19.140625" customWidth="1"/>
    <col min="4" max="4" width="10.140625" bestFit="1" customWidth="1"/>
    <col min="5" max="5" width="11.85546875" bestFit="1" customWidth="1"/>
    <col min="6" max="6" width="16.28515625" customWidth="1"/>
    <col min="7" max="7" width="35.7109375" customWidth="1"/>
    <col min="8" max="8" width="24.5703125" customWidth="1"/>
    <col min="9" max="9" width="16.42578125" customWidth="1"/>
    <col min="10" max="10" width="19" customWidth="1"/>
    <col min="11" max="11" width="13" customWidth="1"/>
    <col min="12" max="12" width="28.85546875" customWidth="1"/>
    <col min="13" max="14" width="7" customWidth="1"/>
    <col min="15" max="15" width="8" customWidth="1"/>
    <col min="16" max="17" width="7" customWidth="1"/>
    <col min="18" max="18" width="11.140625" customWidth="1"/>
    <col min="19" max="19" width="16.28515625" customWidth="1"/>
    <col min="20" max="20" width="20.140625" customWidth="1"/>
    <col min="21" max="21" width="59.85546875" customWidth="1"/>
    <col min="22" max="22" width="8.85546875" customWidth="1"/>
    <col min="23" max="23" width="6.42578125" customWidth="1"/>
    <col min="24" max="24" width="6.5703125" customWidth="1"/>
    <col min="25" max="25" width="8.7109375" customWidth="1"/>
    <col min="26" max="26" width="6" customWidth="1"/>
    <col min="27" max="27" width="11.140625" customWidth="1"/>
    <col min="28" max="28" width="16.28515625" customWidth="1"/>
    <col min="29" max="29" width="26.28515625" customWidth="1"/>
    <col min="30" max="30" width="52.7109375" customWidth="1"/>
    <col min="31" max="31" width="37.140625" customWidth="1"/>
    <col min="32" max="32" width="39" customWidth="1"/>
    <col min="33" max="33" width="27.42578125" customWidth="1"/>
    <col min="34" max="34" width="30.5703125" customWidth="1"/>
    <col min="35" max="35" width="27" bestFit="1" customWidth="1"/>
  </cols>
  <sheetData>
    <row r="1" spans="1:36" ht="45" x14ac:dyDescent="0.25">
      <c r="A1" s="11" t="s">
        <v>25</v>
      </c>
      <c r="B1" s="11" t="s">
        <v>26</v>
      </c>
      <c r="C1" s="12" t="s">
        <v>631</v>
      </c>
      <c r="D1" s="12" t="s">
        <v>630</v>
      </c>
      <c r="E1" s="12" t="s">
        <v>629</v>
      </c>
      <c r="F1" s="13" t="s">
        <v>501</v>
      </c>
      <c r="G1" s="12" t="s">
        <v>632</v>
      </c>
      <c r="H1" s="13" t="s">
        <v>600</v>
      </c>
      <c r="I1" s="12" t="s">
        <v>633</v>
      </c>
      <c r="J1" s="12" t="s">
        <v>634</v>
      </c>
      <c r="K1" s="12" t="s">
        <v>637</v>
      </c>
      <c r="L1" s="12" t="s">
        <v>638</v>
      </c>
      <c r="M1" s="5" t="s">
        <v>27</v>
      </c>
      <c r="N1" s="5" t="s">
        <v>28</v>
      </c>
      <c r="O1" s="5" t="s">
        <v>29</v>
      </c>
      <c r="P1" s="5" t="s">
        <v>30</v>
      </c>
      <c r="Q1" s="5" t="s">
        <v>31</v>
      </c>
      <c r="R1" s="5" t="s">
        <v>32</v>
      </c>
      <c r="S1" s="5" t="s">
        <v>33</v>
      </c>
      <c r="T1" s="5" t="s">
        <v>34</v>
      </c>
      <c r="U1" s="5" t="s">
        <v>580</v>
      </c>
      <c r="V1" s="5" t="s">
        <v>27</v>
      </c>
      <c r="W1" s="5" t="s">
        <v>28</v>
      </c>
      <c r="X1" s="5" t="s">
        <v>29</v>
      </c>
      <c r="Y1" s="5" t="s">
        <v>30</v>
      </c>
      <c r="Z1" s="5" t="s">
        <v>31</v>
      </c>
      <c r="AA1" s="5" t="s">
        <v>32</v>
      </c>
      <c r="AB1" s="14" t="s">
        <v>33</v>
      </c>
      <c r="AC1" s="5" t="s">
        <v>639</v>
      </c>
      <c r="AD1" s="5" t="s">
        <v>640</v>
      </c>
      <c r="AE1" s="5" t="s">
        <v>644</v>
      </c>
      <c r="AF1" s="5" t="s">
        <v>641</v>
      </c>
      <c r="AG1" s="5" t="s">
        <v>674</v>
      </c>
      <c r="AH1" s="5" t="s">
        <v>688</v>
      </c>
      <c r="AI1" s="249"/>
      <c r="AJ1" s="249"/>
    </row>
    <row r="2" spans="1:36" x14ac:dyDescent="0.25">
      <c r="A2" s="307" t="s">
        <v>601</v>
      </c>
      <c r="B2" s="15" t="s">
        <v>0</v>
      </c>
      <c r="C2" s="315" t="e">
        <f ca="1">_xll.RasDaily(A2,TODAY(),"mcap",,,1000000)</f>
        <v>#NAME?</v>
      </c>
      <c r="D2" s="316">
        <f>-_xll.RasRatio(A2,,$B$31,"Net Nakit",,,,,"C",,1000000)</f>
        <v>298.89368199999996</v>
      </c>
      <c r="E2" s="315" t="e">
        <f ca="1">C2+D2</f>
        <v>#NAME?</v>
      </c>
      <c r="F2" s="317">
        <v>53.4</v>
      </c>
      <c r="G2" s="317" t="e">
        <f t="shared" ref="G2:G29" ca="1" si="0">E2/F2</f>
        <v>#NAME?</v>
      </c>
      <c r="H2" s="317" t="e">
        <f t="shared" ref="H2:H29" ca="1" si="1">E2/(F2*$B$35)</f>
        <v>#NAME?</v>
      </c>
      <c r="I2" s="317">
        <f>SUM(B38:E38)</f>
        <v>300.06796800000001</v>
      </c>
      <c r="J2" s="319" t="e">
        <f ca="1">E2/I2</f>
        <v>#NAME?</v>
      </c>
      <c r="K2" s="317" t="e">
        <f ca="1">I2/$B$35</f>
        <v>#NAME?</v>
      </c>
      <c r="L2" s="16" t="e">
        <f t="shared" ref="L2:L29" ca="1" si="2">K2/F2</f>
        <v>#NAME?</v>
      </c>
      <c r="M2" s="5">
        <v>53.4</v>
      </c>
      <c r="N2" s="5"/>
      <c r="O2" s="5"/>
      <c r="P2" s="5"/>
      <c r="Q2" s="5"/>
      <c r="R2" s="5"/>
      <c r="S2" s="5"/>
      <c r="T2" s="5">
        <f>SUM(M2:S2)</f>
        <v>53.4</v>
      </c>
      <c r="U2" s="5" t="s">
        <v>543</v>
      </c>
      <c r="V2" s="6">
        <f t="shared" ref="V2:V29" si="3">M2/T2</f>
        <v>1</v>
      </c>
      <c r="W2" s="6">
        <f t="shared" ref="W2:W29" si="4">N2/T2</f>
        <v>0</v>
      </c>
      <c r="X2" s="6">
        <f t="shared" ref="X2:X29" si="5">O2/T2</f>
        <v>0</v>
      </c>
      <c r="Y2" s="6">
        <f t="shared" ref="Y2:Y29" si="6">P2/T2</f>
        <v>0</v>
      </c>
      <c r="Z2" s="6">
        <f t="shared" ref="Z2:Z29" si="7">Q2/T2</f>
        <v>0</v>
      </c>
      <c r="AA2" s="6">
        <f t="shared" ref="AA2:AA29" si="8">R2/T2</f>
        <v>0</v>
      </c>
      <c r="AB2" s="7">
        <f t="shared" ref="AB2:AB29" si="9">S2/T2</f>
        <v>0</v>
      </c>
      <c r="AC2" s="6" t="s">
        <v>543</v>
      </c>
      <c r="AD2" s="6" t="s">
        <v>543</v>
      </c>
      <c r="AE2" s="5" t="s">
        <v>543</v>
      </c>
      <c r="AF2" s="5" t="s">
        <v>670</v>
      </c>
      <c r="AG2" s="11">
        <v>7.76</v>
      </c>
      <c r="AH2" s="17">
        <f>AG2/T2</f>
        <v>0.1453183520599251</v>
      </c>
    </row>
    <row r="3" spans="1:36" x14ac:dyDescent="0.25">
      <c r="A3" s="307" t="s">
        <v>602</v>
      </c>
      <c r="B3" s="15" t="s">
        <v>1</v>
      </c>
      <c r="C3" s="315" t="e">
        <f ca="1">_xll.RasDaily(A3,TODAY(),"mcap",,,1000000)</f>
        <v>#NAME?</v>
      </c>
      <c r="D3" s="316">
        <f>-_xll.RasRatio(A3,,$B$31,"Net Nakit",,,,,"C",,1000000)</f>
        <v>23382.216999999997</v>
      </c>
      <c r="E3" s="315" t="e">
        <f t="shared" ref="E3:E29" ca="1" si="10">C3+D3</f>
        <v>#NAME?</v>
      </c>
      <c r="F3" s="317">
        <v>1224</v>
      </c>
      <c r="G3" s="317" t="e">
        <f ca="1">E3/F3</f>
        <v>#NAME?</v>
      </c>
      <c r="H3" s="317" t="e">
        <f t="shared" ca="1" si="1"/>
        <v>#NAME?</v>
      </c>
      <c r="I3" s="317">
        <f t="shared" ref="I3:I6" si="11">SUM(B39:E39)</f>
        <v>879.88132120234513</v>
      </c>
      <c r="J3" s="319" t="e">
        <f t="shared" ref="J3:J29" ca="1" si="12">E3/I3</f>
        <v>#NAME?</v>
      </c>
      <c r="K3" s="317" t="e">
        <f ca="1">I3/$B$35</f>
        <v>#NAME?</v>
      </c>
      <c r="L3" s="16" t="e">
        <f t="shared" ca="1" si="2"/>
        <v>#NAME?</v>
      </c>
      <c r="M3" s="5"/>
      <c r="N3" s="5">
        <v>28</v>
      </c>
      <c r="O3" s="5">
        <v>292</v>
      </c>
      <c r="P3" s="5"/>
      <c r="Q3" s="5"/>
      <c r="R3" s="5">
        <v>904</v>
      </c>
      <c r="S3" s="5"/>
      <c r="T3" s="5">
        <f>SUM(M3:S3)</f>
        <v>1224</v>
      </c>
      <c r="U3" s="8" t="s">
        <v>581</v>
      </c>
      <c r="V3" s="6">
        <f t="shared" si="3"/>
        <v>0</v>
      </c>
      <c r="W3" s="6">
        <f t="shared" si="4"/>
        <v>2.2875816993464051E-2</v>
      </c>
      <c r="X3" s="6">
        <f t="shared" si="5"/>
        <v>0.23856209150326799</v>
      </c>
      <c r="Y3" s="6">
        <f t="shared" si="6"/>
        <v>0</v>
      </c>
      <c r="Z3" s="6">
        <f t="shared" si="7"/>
        <v>0</v>
      </c>
      <c r="AA3" s="6">
        <f t="shared" si="8"/>
        <v>0.73856209150326801</v>
      </c>
      <c r="AB3" s="7">
        <f t="shared" si="9"/>
        <v>0</v>
      </c>
      <c r="AC3" s="6" t="s">
        <v>642</v>
      </c>
      <c r="AD3" s="6" t="s">
        <v>643</v>
      </c>
      <c r="AE3" s="5" t="s">
        <v>543</v>
      </c>
      <c r="AF3" s="5" t="s">
        <v>543</v>
      </c>
      <c r="AG3" s="11">
        <v>15.8</v>
      </c>
      <c r="AH3" s="17">
        <f t="shared" ref="AH3:AH29" si="13">AG3/T3</f>
        <v>1.2908496732026145E-2</v>
      </c>
    </row>
    <row r="4" spans="1:36" x14ac:dyDescent="0.25">
      <c r="A4" s="307" t="s">
        <v>603</v>
      </c>
      <c r="B4" s="15" t="s">
        <v>2</v>
      </c>
      <c r="C4" s="315" t="e">
        <f ca="1">_xll.RasDaily(A4,TODAY(),"mcap",,,1000000)</f>
        <v>#NAME?</v>
      </c>
      <c r="D4" s="316">
        <f>-_xll.RasRatio(A4,,$B$31,"Net Nakit",,,,,"C",,1000000)</f>
        <v>11366.832</v>
      </c>
      <c r="E4" s="315" t="e">
        <f t="shared" ca="1" si="10"/>
        <v>#NAME?</v>
      </c>
      <c r="F4" s="317">
        <v>886.54</v>
      </c>
      <c r="G4" s="317" t="e">
        <f t="shared" ca="1" si="0"/>
        <v>#NAME?</v>
      </c>
      <c r="H4" s="317" t="e">
        <f t="shared" ca="1" si="1"/>
        <v>#NAME?</v>
      </c>
      <c r="I4" s="317">
        <f t="shared" si="11"/>
        <v>3206.0644055332723</v>
      </c>
      <c r="J4" s="319" t="e">
        <f t="shared" ca="1" si="12"/>
        <v>#NAME?</v>
      </c>
      <c r="K4" s="317" t="e">
        <f ca="1">I4/$B$35</f>
        <v>#NAME?</v>
      </c>
      <c r="L4" s="16" t="e">
        <f t="shared" ca="1" si="2"/>
        <v>#NAME?</v>
      </c>
      <c r="M4" s="18">
        <v>121.4</v>
      </c>
      <c r="N4" s="18">
        <v>536.4</v>
      </c>
      <c r="O4" s="18">
        <v>228.75</v>
      </c>
      <c r="P4" s="5"/>
      <c r="Q4" s="5"/>
      <c r="R4" s="5"/>
      <c r="S4" s="5"/>
      <c r="T4" s="5">
        <f>O4+N4+M4</f>
        <v>886.55</v>
      </c>
      <c r="U4" s="9" t="s">
        <v>582</v>
      </c>
      <c r="V4" s="6">
        <f t="shared" si="3"/>
        <v>0.13693531103716655</v>
      </c>
      <c r="W4" s="6">
        <f t="shared" si="4"/>
        <v>0.60504201680672265</v>
      </c>
      <c r="X4" s="6">
        <f t="shared" si="5"/>
        <v>0.2580226721561108</v>
      </c>
      <c r="Y4" s="6">
        <f t="shared" si="6"/>
        <v>0</v>
      </c>
      <c r="Z4" s="6">
        <f t="shared" si="7"/>
        <v>0</v>
      </c>
      <c r="AA4" s="6">
        <f t="shared" si="8"/>
        <v>0</v>
      </c>
      <c r="AB4" s="7">
        <f t="shared" si="9"/>
        <v>0</v>
      </c>
      <c r="AC4" s="5" t="s">
        <v>543</v>
      </c>
      <c r="AD4" s="6" t="s">
        <v>543</v>
      </c>
      <c r="AE4" s="6" t="s">
        <v>645</v>
      </c>
      <c r="AF4" s="10" t="s">
        <v>543</v>
      </c>
      <c r="AG4" s="11">
        <v>310</v>
      </c>
      <c r="AH4" s="17">
        <f t="shared" si="13"/>
        <v>0.34967006937002992</v>
      </c>
    </row>
    <row r="5" spans="1:36" x14ac:dyDescent="0.25">
      <c r="A5" s="15" t="s">
        <v>604</v>
      </c>
      <c r="B5" s="15" t="s">
        <v>3</v>
      </c>
      <c r="C5" s="315" t="e">
        <f ca="1">_xll.RasDaily(A5,TODAY(),"mcap",,,1000000)</f>
        <v>#NAME?</v>
      </c>
      <c r="D5" s="316">
        <f>-_xll.RasRatio(A5,,$B$31,"Net Nakit",,,,,"C",,1000000)</f>
        <v>52919.523566000003</v>
      </c>
      <c r="E5" s="315" t="e">
        <f t="shared" ca="1" si="10"/>
        <v>#NAME?</v>
      </c>
      <c r="F5" s="317">
        <v>3188</v>
      </c>
      <c r="G5" s="317" t="e">
        <f t="shared" ca="1" si="0"/>
        <v>#NAME?</v>
      </c>
      <c r="H5" s="317" t="e">
        <f t="shared" ca="1" si="1"/>
        <v>#NAME?</v>
      </c>
      <c r="I5" s="317">
        <f t="shared" si="11"/>
        <v>11884.674238118359</v>
      </c>
      <c r="J5" s="319" t="e">
        <f t="shared" ca="1" si="12"/>
        <v>#NAME?</v>
      </c>
      <c r="K5" s="317" t="e">
        <f t="shared" ref="K5:K27" ca="1" si="14">I5/$B$35</f>
        <v>#NAME?</v>
      </c>
      <c r="L5" s="16" t="e">
        <f ca="1">K5/F5</f>
        <v>#NAME?</v>
      </c>
      <c r="M5" s="5"/>
      <c r="N5" s="5"/>
      <c r="O5" s="5"/>
      <c r="P5" s="5"/>
      <c r="Q5" s="5"/>
      <c r="R5" s="5">
        <v>2170</v>
      </c>
      <c r="S5" s="5">
        <f>618+270</f>
        <v>888</v>
      </c>
      <c r="T5" s="5">
        <f t="shared" ref="T5:T13" si="15">SUM(M5:S5)</f>
        <v>3058</v>
      </c>
      <c r="U5" s="9" t="s">
        <v>583</v>
      </c>
      <c r="V5" s="6">
        <f t="shared" si="3"/>
        <v>0</v>
      </c>
      <c r="W5" s="6">
        <f t="shared" si="4"/>
        <v>0</v>
      </c>
      <c r="X5" s="6">
        <f t="shared" si="5"/>
        <v>0</v>
      </c>
      <c r="Y5" s="6">
        <f t="shared" si="6"/>
        <v>0</v>
      </c>
      <c r="Z5" s="6">
        <f t="shared" si="7"/>
        <v>0</v>
      </c>
      <c r="AA5" s="6">
        <f t="shared" si="8"/>
        <v>0.70961412688031389</v>
      </c>
      <c r="AB5" s="7">
        <f t="shared" si="9"/>
        <v>0.29038587311968606</v>
      </c>
      <c r="AC5" s="6" t="s">
        <v>543</v>
      </c>
      <c r="AD5" s="6" t="s">
        <v>646</v>
      </c>
      <c r="AE5" s="6" t="s">
        <v>647</v>
      </c>
      <c r="AF5" s="5" t="s">
        <v>664</v>
      </c>
      <c r="AG5" s="11">
        <v>564.5</v>
      </c>
      <c r="AH5" s="17">
        <f t="shared" si="13"/>
        <v>0.18459777632439503</v>
      </c>
    </row>
    <row r="6" spans="1:36" x14ac:dyDescent="0.25">
      <c r="A6" s="15" t="s">
        <v>605</v>
      </c>
      <c r="B6" s="15" t="s">
        <v>4</v>
      </c>
      <c r="C6" s="315" t="e">
        <f ca="1">_xll.RasDaily(A6,TODAY(),"mcap",,,1000000)</f>
        <v>#NAME?</v>
      </c>
      <c r="D6" s="316">
        <f>-_xll.RasRatio(A6,,$B$31,"Net Nakit",,,,,"C",,1000000)</f>
        <v>0.27584599999999959</v>
      </c>
      <c r="E6" s="315" t="e">
        <f ca="1">C6+D6</f>
        <v>#NAME?</v>
      </c>
      <c r="F6" s="317">
        <v>20.11</v>
      </c>
      <c r="G6" s="317" t="e">
        <f t="shared" ca="1" si="0"/>
        <v>#NAME?</v>
      </c>
      <c r="H6" s="317" t="e">
        <f t="shared" ca="1" si="1"/>
        <v>#NAME?</v>
      </c>
      <c r="I6" s="317">
        <f t="shared" si="11"/>
        <v>19.118153034449634</v>
      </c>
      <c r="J6" s="319" t="e">
        <f t="shared" ca="1" si="12"/>
        <v>#NAME?</v>
      </c>
      <c r="K6" s="317" t="e">
        <f t="shared" ca="1" si="14"/>
        <v>#NAME?</v>
      </c>
      <c r="L6" s="16" t="e">
        <f t="shared" ca="1" si="2"/>
        <v>#NAME?</v>
      </c>
      <c r="M6" s="5">
        <v>7.51</v>
      </c>
      <c r="N6" s="5"/>
      <c r="O6" s="5">
        <f>26.54+13.6</f>
        <v>40.14</v>
      </c>
      <c r="P6" s="5"/>
      <c r="Q6" s="5"/>
      <c r="R6" s="5"/>
      <c r="S6" s="5"/>
      <c r="T6" s="5">
        <f t="shared" si="15"/>
        <v>47.65</v>
      </c>
      <c r="U6" s="9" t="s">
        <v>584</v>
      </c>
      <c r="V6" s="6">
        <f t="shared" si="3"/>
        <v>0.15760755508919203</v>
      </c>
      <c r="W6" s="6">
        <f t="shared" si="4"/>
        <v>0</v>
      </c>
      <c r="X6" s="6">
        <f t="shared" si="5"/>
        <v>0.842392444910808</v>
      </c>
      <c r="Y6" s="6">
        <f t="shared" si="6"/>
        <v>0</v>
      </c>
      <c r="Z6" s="6">
        <f t="shared" si="7"/>
        <v>0</v>
      </c>
      <c r="AA6" s="6">
        <f t="shared" si="8"/>
        <v>0</v>
      </c>
      <c r="AB6" s="7">
        <f t="shared" si="9"/>
        <v>0</v>
      </c>
      <c r="AC6" s="6" t="s">
        <v>543</v>
      </c>
      <c r="AD6" s="6" t="s">
        <v>543</v>
      </c>
      <c r="AE6" s="6" t="s">
        <v>543</v>
      </c>
      <c r="AF6" s="10" t="s">
        <v>543</v>
      </c>
      <c r="AG6" s="11">
        <v>0</v>
      </c>
      <c r="AH6" s="17">
        <f t="shared" si="13"/>
        <v>0</v>
      </c>
    </row>
    <row r="7" spans="1:36" hidden="1" x14ac:dyDescent="0.25">
      <c r="A7" s="15" t="s">
        <v>606</v>
      </c>
      <c r="B7" s="15" t="s">
        <v>5</v>
      </c>
      <c r="C7" s="315" t="e">
        <f ca="1">_xll.RasDaily(A7,TODAY(),"mcap",,,1000000)</f>
        <v>#NAME?</v>
      </c>
      <c r="D7" s="316">
        <f>-_xll.RasRatio(A7,,$B$31,"Net Nakit",,,,,"C",,1000000)</f>
        <v>2051.0801250000004</v>
      </c>
      <c r="E7" s="315" t="e">
        <f t="shared" ca="1" si="10"/>
        <v>#NAME?</v>
      </c>
      <c r="F7" s="317">
        <v>39.880000000000003</v>
      </c>
      <c r="G7" s="317" t="e">
        <f t="shared" ca="1" si="0"/>
        <v>#NAME?</v>
      </c>
      <c r="H7" s="317" t="e">
        <f t="shared" ca="1" si="1"/>
        <v>#NAME?</v>
      </c>
      <c r="I7" s="317" t="e">
        <f>SUM(#REF!)</f>
        <v>#REF!</v>
      </c>
      <c r="J7" s="319" t="e">
        <f t="shared" ca="1" si="12"/>
        <v>#NAME?</v>
      </c>
      <c r="K7" s="317" t="e">
        <f t="shared" ca="1" si="14"/>
        <v>#REF!</v>
      </c>
      <c r="L7" s="16" t="e">
        <f t="shared" ca="1" si="2"/>
        <v>#REF!</v>
      </c>
      <c r="M7" s="5">
        <f>39.88</f>
        <v>39.880000000000003</v>
      </c>
      <c r="N7" s="5"/>
      <c r="O7" s="5"/>
      <c r="P7" s="5"/>
      <c r="Q7" s="5"/>
      <c r="R7" s="5"/>
      <c r="S7" s="5"/>
      <c r="T7" s="5">
        <f t="shared" si="15"/>
        <v>39.880000000000003</v>
      </c>
      <c r="U7" s="5"/>
      <c r="V7" s="6">
        <f t="shared" si="3"/>
        <v>1</v>
      </c>
      <c r="W7" s="6">
        <f t="shared" si="4"/>
        <v>0</v>
      </c>
      <c r="X7" s="6">
        <f t="shared" si="5"/>
        <v>0</v>
      </c>
      <c r="Y7" s="6">
        <f t="shared" si="6"/>
        <v>0</v>
      </c>
      <c r="Z7" s="6">
        <f t="shared" si="7"/>
        <v>0</v>
      </c>
      <c r="AA7" s="6">
        <f t="shared" si="8"/>
        <v>0</v>
      </c>
      <c r="AB7" s="7">
        <f t="shared" si="9"/>
        <v>0</v>
      </c>
      <c r="AC7" s="6" t="s">
        <v>543</v>
      </c>
      <c r="AD7" s="6" t="s">
        <v>648</v>
      </c>
      <c r="AE7" s="6"/>
      <c r="AF7" s="5" t="s">
        <v>663</v>
      </c>
      <c r="AG7" s="11">
        <v>19.39</v>
      </c>
      <c r="AH7" s="17">
        <f t="shared" si="13"/>
        <v>0.48620862587763286</v>
      </c>
    </row>
    <row r="8" spans="1:36" x14ac:dyDescent="0.25">
      <c r="A8" s="15" t="s">
        <v>607</v>
      </c>
      <c r="B8" s="15" t="s">
        <v>6</v>
      </c>
      <c r="C8" s="315" t="e">
        <f ca="1">_xll.RasDaily(A8,TODAY(),"mcap",,,1000000)</f>
        <v>#NAME?</v>
      </c>
      <c r="D8" s="316">
        <f>-_xll.RasRatio(A8,,$B$31,"Net Nakit",,,,,"C",,1000000)</f>
        <v>22053.575289</v>
      </c>
      <c r="E8" s="315" t="e">
        <f t="shared" ca="1" si="10"/>
        <v>#NAME?</v>
      </c>
      <c r="F8" s="317">
        <v>1197.6299999999999</v>
      </c>
      <c r="G8" s="317" t="e">
        <f t="shared" ca="1" si="0"/>
        <v>#NAME?</v>
      </c>
      <c r="H8" s="317" t="e">
        <f t="shared" ca="1" si="1"/>
        <v>#NAME?</v>
      </c>
      <c r="I8" s="317">
        <f t="shared" ref="I8:I14" si="16">SUM(B43:E43)</f>
        <v>4830.999072374877</v>
      </c>
      <c r="J8" s="319" t="e">
        <f t="shared" ca="1" si="12"/>
        <v>#NAME?</v>
      </c>
      <c r="K8" s="317" t="e">
        <f t="shared" ca="1" si="14"/>
        <v>#NAME?</v>
      </c>
      <c r="L8" s="16" t="e">
        <f t="shared" ca="1" si="2"/>
        <v>#NAME?</v>
      </c>
      <c r="M8" s="5"/>
      <c r="N8" s="5">
        <v>338.65</v>
      </c>
      <c r="O8" s="5">
        <v>852.13</v>
      </c>
      <c r="P8" s="5"/>
      <c r="Q8" s="5">
        <v>6.85</v>
      </c>
      <c r="R8" s="5"/>
      <c r="S8" s="5"/>
      <c r="T8" s="5">
        <f t="shared" si="15"/>
        <v>1197.6299999999999</v>
      </c>
      <c r="U8" s="9" t="s">
        <v>585</v>
      </c>
      <c r="V8" s="6">
        <f t="shared" si="3"/>
        <v>0</v>
      </c>
      <c r="W8" s="6">
        <f t="shared" si="4"/>
        <v>0.28276679775890717</v>
      </c>
      <c r="X8" s="6">
        <f t="shared" si="5"/>
        <v>0.71151357263929604</v>
      </c>
      <c r="Y8" s="6">
        <f t="shared" si="6"/>
        <v>0</v>
      </c>
      <c r="Z8" s="6">
        <f t="shared" si="7"/>
        <v>5.7196296017968827E-3</v>
      </c>
      <c r="AA8" s="6">
        <f t="shared" si="8"/>
        <v>0</v>
      </c>
      <c r="AB8" s="7">
        <f t="shared" si="9"/>
        <v>0</v>
      </c>
      <c r="AC8" s="6" t="s">
        <v>543</v>
      </c>
      <c r="AD8" s="6" t="s">
        <v>666</v>
      </c>
      <c r="AE8" s="6" t="s">
        <v>665</v>
      </c>
      <c r="AF8" s="10" t="s">
        <v>543</v>
      </c>
      <c r="AG8" s="11">
        <v>746</v>
      </c>
      <c r="AH8" s="17">
        <f t="shared" si="13"/>
        <v>0.62289688802050724</v>
      </c>
    </row>
    <row r="9" spans="1:36" x14ac:dyDescent="0.25">
      <c r="A9" s="15" t="s">
        <v>608</v>
      </c>
      <c r="B9" s="15" t="s">
        <v>7</v>
      </c>
      <c r="C9" s="315" t="e">
        <f ca="1">_xll.RasDaily(A9,TODAY(),"mcap",,,1000000)</f>
        <v>#NAME?</v>
      </c>
      <c r="D9" s="316">
        <f>-_xll.RasRatio(A9,,$B$31,"Net Nakit",,,,,"C",,1000000)</f>
        <v>6412.9939599999998</v>
      </c>
      <c r="E9" s="315" t="e">
        <f ca="1">C9+D9</f>
        <v>#NAME?</v>
      </c>
      <c r="F9" s="317">
        <v>312.42</v>
      </c>
      <c r="G9" s="317" t="e">
        <f t="shared" ca="1" si="0"/>
        <v>#NAME?</v>
      </c>
      <c r="H9" s="317" t="e">
        <f t="shared" ca="1" si="1"/>
        <v>#NAME?</v>
      </c>
      <c r="I9" s="317">
        <f t="shared" si="16"/>
        <v>2192.1869847744551</v>
      </c>
      <c r="J9" s="319" t="e">
        <f t="shared" ca="1" si="12"/>
        <v>#NAME?</v>
      </c>
      <c r="K9" s="317" t="e">
        <f t="shared" ca="1" si="14"/>
        <v>#NAME?</v>
      </c>
      <c r="L9" s="16" t="e">
        <f t="shared" ca="1" si="2"/>
        <v>#NAME?</v>
      </c>
      <c r="M9" s="5"/>
      <c r="N9" s="5">
        <v>133.85</v>
      </c>
      <c r="O9" s="5">
        <v>68.86</v>
      </c>
      <c r="P9" s="5"/>
      <c r="Q9" s="5"/>
      <c r="R9" s="5"/>
      <c r="S9" s="5"/>
      <c r="T9" s="5">
        <f t="shared" si="15"/>
        <v>202.70999999999998</v>
      </c>
      <c r="U9" s="9" t="s">
        <v>586</v>
      </c>
      <c r="V9" s="6">
        <f t="shared" si="3"/>
        <v>0</v>
      </c>
      <c r="W9" s="6">
        <f t="shared" si="4"/>
        <v>0.6603028957624193</v>
      </c>
      <c r="X9" s="6">
        <f t="shared" si="5"/>
        <v>0.33969710423758082</v>
      </c>
      <c r="Y9" s="6">
        <f t="shared" si="6"/>
        <v>0</v>
      </c>
      <c r="Z9" s="6">
        <f t="shared" si="7"/>
        <v>0</v>
      </c>
      <c r="AA9" s="6">
        <f t="shared" si="8"/>
        <v>0</v>
      </c>
      <c r="AB9" s="7">
        <f t="shared" si="9"/>
        <v>0</v>
      </c>
      <c r="AC9" s="6" t="s">
        <v>543</v>
      </c>
      <c r="AD9" s="6" t="s">
        <v>543</v>
      </c>
      <c r="AE9" s="6" t="s">
        <v>543</v>
      </c>
      <c r="AF9" s="5" t="s">
        <v>651</v>
      </c>
      <c r="AG9" s="11">
        <v>123</v>
      </c>
      <c r="AH9" s="17">
        <f t="shared" si="13"/>
        <v>0.60677815598638452</v>
      </c>
    </row>
    <row r="10" spans="1:36" x14ac:dyDescent="0.25">
      <c r="A10" s="15" t="s">
        <v>609</v>
      </c>
      <c r="B10" s="15" t="s">
        <v>8</v>
      </c>
      <c r="C10" s="315" t="e">
        <f ca="1">_xll.RasDaily(A10,TODAY(),"mcap",,,1000000)</f>
        <v>#NAME?</v>
      </c>
      <c r="D10" s="316">
        <f>-_xll.RasRatio(A10,,$B$31,"Net Nakit",,,,,"C",,1000000)</f>
        <v>3184.6633980000001</v>
      </c>
      <c r="E10" s="315" t="e">
        <f t="shared" ca="1" si="10"/>
        <v>#NAME?</v>
      </c>
      <c r="F10" s="317">
        <v>146.18</v>
      </c>
      <c r="G10" s="317" t="e">
        <f t="shared" ca="1" si="0"/>
        <v>#NAME?</v>
      </c>
      <c r="H10" s="317" t="e">
        <f t="shared" ca="1" si="1"/>
        <v>#NAME?</v>
      </c>
      <c r="I10" s="317">
        <f t="shared" si="16"/>
        <v>689.20385799999997</v>
      </c>
      <c r="J10" s="319" t="e">
        <f t="shared" ca="1" si="12"/>
        <v>#NAME?</v>
      </c>
      <c r="K10" s="317" t="e">
        <f t="shared" ca="1" si="14"/>
        <v>#NAME?</v>
      </c>
      <c r="L10" s="16" t="e">
        <f t="shared" ca="1" si="2"/>
        <v>#NAME?</v>
      </c>
      <c r="M10" s="5">
        <v>178.28</v>
      </c>
      <c r="N10" s="5"/>
      <c r="O10" s="5"/>
      <c r="P10" s="5"/>
      <c r="Q10" s="5"/>
      <c r="R10" s="5"/>
      <c r="S10" s="5"/>
      <c r="T10" s="5">
        <f t="shared" si="15"/>
        <v>178.28</v>
      </c>
      <c r="U10" s="9" t="s">
        <v>587</v>
      </c>
      <c r="V10" s="6">
        <f t="shared" si="3"/>
        <v>1</v>
      </c>
      <c r="W10" s="6">
        <f t="shared" si="4"/>
        <v>0</v>
      </c>
      <c r="X10" s="6">
        <f t="shared" si="5"/>
        <v>0</v>
      </c>
      <c r="Y10" s="6">
        <f t="shared" si="6"/>
        <v>0</v>
      </c>
      <c r="Z10" s="6">
        <f t="shared" si="7"/>
        <v>0</v>
      </c>
      <c r="AA10" s="6">
        <f t="shared" si="8"/>
        <v>0</v>
      </c>
      <c r="AB10" s="7">
        <f t="shared" si="9"/>
        <v>0</v>
      </c>
      <c r="AC10" s="6" t="s">
        <v>543</v>
      </c>
      <c r="AD10" s="6" t="s">
        <v>543</v>
      </c>
      <c r="AE10" s="6" t="s">
        <v>543</v>
      </c>
      <c r="AF10" s="10" t="s">
        <v>654</v>
      </c>
      <c r="AG10" s="11">
        <v>24</v>
      </c>
      <c r="AH10" s="17">
        <f t="shared" si="13"/>
        <v>0.13461969934933812</v>
      </c>
    </row>
    <row r="11" spans="1:36" x14ac:dyDescent="0.25">
      <c r="A11" s="15" t="s">
        <v>610</v>
      </c>
      <c r="B11" s="15" t="s">
        <v>9</v>
      </c>
      <c r="C11" s="315" t="e">
        <f ca="1">_xll.RasDaily(A11,TODAY(),"mcap",,,1000000)</f>
        <v>#NAME?</v>
      </c>
      <c r="D11" s="316">
        <f>-_xll.RasRatio(A11,,$B$31,"Net Nakit",,,,,"C",,1000000)</f>
        <v>5733.8571940000002</v>
      </c>
      <c r="E11" s="315" t="e">
        <f t="shared" ca="1" si="10"/>
        <v>#NAME?</v>
      </c>
      <c r="F11" s="317">
        <v>114.2</v>
      </c>
      <c r="G11" s="317" t="e">
        <f t="shared" ca="1" si="0"/>
        <v>#NAME?</v>
      </c>
      <c r="H11" s="317" t="e">
        <f t="shared" ca="1" si="1"/>
        <v>#NAME?</v>
      </c>
      <c r="I11" s="317">
        <f t="shared" si="16"/>
        <v>248.52688346880888</v>
      </c>
      <c r="J11" s="319" t="e">
        <f t="shared" ca="1" si="12"/>
        <v>#NAME?</v>
      </c>
      <c r="K11" s="317" t="e">
        <f t="shared" ca="1" si="14"/>
        <v>#NAME?</v>
      </c>
      <c r="L11" s="16" t="e">
        <f t="shared" ca="1" si="2"/>
        <v>#NAME?</v>
      </c>
      <c r="M11" s="5"/>
      <c r="N11" s="5"/>
      <c r="O11" s="5"/>
      <c r="P11" s="5">
        <v>116.94</v>
      </c>
      <c r="Q11" s="5"/>
      <c r="R11" s="5"/>
      <c r="S11" s="5"/>
      <c r="T11" s="5">
        <f t="shared" si="15"/>
        <v>116.94</v>
      </c>
      <c r="U11" s="9" t="s">
        <v>588</v>
      </c>
      <c r="V11" s="6">
        <f t="shared" si="3"/>
        <v>0</v>
      </c>
      <c r="W11" s="6">
        <f t="shared" si="4"/>
        <v>0</v>
      </c>
      <c r="X11" s="6">
        <f t="shared" si="5"/>
        <v>0</v>
      </c>
      <c r="Y11" s="6">
        <f t="shared" si="6"/>
        <v>1</v>
      </c>
      <c r="Z11" s="6">
        <f t="shared" si="7"/>
        <v>0</v>
      </c>
      <c r="AA11" s="6">
        <f t="shared" si="8"/>
        <v>0</v>
      </c>
      <c r="AB11" s="7">
        <f t="shared" si="9"/>
        <v>0</v>
      </c>
      <c r="AC11" s="6" t="s">
        <v>543</v>
      </c>
      <c r="AD11" s="6" t="s">
        <v>543</v>
      </c>
      <c r="AE11" s="6" t="s">
        <v>652</v>
      </c>
      <c r="AF11" s="5" t="s">
        <v>653</v>
      </c>
      <c r="AG11" s="11">
        <v>54</v>
      </c>
      <c r="AH11" s="17">
        <f t="shared" si="13"/>
        <v>0.46177526936890712</v>
      </c>
    </row>
    <row r="12" spans="1:36" x14ac:dyDescent="0.25">
      <c r="A12" s="15" t="s">
        <v>611</v>
      </c>
      <c r="B12" s="15" t="s">
        <v>112</v>
      </c>
      <c r="C12" s="315" t="e">
        <f ca="1">_xll.RasDaily(A12,TODAY(),"mcap",,,1000000)</f>
        <v>#NAME?</v>
      </c>
      <c r="D12" s="316">
        <f>-_xll.RasRatio(A12,,$B$31,"Net Nakit",,,,,"C",,1000000)</f>
        <v>-1468.7564699999998</v>
      </c>
      <c r="E12" s="315" t="e">
        <f t="shared" ca="1" si="10"/>
        <v>#NAME?</v>
      </c>
      <c r="F12" s="317">
        <v>330</v>
      </c>
      <c r="G12" s="317" t="e">
        <f t="shared" ca="1" si="0"/>
        <v>#NAME?</v>
      </c>
      <c r="H12" s="317" t="e">
        <f t="shared" ca="1" si="1"/>
        <v>#NAME?</v>
      </c>
      <c r="I12" s="317">
        <f t="shared" si="16"/>
        <v>2111.475167483798</v>
      </c>
      <c r="J12" s="319" t="e">
        <f t="shared" ca="1" si="12"/>
        <v>#NAME?</v>
      </c>
      <c r="K12" s="317" t="e">
        <f t="shared" ca="1" si="14"/>
        <v>#NAME?</v>
      </c>
      <c r="L12" s="16" t="e">
        <f t="shared" ca="1" si="2"/>
        <v>#NAME?</v>
      </c>
      <c r="M12" s="5"/>
      <c r="N12" s="5"/>
      <c r="O12" s="5"/>
      <c r="P12" s="5"/>
      <c r="Q12" s="5"/>
      <c r="R12" s="5"/>
      <c r="S12" s="5">
        <v>330</v>
      </c>
      <c r="T12" s="5">
        <f t="shared" si="15"/>
        <v>330</v>
      </c>
      <c r="U12" s="5" t="s">
        <v>589</v>
      </c>
      <c r="V12" s="6">
        <f t="shared" si="3"/>
        <v>0</v>
      </c>
      <c r="W12" s="6">
        <f t="shared" si="4"/>
        <v>0</v>
      </c>
      <c r="X12" s="6">
        <f t="shared" si="5"/>
        <v>0</v>
      </c>
      <c r="Y12" s="6">
        <f t="shared" si="6"/>
        <v>0</v>
      </c>
      <c r="Z12" s="6">
        <f t="shared" si="7"/>
        <v>0</v>
      </c>
      <c r="AA12" s="6">
        <f t="shared" si="8"/>
        <v>0</v>
      </c>
      <c r="AB12" s="7">
        <f t="shared" si="9"/>
        <v>1</v>
      </c>
      <c r="AC12" s="6" t="s">
        <v>543</v>
      </c>
      <c r="AD12" s="6" t="s">
        <v>543</v>
      </c>
      <c r="AE12" s="6" t="s">
        <v>543</v>
      </c>
      <c r="AF12" s="6" t="s">
        <v>543</v>
      </c>
      <c r="AG12" s="11">
        <v>0</v>
      </c>
      <c r="AH12" s="17">
        <f t="shared" si="13"/>
        <v>0</v>
      </c>
    </row>
    <row r="13" spans="1:36" x14ac:dyDescent="0.25">
      <c r="A13" s="15" t="s">
        <v>612</v>
      </c>
      <c r="B13" s="15" t="s">
        <v>114</v>
      </c>
      <c r="C13" s="315" t="e">
        <f ca="1">_xll.RasDaily(A13,TODAY(),"mcap",,,1000000)</f>
        <v>#NAME?</v>
      </c>
      <c r="D13" s="316">
        <f>-_xll.RasRatio(A13,,$B$31,"Net Nakit",,,,,"C",,1000000)</f>
        <v>-896.75339300000007</v>
      </c>
      <c r="E13" s="315" t="e">
        <f t="shared" ca="1" si="10"/>
        <v>#NAME?</v>
      </c>
      <c r="F13" s="317">
        <v>314.68</v>
      </c>
      <c r="G13" s="317" t="e">
        <f t="shared" ca="1" si="0"/>
        <v>#NAME?</v>
      </c>
      <c r="H13" s="317" t="e">
        <f t="shared" ca="1" si="1"/>
        <v>#NAME?</v>
      </c>
      <c r="I13" s="317">
        <f t="shared" si="16"/>
        <v>385.89506369721892</v>
      </c>
      <c r="J13" s="319" t="e">
        <f t="shared" ca="1" si="12"/>
        <v>#NAME?</v>
      </c>
      <c r="K13" s="317" t="e">
        <f t="shared" ca="1" si="14"/>
        <v>#NAME?</v>
      </c>
      <c r="L13" s="16" t="e">
        <f t="shared" ca="1" si="2"/>
        <v>#NAME?</v>
      </c>
      <c r="M13" s="5"/>
      <c r="N13" s="5"/>
      <c r="O13" s="5"/>
      <c r="P13" s="5"/>
      <c r="Q13" s="5"/>
      <c r="R13" s="5"/>
      <c r="S13" s="5">
        <v>314.68</v>
      </c>
      <c r="T13" s="5">
        <f t="shared" si="15"/>
        <v>314.68</v>
      </c>
      <c r="U13" s="5" t="s">
        <v>589</v>
      </c>
      <c r="V13" s="6">
        <f t="shared" si="3"/>
        <v>0</v>
      </c>
      <c r="W13" s="6">
        <f t="shared" si="4"/>
        <v>0</v>
      </c>
      <c r="X13" s="6">
        <f t="shared" si="5"/>
        <v>0</v>
      </c>
      <c r="Y13" s="6">
        <f t="shared" si="6"/>
        <v>0</v>
      </c>
      <c r="Z13" s="6">
        <f t="shared" si="7"/>
        <v>0</v>
      </c>
      <c r="AA13" s="6">
        <f t="shared" si="8"/>
        <v>0</v>
      </c>
      <c r="AB13" s="7">
        <f t="shared" si="9"/>
        <v>1</v>
      </c>
      <c r="AC13" s="10" t="s">
        <v>543</v>
      </c>
      <c r="AD13" s="6" t="s">
        <v>543</v>
      </c>
      <c r="AE13" s="6" t="s">
        <v>543</v>
      </c>
      <c r="AF13" s="10" t="s">
        <v>543</v>
      </c>
      <c r="AG13" s="11">
        <v>0</v>
      </c>
      <c r="AH13" s="17">
        <f t="shared" si="13"/>
        <v>0</v>
      </c>
    </row>
    <row r="14" spans="1:36" x14ac:dyDescent="0.25">
      <c r="A14" s="15" t="s">
        <v>613</v>
      </c>
      <c r="B14" s="15" t="s">
        <v>10</v>
      </c>
      <c r="C14" s="315" t="e">
        <f ca="1">_xll.RasDaily(A14,TODAY(),"mcap",,,1000000)</f>
        <v>#NAME?</v>
      </c>
      <c r="D14" s="316">
        <f>-_xll.RasRatio(A14,,$B$31,"Net Nakit",,,,,"C",,1000000)</f>
        <v>3913.3189050000005</v>
      </c>
      <c r="E14" s="315" t="e">
        <f t="shared" ca="1" si="10"/>
        <v>#NAME?</v>
      </c>
      <c r="F14" s="317">
        <v>110.5</v>
      </c>
      <c r="G14" s="317" t="e">
        <f t="shared" ca="1" si="0"/>
        <v>#NAME?</v>
      </c>
      <c r="H14" s="317" t="e">
        <f t="shared" ca="1" si="1"/>
        <v>#NAME?</v>
      </c>
      <c r="I14" s="317">
        <f t="shared" si="16"/>
        <v>350.08799573743613</v>
      </c>
      <c r="J14" s="319" t="e">
        <f t="shared" ca="1" si="12"/>
        <v>#NAME?</v>
      </c>
      <c r="K14" s="317" t="e">
        <f t="shared" ca="1" si="14"/>
        <v>#NAME?</v>
      </c>
      <c r="L14" s="16" t="e">
        <f t="shared" ca="1" si="2"/>
        <v>#NAME?</v>
      </c>
      <c r="M14" s="5">
        <v>10.8</v>
      </c>
      <c r="N14" s="5"/>
      <c r="O14" s="5"/>
      <c r="P14" s="5">
        <v>34.200000000000003</v>
      </c>
      <c r="Q14" s="5"/>
      <c r="R14" s="5"/>
      <c r="S14" s="5"/>
      <c r="T14" s="5">
        <v>107.4</v>
      </c>
      <c r="U14" s="8" t="s">
        <v>590</v>
      </c>
      <c r="V14" s="6">
        <f t="shared" si="3"/>
        <v>0.1005586592178771</v>
      </c>
      <c r="W14" s="6">
        <f t="shared" si="4"/>
        <v>0</v>
      </c>
      <c r="X14" s="6">
        <f t="shared" si="5"/>
        <v>0</v>
      </c>
      <c r="Y14" s="6">
        <f t="shared" si="6"/>
        <v>0.31843575418994413</v>
      </c>
      <c r="Z14" s="6">
        <f t="shared" si="7"/>
        <v>0</v>
      </c>
      <c r="AA14" s="6">
        <f t="shared" si="8"/>
        <v>0</v>
      </c>
      <c r="AB14" s="7">
        <f t="shared" si="9"/>
        <v>0</v>
      </c>
      <c r="AC14" s="10" t="s">
        <v>543</v>
      </c>
      <c r="AD14" s="6" t="s">
        <v>543</v>
      </c>
      <c r="AE14" s="6" t="s">
        <v>655</v>
      </c>
      <c r="AF14" s="10" t="s">
        <v>543</v>
      </c>
      <c r="AG14" s="11">
        <v>75</v>
      </c>
      <c r="AH14" s="17">
        <f t="shared" si="13"/>
        <v>0.6983240223463687</v>
      </c>
    </row>
    <row r="15" spans="1:36" hidden="1" x14ac:dyDescent="0.25">
      <c r="A15" s="15" t="s">
        <v>614</v>
      </c>
      <c r="B15" s="15" t="s">
        <v>11</v>
      </c>
      <c r="C15" s="315" t="e">
        <f ca="1">_xll.RasDaily(A15,TODAY(),"mcap",,,1000000)</f>
        <v>#NAME?</v>
      </c>
      <c r="D15" s="316">
        <f>-_xll.RasRatio(A15,,$B$31,"Net Nakit",,,,,"C",,1000000)</f>
        <v>8070.0855430000001</v>
      </c>
      <c r="E15" s="315" t="e">
        <f t="shared" ca="1" si="10"/>
        <v>#NAME?</v>
      </c>
      <c r="F15" s="317">
        <v>14.36</v>
      </c>
      <c r="G15" s="317" t="e">
        <f t="shared" ca="1" si="0"/>
        <v>#NAME?</v>
      </c>
      <c r="H15" s="317" t="e">
        <f t="shared" ca="1" si="1"/>
        <v>#NAME?</v>
      </c>
      <c r="I15" s="317" t="e">
        <f>SUM(#REF!)</f>
        <v>#REF!</v>
      </c>
      <c r="J15" s="319" t="e">
        <f t="shared" ca="1" si="12"/>
        <v>#NAME?</v>
      </c>
      <c r="K15" s="317" t="e">
        <f t="shared" ca="1" si="14"/>
        <v>#REF!</v>
      </c>
      <c r="L15" s="16" t="e">
        <f t="shared" ca="1" si="2"/>
        <v>#REF!</v>
      </c>
      <c r="M15" s="5">
        <v>14.36</v>
      </c>
      <c r="N15" s="5"/>
      <c r="O15" s="5"/>
      <c r="P15" s="5"/>
      <c r="Q15" s="5"/>
      <c r="R15" s="5"/>
      <c r="S15" s="5"/>
      <c r="T15" s="5">
        <f t="shared" ref="T15:T26" si="17">SUM(M15:S15)</f>
        <v>14.36</v>
      </c>
      <c r="U15" s="5"/>
      <c r="V15" s="6">
        <f t="shared" si="3"/>
        <v>1</v>
      </c>
      <c r="W15" s="6">
        <f t="shared" si="4"/>
        <v>0</v>
      </c>
      <c r="X15" s="6">
        <f t="shared" si="5"/>
        <v>0</v>
      </c>
      <c r="Y15" s="6">
        <f t="shared" si="6"/>
        <v>0</v>
      </c>
      <c r="Z15" s="6">
        <f t="shared" si="7"/>
        <v>0</v>
      </c>
      <c r="AA15" s="6">
        <f t="shared" si="8"/>
        <v>0</v>
      </c>
      <c r="AB15" s="7">
        <f t="shared" si="9"/>
        <v>0</v>
      </c>
      <c r="AC15" s="10" t="s">
        <v>543</v>
      </c>
      <c r="AD15" s="6" t="s">
        <v>543</v>
      </c>
      <c r="AE15" s="6" t="s">
        <v>543</v>
      </c>
      <c r="AF15" s="10" t="s">
        <v>543</v>
      </c>
      <c r="AG15" s="11">
        <v>0</v>
      </c>
      <c r="AH15" s="17">
        <f t="shared" si="13"/>
        <v>0</v>
      </c>
    </row>
    <row r="16" spans="1:36" x14ac:dyDescent="0.25">
      <c r="A16" s="15" t="s">
        <v>615</v>
      </c>
      <c r="B16" s="15" t="s">
        <v>12</v>
      </c>
      <c r="C16" s="315" t="e">
        <f ca="1">_xll.RasDaily(A16,TODAY(),"mcap",,,1000000)</f>
        <v>#NAME?</v>
      </c>
      <c r="D16" s="316">
        <f>-_xll.RasRatio(A16,,$B$31,"Net Nakit",,,,,"C",,1000000)</f>
        <v>8256.1981969999997</v>
      </c>
      <c r="E16" s="315" t="e">
        <f t="shared" ca="1" si="10"/>
        <v>#NAME?</v>
      </c>
      <c r="F16" s="317">
        <v>179.34</v>
      </c>
      <c r="G16" s="317" t="e">
        <f t="shared" ca="1" si="0"/>
        <v>#NAME?</v>
      </c>
      <c r="H16" s="317" t="e">
        <f t="shared" ca="1" si="1"/>
        <v>#NAME?</v>
      </c>
      <c r="I16" s="317">
        <f>SUM(B50:E50)</f>
        <v>1910.5223561007833</v>
      </c>
      <c r="J16" s="319" t="e">
        <f ca="1">E16/I16</f>
        <v>#NAME?</v>
      </c>
      <c r="K16" s="317" t="e">
        <f t="shared" ca="1" si="14"/>
        <v>#NAME?</v>
      </c>
      <c r="L16" s="16" t="e">
        <f t="shared" ca="1" si="2"/>
        <v>#NAME?</v>
      </c>
      <c r="M16" s="5">
        <v>156.94</v>
      </c>
      <c r="N16" s="5"/>
      <c r="O16" s="5"/>
      <c r="P16" s="5">
        <v>22.4</v>
      </c>
      <c r="Q16" s="5"/>
      <c r="R16" s="5"/>
      <c r="S16" s="5"/>
      <c r="T16" s="5">
        <f t="shared" si="17"/>
        <v>179.34</v>
      </c>
      <c r="U16" s="9" t="s">
        <v>592</v>
      </c>
      <c r="V16" s="6">
        <f t="shared" si="3"/>
        <v>0.87509758001561277</v>
      </c>
      <c r="W16" s="6">
        <f t="shared" si="4"/>
        <v>0</v>
      </c>
      <c r="X16" s="6">
        <f t="shared" si="5"/>
        <v>0</v>
      </c>
      <c r="Y16" s="6">
        <f t="shared" si="6"/>
        <v>0.12490241998438718</v>
      </c>
      <c r="Z16" s="6">
        <f t="shared" si="7"/>
        <v>0</v>
      </c>
      <c r="AA16" s="6">
        <f t="shared" si="8"/>
        <v>0</v>
      </c>
      <c r="AB16" s="7">
        <f t="shared" si="9"/>
        <v>0</v>
      </c>
      <c r="AC16" s="6" t="s">
        <v>543</v>
      </c>
      <c r="AD16" s="6" t="s">
        <v>656</v>
      </c>
      <c r="AE16" s="6" t="s">
        <v>543</v>
      </c>
      <c r="AF16" s="10" t="s">
        <v>671</v>
      </c>
      <c r="AG16" s="11">
        <v>250</v>
      </c>
      <c r="AH16" s="17">
        <f t="shared" si="13"/>
        <v>1.3940002230400357</v>
      </c>
    </row>
    <row r="17" spans="1:34" x14ac:dyDescent="0.25">
      <c r="A17" s="15" t="s">
        <v>616</v>
      </c>
      <c r="B17" s="15" t="s">
        <v>13</v>
      </c>
      <c r="C17" s="315" t="e">
        <f ca="1">_xll.RasDaily(A17,TODAY(),"mcap",,,1000000)</f>
        <v>#NAME?</v>
      </c>
      <c r="D17" s="316">
        <f>-_xll.RasRatio(A17,,$B$31,"Net Nakit",,,,,"C",,1000000)</f>
        <v>-1478.3514270000001</v>
      </c>
      <c r="E17" s="315" t="e">
        <f t="shared" ca="1" si="10"/>
        <v>#NAME?</v>
      </c>
      <c r="F17" s="317">
        <v>189.12</v>
      </c>
      <c r="G17" s="317" t="e">
        <f t="shared" ca="1" si="0"/>
        <v>#NAME?</v>
      </c>
      <c r="H17" s="317" t="e">
        <f t="shared" ca="1" si="1"/>
        <v>#NAME?</v>
      </c>
      <c r="I17" s="317">
        <f>SUM(B51:E51)</f>
        <v>573.27126306530943</v>
      </c>
      <c r="J17" s="319" t="e">
        <f t="shared" ca="1" si="12"/>
        <v>#NAME?</v>
      </c>
      <c r="K17" s="317" t="e">
        <f t="shared" ca="1" si="14"/>
        <v>#NAME?</v>
      </c>
      <c r="L17" s="16" t="e">
        <f t="shared" ca="1" si="2"/>
        <v>#NAME?</v>
      </c>
      <c r="M17" s="5">
        <v>6.66</v>
      </c>
      <c r="N17" s="5">
        <v>47.83</v>
      </c>
      <c r="O17" s="5">
        <v>83.55</v>
      </c>
      <c r="P17" s="5"/>
      <c r="Q17" s="5">
        <v>5.59</v>
      </c>
      <c r="R17" s="5"/>
      <c r="S17" s="5"/>
      <c r="T17" s="5">
        <f t="shared" si="17"/>
        <v>143.63</v>
      </c>
      <c r="U17" s="9" t="s">
        <v>591</v>
      </c>
      <c r="V17" s="6">
        <f t="shared" si="3"/>
        <v>4.636914293671239E-2</v>
      </c>
      <c r="W17" s="6">
        <f t="shared" si="4"/>
        <v>0.33300842442386686</v>
      </c>
      <c r="X17" s="6">
        <f t="shared" si="5"/>
        <v>0.58170298684118915</v>
      </c>
      <c r="Y17" s="6">
        <f t="shared" si="6"/>
        <v>0</v>
      </c>
      <c r="Z17" s="6">
        <f t="shared" si="7"/>
        <v>3.8919445798231568E-2</v>
      </c>
      <c r="AA17" s="6">
        <f t="shared" si="8"/>
        <v>0</v>
      </c>
      <c r="AB17" s="7">
        <f t="shared" si="9"/>
        <v>0</v>
      </c>
      <c r="AC17" s="6" t="s">
        <v>543</v>
      </c>
      <c r="AD17" s="6" t="s">
        <v>543</v>
      </c>
      <c r="AE17" s="6" t="s">
        <v>543</v>
      </c>
      <c r="AF17" s="10" t="s">
        <v>657</v>
      </c>
      <c r="AG17" s="11">
        <v>74.150000000000006</v>
      </c>
      <c r="AH17" s="17">
        <f t="shared" si="13"/>
        <v>0.51625704936294647</v>
      </c>
    </row>
    <row r="18" spans="1:34" x14ac:dyDescent="0.25">
      <c r="A18" s="15" t="s">
        <v>617</v>
      </c>
      <c r="B18" s="15" t="s">
        <v>14</v>
      </c>
      <c r="C18" s="315" t="e">
        <f ca="1">_xll.RasDaily(A18,TODAY(),"mcap",,,1000000)</f>
        <v>#NAME?</v>
      </c>
      <c r="D18" s="316">
        <f>-_xll.RasRatio(A18,,$B$31,"Net Nakit",,,,,"C",,1000000)</f>
        <v>11618.955999999998</v>
      </c>
      <c r="E18" s="315" t="e">
        <f t="shared" ca="1" si="10"/>
        <v>#NAME?</v>
      </c>
      <c r="F18" s="317">
        <v>487.98200000000003</v>
      </c>
      <c r="G18" s="317" t="e">
        <f t="shared" ca="1" si="0"/>
        <v>#NAME?</v>
      </c>
      <c r="H18" s="317" t="e">
        <f t="shared" ca="1" si="1"/>
        <v>#NAME?</v>
      </c>
      <c r="I18" s="317">
        <f>SUM(B52:E52)</f>
        <v>2905.8690538217879</v>
      </c>
      <c r="J18" s="319" t="e">
        <f t="shared" ca="1" si="12"/>
        <v>#NAME?</v>
      </c>
      <c r="K18" s="317" t="e">
        <f t="shared" ca="1" si="14"/>
        <v>#NAME?</v>
      </c>
      <c r="L18" s="16" t="e">
        <f t="shared" ca="1" si="2"/>
        <v>#NAME?</v>
      </c>
      <c r="M18" s="5">
        <v>100</v>
      </c>
      <c r="N18" s="5"/>
      <c r="O18" s="5">
        <v>387.98200000000003</v>
      </c>
      <c r="Q18" s="5"/>
      <c r="R18" s="5"/>
      <c r="S18" s="5"/>
      <c r="T18" s="5">
        <f>SUM(M18:S18)</f>
        <v>487.98200000000003</v>
      </c>
      <c r="U18" s="9" t="s">
        <v>593</v>
      </c>
      <c r="V18" s="6">
        <f t="shared" si="3"/>
        <v>0.20492559151771991</v>
      </c>
      <c r="W18" s="6">
        <f t="shared" si="4"/>
        <v>0</v>
      </c>
      <c r="X18" s="6">
        <f t="shared" si="5"/>
        <v>0.79507440848228006</v>
      </c>
      <c r="Y18" s="6">
        <f t="shared" si="6"/>
        <v>0</v>
      </c>
      <c r="Z18" s="6">
        <f t="shared" si="7"/>
        <v>0</v>
      </c>
      <c r="AA18" s="6">
        <f t="shared" si="8"/>
        <v>0</v>
      </c>
      <c r="AB18" s="7">
        <f t="shared" si="9"/>
        <v>0</v>
      </c>
      <c r="AC18" s="6" t="s">
        <v>543</v>
      </c>
      <c r="AD18" s="6" t="s">
        <v>543</v>
      </c>
      <c r="AE18" s="6" t="s">
        <v>543</v>
      </c>
      <c r="AF18" s="10" t="s">
        <v>672</v>
      </c>
      <c r="AG18" s="11">
        <v>45</v>
      </c>
      <c r="AH18" s="17">
        <f t="shared" si="13"/>
        <v>9.2216516182973954E-2</v>
      </c>
    </row>
    <row r="19" spans="1:34" x14ac:dyDescent="0.25">
      <c r="A19" s="15" t="s">
        <v>618</v>
      </c>
      <c r="B19" s="15" t="s">
        <v>15</v>
      </c>
      <c r="C19" s="315" t="e">
        <f ca="1">_xll.RasDaily(A19,TODAY(),"mcap",,,1000000)</f>
        <v>#NAME?</v>
      </c>
      <c r="D19" s="316">
        <f>-_xll.RasRatio(A19,,$B$31,"Net Nakit",,,,,"C",,1000000)</f>
        <v>1593.2408630000002</v>
      </c>
      <c r="E19" s="315" t="e">
        <f t="shared" ca="1" si="10"/>
        <v>#NAME?</v>
      </c>
      <c r="F19" s="317">
        <v>354.2</v>
      </c>
      <c r="G19" s="317" t="e">
        <f t="shared" ca="1" si="0"/>
        <v>#NAME?</v>
      </c>
      <c r="H19" s="317" t="e">
        <f t="shared" ca="1" si="1"/>
        <v>#NAME?</v>
      </c>
      <c r="I19" s="317">
        <f>SUM(B53:E53)</f>
        <v>1918.4334907696266</v>
      </c>
      <c r="J19" s="319" t="e">
        <f t="shared" ca="1" si="12"/>
        <v>#NAME?</v>
      </c>
      <c r="K19" s="317" t="e">
        <f t="shared" ca="1" si="14"/>
        <v>#NAME?</v>
      </c>
      <c r="L19" s="16" t="e">
        <f t="shared" ca="1" si="2"/>
        <v>#NAME?</v>
      </c>
      <c r="M19" s="5">
        <f>34.1+36.2</f>
        <v>70.300000000000011</v>
      </c>
      <c r="N19" s="5">
        <v>283.89999999999998</v>
      </c>
      <c r="O19" s="5"/>
      <c r="P19" s="5"/>
      <c r="Q19" s="5"/>
      <c r="R19" s="5"/>
      <c r="S19" s="5"/>
      <c r="T19" s="5">
        <f>SUM(M19:S19)</f>
        <v>354.2</v>
      </c>
      <c r="U19" s="9" t="s">
        <v>584</v>
      </c>
      <c r="V19" s="6">
        <f t="shared" si="3"/>
        <v>0.19847543760587244</v>
      </c>
      <c r="W19" s="6">
        <f t="shared" si="4"/>
        <v>0.80152456239412762</v>
      </c>
      <c r="X19" s="6">
        <f t="shared" si="5"/>
        <v>0</v>
      </c>
      <c r="Y19" s="6">
        <f t="shared" si="6"/>
        <v>0</v>
      </c>
      <c r="Z19" s="6">
        <f t="shared" si="7"/>
        <v>0</v>
      </c>
      <c r="AA19" s="6">
        <f t="shared" si="8"/>
        <v>0</v>
      </c>
      <c r="AB19" s="7">
        <f t="shared" si="9"/>
        <v>0</v>
      </c>
      <c r="AC19" s="6" t="s">
        <v>543</v>
      </c>
      <c r="AD19" s="6" t="s">
        <v>649</v>
      </c>
      <c r="AE19" s="6" t="s">
        <v>650</v>
      </c>
      <c r="AF19" s="10" t="s">
        <v>662</v>
      </c>
      <c r="AG19" s="11">
        <v>437.2</v>
      </c>
      <c r="AH19" s="17">
        <f t="shared" si="13"/>
        <v>1.2343308865047995</v>
      </c>
    </row>
    <row r="20" spans="1:34" hidden="1" x14ac:dyDescent="0.25">
      <c r="A20" s="15" t="s">
        <v>619</v>
      </c>
      <c r="B20" s="15" t="s">
        <v>16</v>
      </c>
      <c r="C20" s="315" t="e">
        <f ca="1">_xll.RasDaily(A20,TODAY(),"mcap",,,1000000)</f>
        <v>#NAME?</v>
      </c>
      <c r="D20" s="316">
        <f>-_xll.RasRatio(A20,,$B$31,"Net Nakit",,,,,"C",,1000000)</f>
        <v>1918.0340099999999</v>
      </c>
      <c r="E20" s="315" t="e">
        <f t="shared" ca="1" si="10"/>
        <v>#NAME?</v>
      </c>
      <c r="F20" s="317">
        <v>103.1</v>
      </c>
      <c r="G20" s="317" t="e">
        <f t="shared" ca="1" si="0"/>
        <v>#NAME?</v>
      </c>
      <c r="H20" s="317" t="e">
        <f t="shared" ca="1" si="1"/>
        <v>#NAME?</v>
      </c>
      <c r="I20" s="317" t="e">
        <f>SUM(#REF!)</f>
        <v>#REF!</v>
      </c>
      <c r="J20" s="319" t="e">
        <f t="shared" ca="1" si="12"/>
        <v>#NAME?</v>
      </c>
      <c r="K20" s="317" t="e">
        <f t="shared" ca="1" si="14"/>
        <v>#REF!</v>
      </c>
      <c r="L20" s="16" t="e">
        <f t="shared" ca="1" si="2"/>
        <v>#REF!</v>
      </c>
      <c r="M20" s="5">
        <v>66.5</v>
      </c>
      <c r="N20" s="5"/>
      <c r="O20" s="5">
        <v>26.1</v>
      </c>
      <c r="P20" s="5">
        <v>10.5</v>
      </c>
      <c r="Q20" s="5"/>
      <c r="R20" s="5"/>
      <c r="S20" s="5"/>
      <c r="T20" s="5">
        <f>SUM(M20:S20)</f>
        <v>103.1</v>
      </c>
      <c r="V20" s="6">
        <f t="shared" si="3"/>
        <v>0.64500484966052385</v>
      </c>
      <c r="W20" s="6">
        <f t="shared" si="4"/>
        <v>0</v>
      </c>
      <c r="X20" s="6">
        <f t="shared" si="5"/>
        <v>0.25315227934044621</v>
      </c>
      <c r="Y20" s="6">
        <f t="shared" si="6"/>
        <v>0.10184287099903007</v>
      </c>
      <c r="Z20" s="6">
        <f t="shared" si="7"/>
        <v>0</v>
      </c>
      <c r="AA20" s="6">
        <f t="shared" si="8"/>
        <v>0</v>
      </c>
      <c r="AB20" s="7">
        <f t="shared" si="9"/>
        <v>0</v>
      </c>
      <c r="AC20" s="6" t="s">
        <v>543</v>
      </c>
      <c r="AD20" s="6" t="s">
        <v>543</v>
      </c>
      <c r="AE20" s="6" t="s">
        <v>543</v>
      </c>
      <c r="AF20" s="5" t="s">
        <v>660</v>
      </c>
      <c r="AG20" s="11">
        <v>5.08</v>
      </c>
      <c r="AH20" s="17">
        <f t="shared" si="13"/>
        <v>4.9272550921435503E-2</v>
      </c>
    </row>
    <row r="21" spans="1:34" x14ac:dyDescent="0.25">
      <c r="A21" s="15" t="s">
        <v>620</v>
      </c>
      <c r="B21" s="15" t="s">
        <v>17</v>
      </c>
      <c r="C21" s="315" t="e">
        <f ca="1">_xll.RasDaily(A21,TODAY(),"mcap",,,1000000)</f>
        <v>#NAME?</v>
      </c>
      <c r="D21" s="316">
        <f>-_xll.RasRatio(A21,,$B$31,"Net Nakit",,,,,"C",,1000000)</f>
        <v>325.04677200000015</v>
      </c>
      <c r="E21" s="315" t="e">
        <f t="shared" ca="1" si="10"/>
        <v>#NAME?</v>
      </c>
      <c r="F21" s="317">
        <v>513.18000000000006</v>
      </c>
      <c r="G21" s="317" t="e">
        <f t="shared" ca="1" si="0"/>
        <v>#NAME?</v>
      </c>
      <c r="H21" s="317" t="e">
        <f t="shared" ca="1" si="1"/>
        <v>#NAME?</v>
      </c>
      <c r="I21" s="317">
        <f>SUM(B54:E54)</f>
        <v>1735.4664070775254</v>
      </c>
      <c r="J21" s="319" t="e">
        <f t="shared" ca="1" si="12"/>
        <v>#NAME?</v>
      </c>
      <c r="K21" s="317" t="e">
        <f t="shared" ca="1" si="14"/>
        <v>#NAME?</v>
      </c>
      <c r="L21" s="16" t="e">
        <f t="shared" ca="1" si="2"/>
        <v>#NAME?</v>
      </c>
      <c r="M21" s="5">
        <v>143.18</v>
      </c>
      <c r="N21" s="5"/>
      <c r="O21" s="5"/>
      <c r="P21" s="5"/>
      <c r="Q21" s="5"/>
      <c r="R21" s="5"/>
      <c r="S21" s="5">
        <v>370</v>
      </c>
      <c r="T21" s="5">
        <f>SUM(M21:S21)</f>
        <v>513.18000000000006</v>
      </c>
      <c r="U21" s="5" t="s">
        <v>594</v>
      </c>
      <c r="V21" s="6">
        <f>M21/T21</f>
        <v>0.27900541720254102</v>
      </c>
      <c r="W21" s="6">
        <f t="shared" si="4"/>
        <v>0</v>
      </c>
      <c r="X21" s="6">
        <f t="shared" si="5"/>
        <v>0</v>
      </c>
      <c r="Y21" s="6">
        <f t="shared" si="6"/>
        <v>0</v>
      </c>
      <c r="Z21" s="6">
        <f t="shared" si="7"/>
        <v>0</v>
      </c>
      <c r="AA21" s="6">
        <f t="shared" si="8"/>
        <v>0</v>
      </c>
      <c r="AB21" s="7">
        <f t="shared" si="9"/>
        <v>0.72099458279745887</v>
      </c>
      <c r="AC21" s="6" t="s">
        <v>543</v>
      </c>
      <c r="AD21" s="6" t="s">
        <v>543</v>
      </c>
      <c r="AE21" s="6" t="s">
        <v>543</v>
      </c>
      <c r="AF21" s="6" t="s">
        <v>543</v>
      </c>
      <c r="AG21" s="11">
        <v>0</v>
      </c>
      <c r="AH21" s="17">
        <f t="shared" si="13"/>
        <v>0</v>
      </c>
    </row>
    <row r="22" spans="1:34" x14ac:dyDescent="0.25">
      <c r="A22" s="15" t="s">
        <v>621</v>
      </c>
      <c r="B22" s="15" t="s">
        <v>194</v>
      </c>
      <c r="C22" s="315" t="e">
        <f ca="1">_xll.RasDaily(A22,TODAY(),"mcap",,,1000000)</f>
        <v>#NAME?</v>
      </c>
      <c r="D22" s="316">
        <f>-_xll.RasRatio(A22,,$B$31,"Net Nakit",,,,,"C",,1000000)</f>
        <v>-25.327874000000001</v>
      </c>
      <c r="E22" s="315" t="e">
        <f t="shared" ca="1" si="10"/>
        <v>#NAME?</v>
      </c>
      <c r="F22" s="317">
        <v>6.29</v>
      </c>
      <c r="G22" s="317" t="e">
        <f t="shared" ca="1" si="0"/>
        <v>#NAME?</v>
      </c>
      <c r="H22" s="317" t="e">
        <f t="shared" ca="1" si="1"/>
        <v>#NAME?</v>
      </c>
      <c r="I22" s="317">
        <f>SUM(B55:E55)</f>
        <v>17.15466136122334</v>
      </c>
      <c r="J22" s="319" t="e">
        <f t="shared" ca="1" si="12"/>
        <v>#NAME?</v>
      </c>
      <c r="K22" s="317" t="e">
        <f t="shared" ca="1" si="14"/>
        <v>#NAME?</v>
      </c>
      <c r="L22" s="16" t="e">
        <f t="shared" ca="1" si="2"/>
        <v>#NAME?</v>
      </c>
      <c r="M22" s="5">
        <v>6.29</v>
      </c>
      <c r="N22" s="5"/>
      <c r="O22" s="5"/>
      <c r="P22" s="5"/>
      <c r="Q22" s="5"/>
      <c r="R22" s="5"/>
      <c r="S22" s="5"/>
      <c r="T22" s="5">
        <f t="shared" si="17"/>
        <v>6.29</v>
      </c>
      <c r="U22" s="5" t="s">
        <v>595</v>
      </c>
      <c r="V22" s="6">
        <f t="shared" si="3"/>
        <v>1</v>
      </c>
      <c r="W22" s="6">
        <f t="shared" si="4"/>
        <v>0</v>
      </c>
      <c r="X22" s="6">
        <f t="shared" si="5"/>
        <v>0</v>
      </c>
      <c r="Y22" s="6">
        <f t="shared" si="6"/>
        <v>0</v>
      </c>
      <c r="Z22" s="6">
        <f t="shared" si="7"/>
        <v>0</v>
      </c>
      <c r="AA22" s="6">
        <f t="shared" si="8"/>
        <v>0</v>
      </c>
      <c r="AB22" s="7">
        <f t="shared" si="9"/>
        <v>0</v>
      </c>
      <c r="AC22" s="6" t="s">
        <v>543</v>
      </c>
      <c r="AD22" s="6" t="s">
        <v>543</v>
      </c>
      <c r="AE22" s="6" t="s">
        <v>543</v>
      </c>
      <c r="AF22" s="10" t="s">
        <v>543</v>
      </c>
      <c r="AG22" s="11">
        <v>0</v>
      </c>
      <c r="AH22" s="17">
        <f t="shared" si="13"/>
        <v>0</v>
      </c>
    </row>
    <row r="23" spans="1:34" x14ac:dyDescent="0.25">
      <c r="A23" s="15" t="s">
        <v>622</v>
      </c>
      <c r="B23" s="15" t="s">
        <v>18</v>
      </c>
      <c r="C23" s="315" t="e">
        <f ca="1">_xll.RasDaily(A23,TODAY(),"mcap",,,1000000)</f>
        <v>#NAME?</v>
      </c>
      <c r="D23" s="316">
        <f>-_xll.RasRatio(A23,,$B$31,"Net Nakit",,,,,"C",,1000000)</f>
        <v>30095.211311999999</v>
      </c>
      <c r="E23" s="315" t="e">
        <f t="shared" ca="1" si="10"/>
        <v>#NAME?</v>
      </c>
      <c r="F23" s="317">
        <v>972.77</v>
      </c>
      <c r="G23" s="317" t="e">
        <f t="shared" ca="1" si="0"/>
        <v>#NAME?</v>
      </c>
      <c r="H23" s="317" t="e">
        <f t="shared" ca="1" si="1"/>
        <v>#NAME?</v>
      </c>
      <c r="I23" s="317">
        <f>SUM(B56:E56)</f>
        <v>7058.6308399314876</v>
      </c>
      <c r="J23" s="319" t="e">
        <f t="shared" ca="1" si="12"/>
        <v>#NAME?</v>
      </c>
      <c r="K23" s="317" t="e">
        <f t="shared" ca="1" si="14"/>
        <v>#NAME?</v>
      </c>
      <c r="L23" s="16" t="e">
        <f t="shared" ca="1" si="2"/>
        <v>#NAME?</v>
      </c>
      <c r="M23" s="5"/>
      <c r="N23" s="5">
        <v>489.24</v>
      </c>
      <c r="O23" s="5">
        <v>63.59</v>
      </c>
      <c r="P23" s="5"/>
      <c r="Q23" s="5">
        <v>233.91</v>
      </c>
      <c r="R23" s="5"/>
      <c r="S23" s="5"/>
      <c r="T23" s="5">
        <f t="shared" si="17"/>
        <v>786.74</v>
      </c>
      <c r="U23" s="9" t="s">
        <v>596</v>
      </c>
      <c r="V23" s="6">
        <f t="shared" si="3"/>
        <v>0</v>
      </c>
      <c r="W23" s="6">
        <f t="shared" si="4"/>
        <v>0.62185728449042887</v>
      </c>
      <c r="X23" s="6">
        <f t="shared" si="5"/>
        <v>8.0827211022701281E-2</v>
      </c>
      <c r="Y23" s="6">
        <f t="shared" si="6"/>
        <v>0</v>
      </c>
      <c r="Z23" s="6">
        <f t="shared" si="7"/>
        <v>0.29731550448686989</v>
      </c>
      <c r="AA23" s="6">
        <f t="shared" si="8"/>
        <v>0</v>
      </c>
      <c r="AB23" s="7">
        <f t="shared" si="9"/>
        <v>0</v>
      </c>
      <c r="AC23" s="6"/>
      <c r="AD23" s="6"/>
      <c r="AE23" s="6"/>
      <c r="AF23" s="10" t="s">
        <v>659</v>
      </c>
      <c r="AG23" s="11">
        <v>74.88</v>
      </c>
      <c r="AH23" s="17">
        <f t="shared" si="13"/>
        <v>9.5177568192795575E-2</v>
      </c>
    </row>
    <row r="24" spans="1:34" hidden="1" x14ac:dyDescent="0.25">
      <c r="A24" s="15" t="s">
        <v>623</v>
      </c>
      <c r="B24" s="15" t="s">
        <v>19</v>
      </c>
      <c r="C24" s="315" t="e">
        <f ca="1">_xll.RasDaily(A24,TODAY(),"mcap",,,1000000)</f>
        <v>#NAME?</v>
      </c>
      <c r="D24" s="316">
        <f>-_xll.RasRatio(A24,,$B$31,"Net Nakit",,,,,"C",,1000000)</f>
        <v>-1540.4053770000003</v>
      </c>
      <c r="E24" s="315" t="e">
        <f t="shared" ca="1" si="10"/>
        <v>#NAME?</v>
      </c>
      <c r="F24" s="317">
        <v>270.60000000000002</v>
      </c>
      <c r="G24" s="317" t="e">
        <f t="shared" ca="1" si="0"/>
        <v>#NAME?</v>
      </c>
      <c r="H24" s="317" t="e">
        <f t="shared" ca="1" si="1"/>
        <v>#NAME?</v>
      </c>
      <c r="I24" s="317" t="e">
        <f>SUM(#REF!)</f>
        <v>#REF!</v>
      </c>
      <c r="J24" s="319" t="e">
        <f t="shared" ca="1" si="12"/>
        <v>#NAME?</v>
      </c>
      <c r="K24" s="317" t="e">
        <f t="shared" ca="1" si="14"/>
        <v>#REF!</v>
      </c>
      <c r="L24" s="16" t="e">
        <f t="shared" ca="1" si="2"/>
        <v>#REF!</v>
      </c>
      <c r="M24" s="5"/>
      <c r="N24" s="5"/>
      <c r="O24" s="5"/>
      <c r="P24" s="5"/>
      <c r="Q24" s="5"/>
      <c r="R24" s="5">
        <v>174</v>
      </c>
      <c r="S24" s="5">
        <v>96.6</v>
      </c>
      <c r="T24" s="5">
        <f t="shared" si="17"/>
        <v>270.60000000000002</v>
      </c>
      <c r="U24" s="5"/>
      <c r="V24" s="6">
        <f t="shared" si="3"/>
        <v>0</v>
      </c>
      <c r="W24" s="6">
        <f t="shared" si="4"/>
        <v>0</v>
      </c>
      <c r="X24" s="6">
        <f t="shared" si="5"/>
        <v>0</v>
      </c>
      <c r="Y24" s="6">
        <f t="shared" si="6"/>
        <v>0</v>
      </c>
      <c r="Z24" s="6">
        <f t="shared" si="7"/>
        <v>0</v>
      </c>
      <c r="AA24" s="6">
        <f t="shared" si="8"/>
        <v>0.64301552106430149</v>
      </c>
      <c r="AB24" s="7">
        <f t="shared" si="9"/>
        <v>0.3569844789356984</v>
      </c>
      <c r="AC24" s="6" t="s">
        <v>543</v>
      </c>
      <c r="AD24" s="6" t="s">
        <v>543</v>
      </c>
      <c r="AE24" s="6" t="s">
        <v>543</v>
      </c>
      <c r="AF24" s="10" t="s">
        <v>543</v>
      </c>
      <c r="AG24" s="11">
        <v>0</v>
      </c>
      <c r="AH24" s="17">
        <f t="shared" si="13"/>
        <v>0</v>
      </c>
    </row>
    <row r="25" spans="1:34" x14ac:dyDescent="0.25">
      <c r="A25" s="15" t="s">
        <v>624</v>
      </c>
      <c r="B25" s="15" t="s">
        <v>20</v>
      </c>
      <c r="C25" s="315" t="e">
        <f ca="1">_xll.RasDaily(A25,TODAY(),"mcap",,,1000000)</f>
        <v>#NAME?</v>
      </c>
      <c r="D25" s="316">
        <f>-_xll.RasRatio(A25,,$B$31,"Net Nakit",,,,,"C",,1000000)</f>
        <v>-4.1217639999999998</v>
      </c>
      <c r="E25" s="315" t="e">
        <f t="shared" ca="1" si="10"/>
        <v>#NAME?</v>
      </c>
      <c r="F25" s="317">
        <v>18.454000000000001</v>
      </c>
      <c r="G25" s="317" t="e">
        <f t="shared" ca="1" si="0"/>
        <v>#NAME?</v>
      </c>
      <c r="H25" s="317" t="e">
        <f t="shared" ca="1" si="1"/>
        <v>#NAME?</v>
      </c>
      <c r="I25" s="317">
        <f>SUM(B57:E57)</f>
        <v>9.0790455205971092</v>
      </c>
      <c r="J25" s="319" t="e">
        <f t="shared" ca="1" si="12"/>
        <v>#NAME?</v>
      </c>
      <c r="K25" s="317" t="e">
        <f t="shared" ca="1" si="14"/>
        <v>#NAME?</v>
      </c>
      <c r="L25" s="16" t="e">
        <f t="shared" ca="1" si="2"/>
        <v>#NAME?</v>
      </c>
      <c r="M25" s="19">
        <v>4.0179999999999998</v>
      </c>
      <c r="N25" s="19"/>
      <c r="O25" s="19">
        <v>14.436</v>
      </c>
      <c r="P25" s="19"/>
      <c r="Q25" s="19"/>
      <c r="R25" s="19"/>
      <c r="S25" s="19"/>
      <c r="T25" s="19">
        <f t="shared" si="17"/>
        <v>18.454000000000001</v>
      </c>
      <c r="U25" s="5"/>
      <c r="V25" s="6">
        <f t="shared" si="3"/>
        <v>0.21773057331743795</v>
      </c>
      <c r="W25" s="6">
        <f t="shared" si="4"/>
        <v>0</v>
      </c>
      <c r="X25" s="6">
        <f t="shared" si="5"/>
        <v>0.78226942668256205</v>
      </c>
      <c r="Y25" s="6">
        <f t="shared" si="6"/>
        <v>0</v>
      </c>
      <c r="Z25" s="6">
        <f t="shared" si="7"/>
        <v>0</v>
      </c>
      <c r="AA25" s="6">
        <f t="shared" si="8"/>
        <v>0</v>
      </c>
      <c r="AB25" s="7">
        <f t="shared" si="9"/>
        <v>0</v>
      </c>
      <c r="AC25" s="6" t="s">
        <v>543</v>
      </c>
      <c r="AD25" s="6" t="s">
        <v>543</v>
      </c>
      <c r="AE25" s="6" t="s">
        <v>543</v>
      </c>
      <c r="AF25" s="6" t="s">
        <v>543</v>
      </c>
      <c r="AG25" s="11">
        <v>0</v>
      </c>
      <c r="AH25" s="17">
        <f t="shared" si="13"/>
        <v>0</v>
      </c>
    </row>
    <row r="26" spans="1:34" hidden="1" x14ac:dyDescent="0.25">
      <c r="A26" s="15" t="s">
        <v>625</v>
      </c>
      <c r="B26" s="15" t="s">
        <v>21</v>
      </c>
      <c r="C26" s="315" t="e">
        <f ca="1">_xll.RasDaily(A26,TODAY(),"mcap",,,1000000)</f>
        <v>#NAME?</v>
      </c>
      <c r="D26" s="316">
        <f>-_xll.RasRatio(A26,,$B$31,"Net Nakit",,,,,"C",,1000000)</f>
        <v>10536.161983</v>
      </c>
      <c r="E26" s="315" t="e">
        <f t="shared" ca="1" si="10"/>
        <v>#NAME?</v>
      </c>
      <c r="F26" s="317">
        <v>93.01</v>
      </c>
      <c r="G26" s="317" t="e">
        <f t="shared" ca="1" si="0"/>
        <v>#NAME?</v>
      </c>
      <c r="H26" s="317" t="e">
        <f t="shared" ca="1" si="1"/>
        <v>#NAME?</v>
      </c>
      <c r="I26" s="317" t="e">
        <f>SUM(#REF!)</f>
        <v>#REF!</v>
      </c>
      <c r="J26" s="319" t="e">
        <f t="shared" ca="1" si="12"/>
        <v>#NAME?</v>
      </c>
      <c r="K26" s="317" t="e">
        <f t="shared" ca="1" si="14"/>
        <v>#REF!</v>
      </c>
      <c r="L26" s="16" t="e">
        <f t="shared" ca="1" si="2"/>
        <v>#REF!</v>
      </c>
      <c r="M26" s="5">
        <f>100*0.9301</f>
        <v>93.01</v>
      </c>
      <c r="N26" s="5"/>
      <c r="O26" s="5"/>
      <c r="P26" s="5"/>
      <c r="Q26" s="5"/>
      <c r="R26" s="5"/>
      <c r="S26" s="5"/>
      <c r="T26" s="5">
        <f t="shared" si="17"/>
        <v>93.01</v>
      </c>
      <c r="U26" s="5"/>
      <c r="V26" s="6">
        <f t="shared" si="3"/>
        <v>1</v>
      </c>
      <c r="W26" s="6">
        <f t="shared" si="4"/>
        <v>0</v>
      </c>
      <c r="X26" s="6">
        <f t="shared" si="5"/>
        <v>0</v>
      </c>
      <c r="Y26" s="6">
        <f t="shared" si="6"/>
        <v>0</v>
      </c>
      <c r="Z26" s="6">
        <f t="shared" si="7"/>
        <v>0</v>
      </c>
      <c r="AA26" s="6">
        <f t="shared" si="8"/>
        <v>0</v>
      </c>
      <c r="AB26" s="7">
        <f t="shared" si="9"/>
        <v>0</v>
      </c>
      <c r="AC26" s="5" t="s">
        <v>543</v>
      </c>
      <c r="AD26" s="5" t="s">
        <v>543</v>
      </c>
      <c r="AE26" s="5" t="s">
        <v>543</v>
      </c>
      <c r="AF26" s="5" t="s">
        <v>658</v>
      </c>
      <c r="AG26" s="11">
        <v>244.85</v>
      </c>
      <c r="AH26" s="17">
        <f t="shared" si="13"/>
        <v>2.6325126330502093</v>
      </c>
    </row>
    <row r="27" spans="1:34" x14ac:dyDescent="0.25">
      <c r="A27" s="15" t="s">
        <v>626</v>
      </c>
      <c r="B27" s="15" t="s">
        <v>22</v>
      </c>
      <c r="C27" s="315" t="e">
        <f ca="1">_xll.RasDaily(A27,TODAY(),"mcap",,,1000000)</f>
        <v>#NAME?</v>
      </c>
      <c r="D27" s="316">
        <f>-_xll.RasRatio(A27,,$B$31,"Net Nakit",,,,,"C",,1000000)</f>
        <v>6973.4524540000002</v>
      </c>
      <c r="E27" s="315" t="e">
        <f t="shared" ca="1" si="10"/>
        <v>#NAME?</v>
      </c>
      <c r="F27" s="317">
        <v>362.5</v>
      </c>
      <c r="G27" s="317" t="e">
        <f t="shared" ca="1" si="0"/>
        <v>#NAME?</v>
      </c>
      <c r="H27" s="317" t="e">
        <f t="shared" ca="1" si="1"/>
        <v>#NAME?</v>
      </c>
      <c r="I27" s="317">
        <f>SUM(B58:E58)</f>
        <v>1645.7175890000001</v>
      </c>
      <c r="J27" s="319" t="e">
        <f t="shared" ca="1" si="12"/>
        <v>#NAME?</v>
      </c>
      <c r="K27" s="317" t="e">
        <f t="shared" ca="1" si="14"/>
        <v>#NAME?</v>
      </c>
      <c r="L27" s="16" t="e">
        <f t="shared" ca="1" si="2"/>
        <v>#NAME?</v>
      </c>
      <c r="M27" s="5">
        <v>82.28</v>
      </c>
      <c r="N27" s="5">
        <v>258.5</v>
      </c>
      <c r="O27" s="5">
        <v>21.5</v>
      </c>
      <c r="P27" s="5"/>
      <c r="Q27" s="5"/>
      <c r="R27" s="5"/>
      <c r="S27" s="5"/>
      <c r="T27" s="5">
        <v>362.5</v>
      </c>
      <c r="U27" s="9" t="s">
        <v>597</v>
      </c>
      <c r="V27" s="6">
        <f t="shared" si="3"/>
        <v>0.2269793103448276</v>
      </c>
      <c r="W27" s="6">
        <f t="shared" si="4"/>
        <v>0.71310344827586203</v>
      </c>
      <c r="X27" s="6">
        <f t="shared" si="5"/>
        <v>5.9310344827586209E-2</v>
      </c>
      <c r="Y27" s="6">
        <f t="shared" si="6"/>
        <v>0</v>
      </c>
      <c r="Z27" s="6">
        <f t="shared" si="7"/>
        <v>0</v>
      </c>
      <c r="AA27" s="6">
        <f t="shared" si="8"/>
        <v>0</v>
      </c>
      <c r="AB27" s="7">
        <f t="shared" si="9"/>
        <v>0</v>
      </c>
      <c r="AC27" s="6" t="s">
        <v>543</v>
      </c>
      <c r="AD27" s="6" t="s">
        <v>543</v>
      </c>
      <c r="AE27" s="6" t="s">
        <v>543</v>
      </c>
      <c r="AF27" s="10" t="s">
        <v>543</v>
      </c>
      <c r="AG27" s="11">
        <v>0</v>
      </c>
      <c r="AH27" s="17">
        <f t="shared" si="13"/>
        <v>0</v>
      </c>
    </row>
    <row r="28" spans="1:34" x14ac:dyDescent="0.25">
      <c r="A28" s="15" t="s">
        <v>627</v>
      </c>
      <c r="B28" s="15" t="s">
        <v>23</v>
      </c>
      <c r="C28" s="315" t="e">
        <f ca="1">_xll.RasDaily(A28,TODAY(),"mcap",,,1000000)</f>
        <v>#NAME?</v>
      </c>
      <c r="D28" s="316">
        <f>-_xll.RasRatio(A28,,$B$31,"Net Nakit",,,,,"C",,1000000)</f>
        <v>463.82712199999997</v>
      </c>
      <c r="E28" s="315" t="e">
        <f t="shared" ca="1" si="10"/>
        <v>#NAME?</v>
      </c>
      <c r="F28" s="317">
        <v>15.799999999999999</v>
      </c>
      <c r="G28" s="317" t="e">
        <f t="shared" ca="1" si="0"/>
        <v>#NAME?</v>
      </c>
      <c r="H28" s="317" t="e">
        <f t="shared" ca="1" si="1"/>
        <v>#NAME?</v>
      </c>
      <c r="I28" s="317">
        <f>SUM(B59:E59)</f>
        <v>21.938433554722028</v>
      </c>
      <c r="J28" s="319" t="e">
        <f t="shared" ca="1" si="12"/>
        <v>#NAME?</v>
      </c>
      <c r="K28" s="317" t="e">
        <f ca="1">I28/$B$35</f>
        <v>#NAME?</v>
      </c>
      <c r="L28" s="16" t="e">
        <f t="shared" ca="1" si="2"/>
        <v>#NAME?</v>
      </c>
      <c r="M28" s="5">
        <v>12.2</v>
      </c>
      <c r="N28" s="5"/>
      <c r="O28" s="5">
        <v>3.6</v>
      </c>
      <c r="P28" s="5"/>
      <c r="Q28" s="5"/>
      <c r="R28" s="5"/>
      <c r="S28" s="5"/>
      <c r="T28" s="5">
        <f>SUM(M28:S28)</f>
        <v>15.799999999999999</v>
      </c>
      <c r="U28" s="9" t="s">
        <v>598</v>
      </c>
      <c r="V28" s="6">
        <f t="shared" si="3"/>
        <v>0.77215189873417722</v>
      </c>
      <c r="W28" s="6">
        <f t="shared" si="4"/>
        <v>0</v>
      </c>
      <c r="X28" s="6">
        <f t="shared" si="5"/>
        <v>0.22784810126582281</v>
      </c>
      <c r="Y28" s="6">
        <f t="shared" si="6"/>
        <v>0</v>
      </c>
      <c r="Z28" s="6">
        <f t="shared" si="7"/>
        <v>0</v>
      </c>
      <c r="AA28" s="6">
        <f t="shared" si="8"/>
        <v>0</v>
      </c>
      <c r="AB28" s="7">
        <f t="shared" si="9"/>
        <v>0</v>
      </c>
      <c r="AC28" s="6" t="s">
        <v>543</v>
      </c>
      <c r="AD28" s="6" t="s">
        <v>543</v>
      </c>
      <c r="AE28" s="6" t="s">
        <v>543</v>
      </c>
      <c r="AF28" s="10" t="s">
        <v>669</v>
      </c>
      <c r="AG28" s="11">
        <v>15</v>
      </c>
      <c r="AH28" s="17">
        <f t="shared" si="13"/>
        <v>0.949367088607595</v>
      </c>
    </row>
    <row r="29" spans="1:34" x14ac:dyDescent="0.25">
      <c r="A29" s="15" t="s">
        <v>628</v>
      </c>
      <c r="B29" s="15" t="s">
        <v>24</v>
      </c>
      <c r="C29" s="315" t="e">
        <f ca="1">_xll.RasDaily(A29,TODAY(),"mcap",,,1000000)</f>
        <v>#NAME?</v>
      </c>
      <c r="D29" s="316">
        <f>-_xll.RasRatio(A29,,$B$31,"Net Nakit",,,,,"C",,1000000)</f>
        <v>55179.190999999999</v>
      </c>
      <c r="E29" s="315" t="e">
        <f t="shared" ca="1" si="10"/>
        <v>#NAME?</v>
      </c>
      <c r="F29" s="317">
        <f>473.45+57.9</f>
        <v>531.35</v>
      </c>
      <c r="G29" s="317" t="e">
        <f t="shared" ca="1" si="0"/>
        <v>#NAME?</v>
      </c>
      <c r="H29" s="317" t="e">
        <f t="shared" ca="1" si="1"/>
        <v>#NAME?</v>
      </c>
      <c r="I29" s="317">
        <f>SUM(B60:E60)</f>
        <v>6161.8720544011148</v>
      </c>
      <c r="J29" s="319" t="e">
        <f t="shared" ca="1" si="12"/>
        <v>#NAME?</v>
      </c>
      <c r="K29" s="317" t="e">
        <f ca="1">I29/$B$35</f>
        <v>#NAME?</v>
      </c>
      <c r="L29" s="16" t="e">
        <f t="shared" ca="1" si="2"/>
        <v>#NAME?</v>
      </c>
      <c r="M29" s="5"/>
      <c r="N29" s="5">
        <v>135</v>
      </c>
      <c r="O29" s="5">
        <v>118.92</v>
      </c>
      <c r="P29" s="5"/>
      <c r="Q29" s="5">
        <v>305</v>
      </c>
      <c r="R29" s="5">
        <v>49.53</v>
      </c>
      <c r="S29" s="5"/>
      <c r="T29" s="5">
        <f>SUM(M29:S29)</f>
        <v>608.45000000000005</v>
      </c>
      <c r="U29" s="9" t="s">
        <v>599</v>
      </c>
      <c r="V29" s="6">
        <f t="shared" si="3"/>
        <v>0</v>
      </c>
      <c r="W29" s="6">
        <f t="shared" si="4"/>
        <v>0.22187525680006573</v>
      </c>
      <c r="X29" s="6">
        <f t="shared" si="5"/>
        <v>0.19544744843454678</v>
      </c>
      <c r="Y29" s="6">
        <f t="shared" si="6"/>
        <v>0</v>
      </c>
      <c r="Z29" s="6">
        <f t="shared" si="7"/>
        <v>0.50127372832607442</v>
      </c>
      <c r="AA29" s="6">
        <f t="shared" si="8"/>
        <v>8.1403566439312999E-2</v>
      </c>
      <c r="AB29" s="7">
        <f t="shared" si="9"/>
        <v>0</v>
      </c>
      <c r="AC29" s="6" t="s">
        <v>543</v>
      </c>
      <c r="AD29" s="6" t="s">
        <v>543</v>
      </c>
      <c r="AE29" s="6" t="s">
        <v>543</v>
      </c>
      <c r="AF29" s="10" t="s">
        <v>673</v>
      </c>
      <c r="AG29" s="11">
        <v>438.6</v>
      </c>
      <c r="AH29" s="17">
        <f t="shared" si="13"/>
        <v>0.72084805653710249</v>
      </c>
    </row>
    <row r="30" spans="1:34" x14ac:dyDescent="0.25">
      <c r="F30" s="20"/>
      <c r="G30" s="21"/>
    </row>
    <row r="31" spans="1:34" x14ac:dyDescent="0.25">
      <c r="B31" s="22">
        <v>46112</v>
      </c>
      <c r="C31">
        <v>2025</v>
      </c>
    </row>
    <row r="32" spans="1:34" x14ac:dyDescent="0.25">
      <c r="A32" s="23"/>
      <c r="B32" s="24"/>
      <c r="C32" s="25"/>
    </row>
    <row r="33" spans="1:9" x14ac:dyDescent="0.25">
      <c r="A33" s="24" t="s">
        <v>635</v>
      </c>
      <c r="B33" s="26" t="s">
        <v>636</v>
      </c>
      <c r="C33" s="25"/>
      <c r="D33" s="4"/>
      <c r="E33" s="2"/>
    </row>
    <row r="34" spans="1:9" x14ac:dyDescent="0.25">
      <c r="A34" s="27">
        <f ca="1">TODAY()</f>
        <v>46246</v>
      </c>
      <c r="B34" s="28" t="e">
        <f ca="1">_xll.RasDaily(B$33,$A$34,"close",,TRUE(),1)</f>
        <v>#NAME?</v>
      </c>
      <c r="C34" s="25"/>
      <c r="D34" s="1"/>
      <c r="E34" s="250"/>
    </row>
    <row r="35" spans="1:9" x14ac:dyDescent="0.25">
      <c r="A35" s="27">
        <f ca="1">TODAY()</f>
        <v>46246</v>
      </c>
      <c r="B35" s="28" t="e">
        <f ca="1">_xll.RasDaily(B$33,$A$35,"close",,TRUE(),1)</f>
        <v>#NAME?</v>
      </c>
      <c r="C35" s="25"/>
      <c r="D35" s="1"/>
      <c r="E35" s="250"/>
    </row>
    <row r="36" spans="1:9" x14ac:dyDescent="0.25">
      <c r="B36" s="25"/>
      <c r="C36" s="25"/>
      <c r="D36" s="1"/>
      <c r="E36" s="250"/>
    </row>
    <row r="37" spans="1:9" x14ac:dyDescent="0.25">
      <c r="A37" t="s">
        <v>832</v>
      </c>
      <c r="B37" s="282" t="s">
        <v>712</v>
      </c>
      <c r="C37" s="312" t="s">
        <v>708</v>
      </c>
      <c r="D37" s="313" t="s">
        <v>709</v>
      </c>
      <c r="E37" s="314" t="s">
        <v>710</v>
      </c>
      <c r="G37" t="s">
        <v>833</v>
      </c>
      <c r="H37" t="s">
        <v>834</v>
      </c>
      <c r="I37" t="s">
        <v>835</v>
      </c>
    </row>
    <row r="38" spans="1:9" x14ac:dyDescent="0.25">
      <c r="A38" s="307" t="s">
        <v>601</v>
      </c>
      <c r="B38">
        <f>_xll.RasRatio(A2,$B$37,$B$37,"EBITDA","XI_29","LOCAL",,FALSE(),"AC",,1000000)</f>
        <v>37.083455999999998</v>
      </c>
      <c r="C38" s="29">
        <f>_xll.RasRatio(A2,$C$37,$C$37,"EBITDA","XI_29","LOCAL",,FALSE(),"AC",,1000000)</f>
        <v>79.314649000000003</v>
      </c>
      <c r="D38" s="2">
        <f>_xll.RasRatio(A2,$D$37,$D$37,"EBITDA","XI_29","LOCAL",,FALSE(),"AC",,1000000)</f>
        <v>103.06845300000001</v>
      </c>
      <c r="E38" s="250">
        <f>_xll.RasRatio(A2,$E$37,$E$37,"EBITDA","XI_29","LOCAL",,FALSE(),"AC",,1000000)</f>
        <v>80.601409999999987</v>
      </c>
      <c r="G38" s="106">
        <f>-_xll.RasRatio(A38,,$B$37,"Net Nakit",,,,,"C",,1000000)</f>
        <v>298.89368199999996</v>
      </c>
      <c r="H38" s="106">
        <f>G38/SUM(B38:E38)</f>
        <v>0.99608659995324778</v>
      </c>
      <c r="I38" s="318">
        <f>_xll.RasFinancial(A38,"2026/3M",2400,"XI_29","LOCAL",,FALSE(),"AC",,1000000)</f>
        <v>3375.599291</v>
      </c>
    </row>
    <row r="39" spans="1:9" x14ac:dyDescent="0.25">
      <c r="A39" s="307" t="s">
        <v>602</v>
      </c>
      <c r="B39">
        <f>_xll.RasRatio(A3,$B$37,$B$37,"EBITDA","XI_29","LOCAL",,FALSE(),"AC",,1000000)</f>
        <v>604.69799999999998</v>
      </c>
      <c r="C39" s="29">
        <f>_xll.RasRatio(A3,$C$37,$C$37,"EBITDA","XI_29","LOCAL",,FALSE(),"AC",,1000000)</f>
        <v>92.158321202345178</v>
      </c>
      <c r="D39" s="2">
        <f>_xll.RasRatio(A3,$D$37,$D$37,"EBITDA","XI_29","LOCAL",,FALSE(),"AC",,1000000)</f>
        <v>38.723000000000013</v>
      </c>
      <c r="E39" s="250">
        <f>_xll.RasRatio(A3,$E$37,$E$37,"EBITDA","XI_29","LOCAL",,FALSE(),"AC",,1000000)</f>
        <v>144.30199999999996</v>
      </c>
      <c r="G39" s="106">
        <f>-_xll.RasRatio(A39,,$B$37,"Net Nakit",,,,,"C",,1000000)</f>
        <v>23382.216999999997</v>
      </c>
      <c r="H39" s="106">
        <f t="shared" ref="H39:H59" si="18">G39/SUM(B39:E39)</f>
        <v>26.574285004764658</v>
      </c>
      <c r="I39" s="318">
        <f>_xll.RasFinancial(A39,"2026/3M",2400,"XI_29","LOCAL",,FALSE(),"AC",,1000000)</f>
        <v>14552.864</v>
      </c>
    </row>
    <row r="40" spans="1:9" x14ac:dyDescent="0.25">
      <c r="A40" s="307" t="s">
        <v>603</v>
      </c>
      <c r="B40">
        <f>_xll.RasRatio(A4,$B$37,$B$37,"EBITDA","XI_29","LOCAL",,FALSE(),"AC",,1000000)</f>
        <v>870.32899999999995</v>
      </c>
      <c r="C40" s="29">
        <f>_xll.RasRatio(A4,$C$37,$C$37,"EBITDA","XI_29","LOCAL",,FALSE(),"AC",,1000000)</f>
        <v>712.71340553327263</v>
      </c>
      <c r="D40" s="2">
        <f>_xll.RasRatio(A4,$D$37,$D$37,"EBITDA","XI_29","LOCAL",,FALSE(),"AC",,1000000)</f>
        <v>803.36199999999997</v>
      </c>
      <c r="E40" s="250">
        <f>_xll.RasRatio(A4,$E$37,$E$37,"EBITDA","XI_29","LOCAL",,FALSE(),"AC",,1000000)</f>
        <v>819.66</v>
      </c>
      <c r="G40" s="106">
        <f>-_xll.RasRatio(A40,,$B$37,"Net Nakit",,,,,"C",,1000000)</f>
        <v>11366.832</v>
      </c>
      <c r="H40" s="106">
        <f t="shared" si="18"/>
        <v>3.5454159873963382</v>
      </c>
      <c r="I40" s="318">
        <f>_xll.RasFinancial(A40,"2026/3M",2400,"XI_29","LOCAL",,FALSE(),"AC",,1000000)</f>
        <v>62456.934999999998</v>
      </c>
    </row>
    <row r="41" spans="1:9" x14ac:dyDescent="0.25">
      <c r="A41" s="15" t="s">
        <v>604</v>
      </c>
      <c r="B41">
        <f>_xll.RasRatio(A5,$B$37,$B$37,"EBITDA","XI_29","LOCAL",,FALSE(),"AC",,1000000)</f>
        <v>3232.365108</v>
      </c>
      <c r="C41" s="29">
        <f>_xll.RasRatio(A5,$C$37,$C$37,"EBITDA","XI_29","LOCAL",,FALSE(),"AC",,1000000)</f>
        <v>2928.5863125108831</v>
      </c>
      <c r="D41" s="2">
        <f>_xll.RasRatio(A5,$D$37,$D$37,"EBITDA","XI_29","LOCAL",,FALSE(),"AC",,1000000)</f>
        <v>3079.8860630207118</v>
      </c>
      <c r="E41" s="250">
        <f>_xll.RasRatio(A5,$E$37,$E$37,"EBITDA","XI_29","LOCAL",,FALSE(),"AC",,1000000)</f>
        <v>2643.8367545867641</v>
      </c>
      <c r="G41" s="106">
        <f>-_xll.RasRatio(A41,,$B$37,"Net Nakit",,,,,"C",,1000000)</f>
        <v>52919.523566000003</v>
      </c>
      <c r="H41" s="106">
        <f t="shared" si="18"/>
        <v>4.4527533953154856</v>
      </c>
      <c r="I41" s="318">
        <f>_xll.RasFinancial(A41,"2026/3M",2400,"XI_29","LOCAL",,FALSE(),"AC",,1000000)</f>
        <v>70028.292205999998</v>
      </c>
    </row>
    <row r="42" spans="1:9" x14ac:dyDescent="0.25">
      <c r="A42" s="15" t="s">
        <v>605</v>
      </c>
      <c r="B42">
        <f>_xll.RasRatio(A6,$B$37,$B$37,"EBITDA","XI_29","LOCAL",,FALSE(),"AC",,1000000)</f>
        <v>0.66306299999999929</v>
      </c>
      <c r="C42" s="29">
        <f>_xll.RasRatio(A6,$C$37,$C$37,"EBITDA","XI_29","LOCAL",,FALSE(),"AC",,1000000)</f>
        <v>4.855939937010028</v>
      </c>
      <c r="D42" s="2">
        <f>_xll.RasRatio(A6,$D$37,$D$37,"EBITDA","XI_29","LOCAL",,FALSE(),"AC",,1000000)</f>
        <v>5.5338040974396066</v>
      </c>
      <c r="E42" s="250">
        <f>_xll.RasRatio(A6,$E$37,$E$37,"EBITDA","XI_29","LOCAL",,FALSE(),"AC",,1000000)</f>
        <v>8.0653459999999999</v>
      </c>
      <c r="G42" s="106">
        <f>-_xll.RasRatio(A42,,$B$37,"Net Nakit",,,,,"C",,1000000)</f>
        <v>0.27584599999999959</v>
      </c>
      <c r="H42" s="106">
        <f>G42/SUM(B42:E42)</f>
        <v>1.4428485821979954E-2</v>
      </c>
      <c r="I42" s="318">
        <f>_xll.RasFinancial(A42,"2026/3M",2400,"XI_29","LOCAL",,FALSE(),"AC",,1000000)</f>
        <v>989.72609799999998</v>
      </c>
    </row>
    <row r="43" spans="1:9" x14ac:dyDescent="0.25">
      <c r="A43" s="15" t="s">
        <v>607</v>
      </c>
      <c r="B43">
        <f>_xll.RasRatio(A8,$B$37,$B$37,"EBITDA","XI_29","LOCAL",,FALSE(),"AC",,1000000)</f>
        <v>1375.8076739999999</v>
      </c>
      <c r="C43" s="29">
        <f>_xll.RasRatio(A8,$C$37,$C$37,"EBITDA","XI_29","LOCAL",,FALSE(),"AC",,1000000)</f>
        <v>747.27238903094189</v>
      </c>
      <c r="D43" s="2">
        <f>_xll.RasRatio(A8,$D$37,$D$37,"EBITDA","XI_29","LOCAL",,FALSE(),"AC",,1000000)</f>
        <v>1285.0980206138872</v>
      </c>
      <c r="E43" s="250">
        <f>_xll.RasRatio(A8,$E$37,$E$37,"EBITDA","XI_29","LOCAL",,FALSE(),"AC",,1000000)</f>
        <v>1422.8209887300479</v>
      </c>
      <c r="G43" s="106">
        <f>-_xll.RasRatio(A43,,$B$37,"Net Nakit",,,,,"C",,1000000)</f>
        <v>22053.575289</v>
      </c>
      <c r="H43" s="106">
        <f t="shared" si="18"/>
        <v>4.5650133561625079</v>
      </c>
      <c r="I43" s="318">
        <f>_xll.RasFinancial(A43,"2026/3M",2400,"XI_29","LOCAL",,FALSE(),"AC",,1000000)</f>
        <v>41071.171047999997</v>
      </c>
    </row>
    <row r="44" spans="1:9" x14ac:dyDescent="0.25">
      <c r="A44" s="15" t="s">
        <v>608</v>
      </c>
      <c r="B44">
        <f>_xll.RasRatio(A9,$B$37,$B$37,"EBITDA","XI_29","LOCAL",,FALSE(),"AC",,1000000)</f>
        <v>969.03823499999999</v>
      </c>
      <c r="C44" s="29">
        <f>_xll.RasRatio(A9,$C$37,$C$37,"EBITDA","XI_29","LOCAL",,FALSE(),"AC",,1000000)</f>
        <v>465.08855877445524</v>
      </c>
      <c r="D44" s="2">
        <f>_xll.RasRatio(A9,$D$37,$D$37,"EBITDA","XI_29","LOCAL",,FALSE(),"AC",,1000000)</f>
        <v>315.23852700000003</v>
      </c>
      <c r="E44" s="250">
        <f>_xll.RasRatio(A9,$E$37,$E$37,"EBITDA","XI_29","LOCAL",,FALSE(),"AC",,1000000)</f>
        <v>442.821664</v>
      </c>
      <c r="G44" s="106">
        <f>-_xll.RasRatio(A44,,$B$37,"Net Nakit",,,,,"C",,1000000)</f>
        <v>6412.9939599999998</v>
      </c>
      <c r="H44" s="106">
        <f t="shared" si="18"/>
        <v>2.9253863856233986</v>
      </c>
      <c r="I44" s="318">
        <f>_xll.RasFinancial(A44,"2026/3M",2400,"XI_29","LOCAL",,FALSE(),"AC",,1000000)</f>
        <v>19481.445195</v>
      </c>
    </row>
    <row r="45" spans="1:9" x14ac:dyDescent="0.25">
      <c r="A45" s="15" t="s">
        <v>609</v>
      </c>
      <c r="B45">
        <f>_xll.RasRatio(A10,$B$37,$B$37,"EBITDA","XI_29","LOCAL",,FALSE(),"AC",,1000000)</f>
        <v>106.179044</v>
      </c>
      <c r="C45" s="29">
        <f>_xll.RasRatio(A10,$C$37,$C$37,"EBITDA","XI_29","LOCAL",,FALSE(),"AC",,1000000)</f>
        <v>245.28142399999996</v>
      </c>
      <c r="D45" s="2">
        <f>_xll.RasRatio(A10,$D$37,$D$37,"EBITDA","XI_29","LOCAL",,FALSE(),"AC",,1000000)</f>
        <v>166.081695</v>
      </c>
      <c r="E45" s="250">
        <f>_xll.RasRatio(A10,$E$37,$E$37,"EBITDA","XI_29","LOCAL",,FALSE(),"AC",,1000000)</f>
        <v>171.66169500000001</v>
      </c>
      <c r="G45" s="106">
        <f>-_xll.RasRatio(A45,,$B$37,"Net Nakit",,,,,"C",,1000000)</f>
        <v>3184.6633980000001</v>
      </c>
      <c r="H45" s="106">
        <f t="shared" si="18"/>
        <v>4.6207857965879233</v>
      </c>
      <c r="I45" s="318">
        <f>_xll.RasFinancial(A45,"2026/3M",2400,"XI_29","LOCAL",,FALSE(),"AC",,1000000)</f>
        <v>3343.4550140000001</v>
      </c>
    </row>
    <row r="46" spans="1:9" x14ac:dyDescent="0.25">
      <c r="A46" s="15" t="s">
        <v>610</v>
      </c>
      <c r="B46">
        <f>_xll.RasRatio(A11,$B$37,$B$37,"EBITDA","XI_29","LOCAL",,FALSE(),"AC",,1000000)</f>
        <v>12.270319000000001</v>
      </c>
      <c r="C46" s="29">
        <f>_xll.RasRatio(A11,$C$37,$C$37,"EBITDA","XI_29","LOCAL",,FALSE(),"AC",,1000000)</f>
        <v>42.205584468808865</v>
      </c>
      <c r="D46" s="2">
        <f>_xll.RasRatio(A11,$D$37,$D$37,"EBITDA","XI_29","LOCAL",,FALSE(),"AC",,1000000)</f>
        <v>90.896681000000001</v>
      </c>
      <c r="E46" s="250">
        <f>_xll.RasRatio(A11,$E$37,$E$37,"EBITDA","XI_29","LOCAL",,FALSE(),"AC",,1000000)</f>
        <v>103.15429899999999</v>
      </c>
      <c r="G46" s="106">
        <f>-_xll.RasRatio(A46,,$B$37,"Net Nakit",,,,,"C",,1000000)</f>
        <v>5733.8571940000002</v>
      </c>
      <c r="H46" s="106">
        <f t="shared" si="18"/>
        <v>23.071376077991268</v>
      </c>
      <c r="I46" s="318">
        <f>_xll.RasFinancial(A46,"2026/3M",2400,"XI_29","LOCAL",,FALSE(),"AC",,1000000)</f>
        <v>3274.8963429999999</v>
      </c>
    </row>
    <row r="47" spans="1:9" x14ac:dyDescent="0.25">
      <c r="A47" s="15" t="s">
        <v>611</v>
      </c>
      <c r="B47">
        <f>_xll.RasRatio(A12,$B$37,$B$37,"EBITDA","XI_29","LOCAL",,FALSE(),"AC",,1000000)</f>
        <v>655.93359399999997</v>
      </c>
      <c r="C47" s="29">
        <f>_xll.RasRatio(A12,$C$37,$C$37,"EBITDA","XI_29","LOCAL",,FALSE(),"AC",,1000000)</f>
        <v>409.33028347214747</v>
      </c>
      <c r="D47" s="2">
        <f>_xll.RasRatio(A12,$D$37,$D$37,"EBITDA","XI_29","LOCAL",,FALSE(),"AC",,1000000)</f>
        <v>596.50352637162962</v>
      </c>
      <c r="E47" s="250">
        <f>_xll.RasRatio(A12,$E$37,$E$37,"EBITDA","XI_29","LOCAL",,FALSE(),"AC",,1000000)</f>
        <v>449.70776364002074</v>
      </c>
      <c r="G47" s="106">
        <f>-_xll.RasRatio(A47,,$B$37,"Net Nakit",,,,,"C",,1000000)</f>
        <v>-1468.7564699999998</v>
      </c>
      <c r="H47" s="106">
        <f t="shared" si="18"/>
        <v>-0.69560679311719631</v>
      </c>
      <c r="I47" s="318">
        <f>_xll.RasFinancial(A47,"2026/3M",2400,"XI_29","LOCAL",,FALSE(),"AC",,1000000)</f>
        <v>32220.702526000001</v>
      </c>
    </row>
    <row r="48" spans="1:9" x14ac:dyDescent="0.25">
      <c r="A48" s="15" t="s">
        <v>612</v>
      </c>
      <c r="B48">
        <f>_xll.RasRatio(A13,$B$37,$B$37,"EBITDA","XI_29","LOCAL",,FALSE(),"AC",,1000000)</f>
        <v>-249.09331800000001</v>
      </c>
      <c r="C48" s="29">
        <f>_xll.RasRatio(A13,$C$37,$C$37,"EBITDA","XI_29","LOCAL",,FALSE(),"AC",,1000000)</f>
        <v>152.94465969721895</v>
      </c>
      <c r="D48" s="2">
        <f>_xll.RasRatio(A13,$D$37,$D$37,"EBITDA","XI_29","LOCAL",,FALSE(),"AC",,1000000)</f>
        <v>401.38737300000003</v>
      </c>
      <c r="E48" s="250">
        <f>_xll.RasRatio(A13,$E$37,$E$37,"EBITDA","XI_29","LOCAL",,FALSE(),"AC",,1000000)</f>
        <v>80.656348999999992</v>
      </c>
      <c r="G48" s="106">
        <f>-_xll.RasRatio(A48,,$B$37,"Net Nakit",,,,,"C",,1000000)</f>
        <v>-896.75339300000007</v>
      </c>
      <c r="H48" s="106">
        <f t="shared" si="18"/>
        <v>-2.3238270643016334</v>
      </c>
      <c r="I48" s="318">
        <f>_xll.RasFinancial(A48,"2026/3M",2400,"XI_29","LOCAL",,FALSE(),"AC",,1000000)</f>
        <v>13276.70861</v>
      </c>
    </row>
    <row r="49" spans="1:9" x14ac:dyDescent="0.25">
      <c r="A49" s="15" t="s">
        <v>613</v>
      </c>
      <c r="B49">
        <f>_xll.RasRatio(A14,$B$37,$B$37,"EBITDA","XI_29","LOCAL",,FALSE(),"AC",,1000000)</f>
        <v>57.662739000000002</v>
      </c>
      <c r="C49" s="29">
        <f>_xll.RasRatio(A14,$C$37,$C$37,"EBITDA","XI_29","LOCAL",,FALSE(),"AC",,1000000)</f>
        <v>97.275042737436095</v>
      </c>
      <c r="D49" s="2">
        <f>_xll.RasRatio(A14,$D$37,$D$37,"EBITDA","XI_29","LOCAL",,FALSE(),"AC",,1000000)</f>
        <v>89.125369000000006</v>
      </c>
      <c r="E49" s="250">
        <f>_xll.RasRatio(A14,$E$37,$E$37,"EBITDA","XI_29","LOCAL",,FALSE(),"AC",,1000000)</f>
        <v>106.024845</v>
      </c>
      <c r="G49" s="106">
        <f>-_xll.RasRatio(A49,,$B$37,"Net Nakit",,,,,"C",,1000000)</f>
        <v>3913.3189050000005</v>
      </c>
      <c r="H49" s="106">
        <f t="shared" si="18"/>
        <v>11.178100799362928</v>
      </c>
      <c r="I49" s="318">
        <f>_xll.RasFinancial(A49,"2026/3M",2400,"XI_29","LOCAL",,FALSE(),"AC",,1000000)</f>
        <v>2847.7185049999998</v>
      </c>
    </row>
    <row r="50" spans="1:9" x14ac:dyDescent="0.25">
      <c r="A50" s="15" t="s">
        <v>615</v>
      </c>
      <c r="B50">
        <f>_xll.RasRatio(A16,$B$37,$B$37,"EBITDA","XI_29","LOCAL",,FALSE(),"AC",,1000000)</f>
        <v>450.51274100000001</v>
      </c>
      <c r="C50" s="29">
        <f>_xll.RasRatio(A16,$C$37,$C$37,"EBITDA","XI_29","LOCAL",,FALSE(),"AC",,1000000)</f>
        <v>995.25667245830402</v>
      </c>
      <c r="D50" s="2">
        <f>_xll.RasRatio(A16,$D$37,$D$37,"EBITDA","XI_29","LOCAL",,FALSE(),"AC",,1000000)</f>
        <v>31.850700669543016</v>
      </c>
      <c r="E50" s="250">
        <f>_xll.RasRatio(A16,$E$37,$E$37,"EBITDA","XI_29","LOCAL",,FALSE(),"AC",,1000000)</f>
        <v>432.90224197293639</v>
      </c>
      <c r="G50" s="106">
        <f>-_xll.RasRatio(A50,,$B$37,"Net Nakit",,,,,"C",,1000000)</f>
        <v>8256.1981969999997</v>
      </c>
      <c r="H50" s="106">
        <f t="shared" si="18"/>
        <v>4.3214350099782193</v>
      </c>
      <c r="I50" s="318">
        <f>_xll.RasFinancial(A50,"2026/3M",2400,"XI_29","LOCAL",,FALSE(),"AC",,1000000)</f>
        <v>18418.307433999998</v>
      </c>
    </row>
    <row r="51" spans="1:9" x14ac:dyDescent="0.25">
      <c r="A51" s="15" t="s">
        <v>616</v>
      </c>
      <c r="B51">
        <f>_xll.RasRatio(A17,$B$37,$B$37,"EBITDA","XI_29","LOCAL",,FALSE(),"AC",,1000000)</f>
        <v>272.879032</v>
      </c>
      <c r="C51" s="29">
        <f>_xll.RasRatio(A17,$C$37,$C$37,"EBITDA","XI_29","LOCAL",,FALSE(),"AC",,1000000)</f>
        <v>88.008238859250213</v>
      </c>
      <c r="D51" s="2">
        <f>_xll.RasRatio(A17,$D$37,$D$37,"EBITDA","XI_29","LOCAL",,FALSE(),"AC",,1000000)</f>
        <v>89.289216206059194</v>
      </c>
      <c r="E51" s="250">
        <f>_xll.RasRatio(A17,$E$37,$E$37,"EBITDA","XI_29","LOCAL",,FALSE(),"AC",,1000000)</f>
        <v>123.094776</v>
      </c>
      <c r="G51" s="106">
        <f>-_xll.RasRatio(A51,,$B$37,"Net Nakit",,,,,"C",,1000000)</f>
        <v>-1478.3514270000001</v>
      </c>
      <c r="H51" s="106">
        <f t="shared" si="18"/>
        <v>-2.5787991170099525</v>
      </c>
      <c r="I51" s="318">
        <f>_xll.RasFinancial(A51,"2026/3M",2400,"XI_29","LOCAL",,FALSE(),"AC",,1000000)</f>
        <v>15692.062975000001</v>
      </c>
    </row>
    <row r="52" spans="1:9" x14ac:dyDescent="0.25">
      <c r="A52" s="15" t="s">
        <v>617</v>
      </c>
      <c r="B52">
        <f>_xll.RasRatio(A18,$B$37,$B$37,"EBITDA","XI_29","LOCAL",,FALSE(),"AC",,1000000)</f>
        <v>620.35199999999998</v>
      </c>
      <c r="C52" s="29">
        <f>_xll.RasRatio(A18,$C$37,$C$37,"EBITDA","XI_29","LOCAL",,FALSE(),"AC",,1000000)</f>
        <v>412.90805382178792</v>
      </c>
      <c r="D52" s="2">
        <f>_xll.RasRatio(A18,$D$37,$D$37,"EBITDA","XI_29","LOCAL",,FALSE(),"AC",,1000000)</f>
        <v>573.74399999999991</v>
      </c>
      <c r="E52" s="250">
        <f>_xll.RasRatio(A18,$E$37,$E$37,"EBITDA","XI_29","LOCAL",,FALSE(),"AC",,1000000)</f>
        <v>1298.865</v>
      </c>
      <c r="G52" s="106">
        <f>-_xll.RasRatio(A52,,$B$37,"Net Nakit",,,,,"C",,1000000)</f>
        <v>11618.955999999998</v>
      </c>
      <c r="H52" s="106">
        <f t="shared" si="18"/>
        <v>3.9984444532071368</v>
      </c>
      <c r="I52" s="318">
        <f>_xll.RasFinancial(A52,"2026/3M",2400,"XI_29","LOCAL",,FALSE(),"AC",,1000000)</f>
        <v>38509.459000000003</v>
      </c>
    </row>
    <row r="53" spans="1:9" x14ac:dyDescent="0.25">
      <c r="A53" s="15" t="s">
        <v>618</v>
      </c>
      <c r="B53">
        <f>_xll.RasRatio(A19,$B$37,$B$37,"EBITDA","XI_29","LOCAL",,FALSE(),"AC",,1000000)</f>
        <v>456.66648500000002</v>
      </c>
      <c r="C53" s="29">
        <f>_xll.RasRatio(A19,$C$37,$C$37,"EBITDA","XI_29","LOCAL",,FALSE(),"AC",,1000000)</f>
        <v>380.02107276962658</v>
      </c>
      <c r="D53" s="2">
        <f>_xll.RasRatio(A19,$D$37,$D$37,"EBITDA","XI_29","LOCAL",,FALSE(),"AC",,1000000)</f>
        <v>663.81166899999994</v>
      </c>
      <c r="E53" s="250">
        <f>_xll.RasRatio(A19,$E$37,$E$37,"EBITDA","XI_29","LOCAL",,FALSE(),"AC",,1000000)</f>
        <v>417.93426399999998</v>
      </c>
      <c r="G53" s="106">
        <f>-_xll.RasRatio(A53,,$B$37,"Net Nakit",,,,,"C",,1000000)</f>
        <v>1593.2408630000002</v>
      </c>
      <c r="H53" s="106">
        <f t="shared" si="18"/>
        <v>0.83049053859085442</v>
      </c>
      <c r="I53" s="318">
        <f>_xll.RasFinancial(A53,"2026/3M",2400,"XI_29","LOCAL",,FALSE(),"AC",,1000000)</f>
        <v>15688.842293</v>
      </c>
    </row>
    <row r="54" spans="1:9" x14ac:dyDescent="0.25">
      <c r="A54" s="15" t="s">
        <v>620</v>
      </c>
      <c r="B54">
        <f>_xll.RasRatio(A21,$B$37,$B$37,"EBITDA","XI_29","LOCAL",,FALSE(),"AC",,1000000)</f>
        <v>177.618852</v>
      </c>
      <c r="C54" s="29">
        <f>_xll.RasRatio(A21,$C$37,$C$37,"EBITDA","XI_29","LOCAL",,FALSE(),"AC",,1000000)</f>
        <v>579.86437803190245</v>
      </c>
      <c r="D54" s="2">
        <f>_xll.RasRatio(A21,$D$37,$D$37,"EBITDA","XI_29","LOCAL",,FALSE(),"AC",,1000000)</f>
        <v>889.71205176986302</v>
      </c>
      <c r="E54" s="250">
        <f>_xll.RasRatio(A21,$E$37,$E$37,"EBITDA","XI_29","LOCAL",,FALSE(),"AC",,1000000)</f>
        <v>88.271125275760141</v>
      </c>
      <c r="G54" s="106">
        <f>-_xll.RasRatio(A54,,$B$37,"Net Nakit",,,,,"C",,1000000)</f>
        <v>325.04677200000015</v>
      </c>
      <c r="H54" s="106">
        <f t="shared" si="18"/>
        <v>0.18729649313545019</v>
      </c>
      <c r="I54" s="318">
        <f>_xll.RasFinancial(A54,"2026/3M",2400,"XI_29","LOCAL",,FALSE(),"AC",,1000000)</f>
        <v>18078.434357999999</v>
      </c>
    </row>
    <row r="55" spans="1:9" x14ac:dyDescent="0.25">
      <c r="A55" s="15" t="s">
        <v>621</v>
      </c>
      <c r="B55">
        <f>_xll.RasRatio(A22,$B$37,$B$37,"EBITDA","XI_29","LOCAL",,FALSE(),"AC",,1000000)</f>
        <v>1.0163139999999942</v>
      </c>
      <c r="C55" s="29">
        <f>_xll.RasRatio(A22,$C$37,$C$37,"EBITDA","XI_29","LOCAL",,FALSE(),"AC",,1000000)</f>
        <v>1.9568348367002859</v>
      </c>
      <c r="D55" s="2">
        <f>_xll.RasRatio(A22,$D$37,$D$37,"EBITDA","XI_29","LOCAL",,FALSE(),"AC",,1000000)</f>
        <v>5.81359139829725</v>
      </c>
      <c r="E55" s="250">
        <f>_xll.RasRatio(A22,$E$37,$E$37,"EBITDA","XI_29","LOCAL",,FALSE(),"AC",,1000000)</f>
        <v>8.3679211262258093</v>
      </c>
      <c r="G55" s="106">
        <f>-_xll.RasRatio(A55,,$B$37,"Net Nakit",,,,,"C",,1000000)</f>
        <v>-25.327874000000001</v>
      </c>
      <c r="H55" s="106">
        <f t="shared" si="18"/>
        <v>-1.4764426686528198</v>
      </c>
      <c r="I55" s="318">
        <f>_xll.RasFinancial(A55,"2026/3M",2400,"XI_29","LOCAL",,FALSE(),"AC",,1000000)</f>
        <v>3279.5417339999999</v>
      </c>
    </row>
    <row r="56" spans="1:9" x14ac:dyDescent="0.25">
      <c r="A56" s="15" t="s">
        <v>622</v>
      </c>
      <c r="B56">
        <f>_xll.RasRatio(A23,$B$37,$B$37,"EBITDA","XI_29","LOCAL",,FALSE(),"AC",,1000000)</f>
        <v>2285.1020280000002</v>
      </c>
      <c r="C56" s="29">
        <f>_xll.RasRatio(A23,$C$37,$C$37,"EBITDA","XI_29","LOCAL",,FALSE(),"AC",,1000000)</f>
        <v>1818.3202389314874</v>
      </c>
      <c r="D56" s="2">
        <f>_xll.RasRatio(A23,$D$37,$D$37,"EBITDA","XI_29","LOCAL",,FALSE(),"AC",,1000000)</f>
        <v>1338.0522679999999</v>
      </c>
      <c r="E56" s="250">
        <f>_xll.RasRatio(A23,$E$37,$E$37,"EBITDA","XI_29","LOCAL",,FALSE(),"AC",,1000000)</f>
        <v>1617.1563050000002</v>
      </c>
      <c r="G56" s="106">
        <f>-_xll.RasRatio(A56,,$B$37,"Net Nakit",,,,,"C",,1000000)</f>
        <v>30095.211311999999</v>
      </c>
      <c r="H56" s="106">
        <f t="shared" si="18"/>
        <v>4.263604655700072</v>
      </c>
      <c r="I56" s="318">
        <f>_xll.RasFinancial(A56,"2026/3M",2400,"XI_29","LOCAL",,FALSE(),"AC",,1000000)</f>
        <v>97804.496461000002</v>
      </c>
    </row>
    <row r="57" spans="1:9" x14ac:dyDescent="0.25">
      <c r="A57" s="15" t="s">
        <v>624</v>
      </c>
      <c r="B57">
        <f>_xll.RasRatio(A25,$B$37,$B$37,"EBITDA","XI_29","LOCAL",,FALSE(),"AC",,1000000)</f>
        <v>-5.3335810000000023</v>
      </c>
      <c r="C57" s="29">
        <f>_xll.RasRatio(A25,$C$37,$C$37,"EBITDA","XI_29","LOCAL",,FALSE(),"AC",,1000000)</f>
        <v>-2.7692474794028872</v>
      </c>
      <c r="D57" s="2">
        <f>_xll.RasRatio(A25,$D$37,$D$37,"EBITDA","XI_29","LOCAL",,FALSE(),"AC",,1000000)</f>
        <v>6.2352659999999993</v>
      </c>
      <c r="E57" s="250">
        <f>_xll.RasRatio(A25,$E$37,$E$37,"EBITDA","XI_29","LOCAL",,FALSE(),"AC",,1000000)</f>
        <v>10.946607999999999</v>
      </c>
      <c r="G57" s="106">
        <f>-_xll.RasRatio(A57,,$B$37,"Net Nakit",,,,,"C",,1000000)</f>
        <v>-4.1217639999999998</v>
      </c>
      <c r="H57" s="106">
        <f t="shared" si="18"/>
        <v>-0.45398648906971451</v>
      </c>
      <c r="I57" s="318">
        <f>_xll.RasFinancial(A57,"2026/3M",2400,"XI_29","LOCAL",,FALSE(),"AC",,1000000)</f>
        <v>666.08808499999998</v>
      </c>
    </row>
    <row r="58" spans="1:9" x14ac:dyDescent="0.25">
      <c r="A58" s="15" t="s">
        <v>626</v>
      </c>
      <c r="B58">
        <f>_xll.RasRatio(A27,$B$37,$B$37,"EBITDA","XI_29","LOCAL",,FALSE(),"AC",,1000000)</f>
        <v>437.20143100000001</v>
      </c>
      <c r="C58" s="29">
        <f>_xll.RasRatio(A27,$C$37,$C$37,"EBITDA","XI_29","LOCAL",,FALSE(),"AC",,1000000)</f>
        <v>283.83999800000015</v>
      </c>
      <c r="D58" s="2">
        <f>_xll.RasRatio(A27,$D$37,$D$37,"EBITDA","XI_29","LOCAL",,FALSE(),"AC",,1000000)</f>
        <v>558.32442600000002</v>
      </c>
      <c r="E58" s="250">
        <f>_xll.RasRatio(A27,$E$37,$E$37,"EBITDA","XI_29","LOCAL",,FALSE(),"AC",,1000000)</f>
        <v>366.35173400000002</v>
      </c>
      <c r="G58" s="106">
        <f>-_xll.RasRatio(A58,,$B$37,"Net Nakit",,,,,"C",,1000000)</f>
        <v>6973.4524540000002</v>
      </c>
      <c r="H58" s="106">
        <f t="shared" si="18"/>
        <v>4.2373323956738727</v>
      </c>
      <c r="I58" s="318">
        <f>_xll.RasFinancial(A58,"2026/3M",2400,"XI_29","LOCAL",,FALSE(),"AC",,1000000)</f>
        <v>8297.3695750000006</v>
      </c>
    </row>
    <row r="59" spans="1:9" x14ac:dyDescent="0.25">
      <c r="A59" s="15" t="s">
        <v>627</v>
      </c>
      <c r="B59">
        <f>_xll.RasRatio(A28,$B$37,$B$37,"EBITDA","XI_29","LOCAL",,FALSE(),"AC",,1000000)</f>
        <v>-0.79958300000000193</v>
      </c>
      <c r="C59" s="29">
        <f>_xll.RasRatio(A28,$C$37,$C$37,"EBITDA","XI_29","LOCAL",,FALSE(),"AC",,1000000)</f>
        <v>-11.243771960876359</v>
      </c>
      <c r="D59" s="2">
        <f>_xll.RasRatio(A28,$D$37,$D$37,"EBITDA","XI_29","LOCAL",,FALSE(),"AC",,1000000)</f>
        <v>17.115661269466298</v>
      </c>
      <c r="E59" s="250">
        <f>_xll.RasRatio(A28,$E$37,$E$37,"EBITDA","XI_29","LOCAL",,FALSE(),"AC",,1000000)</f>
        <v>16.866127246132091</v>
      </c>
      <c r="G59" s="106">
        <f>-_xll.RasRatio(A59,,$B$37,"Net Nakit",,,,,"C",,1000000)</f>
        <v>463.82712199999997</v>
      </c>
      <c r="H59" s="106">
        <f t="shared" si="18"/>
        <v>21.142216961072219</v>
      </c>
      <c r="I59" s="318">
        <f>_xll.RasFinancial(A59,"2026/3M",2400,"XI_29","LOCAL",,FALSE(),"AC",,1000000)</f>
        <v>2447.6037419999998</v>
      </c>
    </row>
    <row r="60" spans="1:9" x14ac:dyDescent="0.25">
      <c r="A60" s="15" t="s">
        <v>628</v>
      </c>
      <c r="B60">
        <f>_xll.RasRatio(A29,$B$37,$B$37,"EBITDA","XI_29","LOCAL",,FALSE(),"AC",,1000000)</f>
        <v>946.2940000000001</v>
      </c>
      <c r="C60" s="29">
        <f>_xll.RasRatio(A29,$C$37,$C$37,"EBITDA","XI_29","LOCAL",,FALSE(),"AC",,1000000)</f>
        <v>-8.0599455988854061</v>
      </c>
      <c r="D60" s="2">
        <f>_xll.RasRatio(A29,$D$37,$D$37,"EBITDA","XI_29","LOCAL",,FALSE(),"AC",,1000000)</f>
        <v>3592.654</v>
      </c>
      <c r="E60" s="250">
        <f>_xll.RasRatio(A29,$E$37,$E$37,"EBITDA","XI_29","LOCAL",,FALSE(),"AC",,1000000)</f>
        <v>1630.9840000000002</v>
      </c>
      <c r="G60" s="106">
        <f>-_xll.RasRatio(A60,,$B$37,"Net Nakit",,,,,"C",,1000000)</f>
        <v>55179.190999999999</v>
      </c>
      <c r="H60" s="106">
        <f>G60/SUM(B60:E60)</f>
        <v>8.9549394263368836</v>
      </c>
      <c r="I60" s="318">
        <f>_xll.RasFinancial(A60,"2026/3M",2400,"XI_29","LOCAL",,FALSE(),"AC",,1000000)</f>
        <v>61080.040999999997</v>
      </c>
    </row>
    <row r="61" spans="1:9" x14ac:dyDescent="0.25">
      <c r="B61" s="27"/>
      <c r="C61" s="29"/>
    </row>
    <row r="62" spans="1:9" x14ac:dyDescent="0.25">
      <c r="B62" s="27"/>
      <c r="C62" s="29"/>
    </row>
    <row r="63" spans="1:9" x14ac:dyDescent="0.25">
      <c r="B63" s="27"/>
      <c r="C63" s="29"/>
    </row>
    <row r="64" spans="1:9" x14ac:dyDescent="0.25">
      <c r="B64" s="27"/>
      <c r="C64" s="29"/>
    </row>
    <row r="65" spans="2:3" x14ac:dyDescent="0.25">
      <c r="B65" s="27"/>
      <c r="C65" s="29"/>
    </row>
    <row r="66" spans="2:3" x14ac:dyDescent="0.25">
      <c r="B66" s="27"/>
      <c r="C66" s="29"/>
    </row>
    <row r="67" spans="2:3" x14ac:dyDescent="0.25">
      <c r="B67" s="27"/>
      <c r="C67" s="29"/>
    </row>
    <row r="68" spans="2:3" x14ac:dyDescent="0.25">
      <c r="B68" s="27"/>
      <c r="C68" s="29"/>
    </row>
    <row r="69" spans="2:3" x14ac:dyDescent="0.25">
      <c r="B69" s="27"/>
      <c r="C69" s="29"/>
    </row>
    <row r="70" spans="2:3" x14ac:dyDescent="0.25">
      <c r="B70" s="27"/>
      <c r="C70" s="29"/>
    </row>
    <row r="71" spans="2:3" x14ac:dyDescent="0.25">
      <c r="B71" s="27"/>
      <c r="C71" s="29"/>
    </row>
    <row r="72" spans="2:3" x14ac:dyDescent="0.25">
      <c r="B72" s="27"/>
      <c r="C72" s="29"/>
    </row>
    <row r="73" spans="2:3" x14ac:dyDescent="0.25">
      <c r="B73" s="27"/>
      <c r="C73" s="29"/>
    </row>
    <row r="74" spans="2:3" x14ac:dyDescent="0.25">
      <c r="B74" s="27"/>
      <c r="C74" s="29"/>
    </row>
    <row r="75" spans="2:3" x14ac:dyDescent="0.25">
      <c r="B75" s="27"/>
      <c r="C75" s="29"/>
    </row>
    <row r="76" spans="2:3" x14ac:dyDescent="0.25">
      <c r="B76" s="27"/>
      <c r="C76" s="29"/>
    </row>
    <row r="77" spans="2:3" x14ac:dyDescent="0.25">
      <c r="B77" s="27"/>
      <c r="C77" s="29"/>
    </row>
    <row r="78" spans="2:3" x14ac:dyDescent="0.25">
      <c r="B78" s="27"/>
      <c r="C78" s="29"/>
    </row>
    <row r="79" spans="2:3" x14ac:dyDescent="0.25">
      <c r="B79" s="27"/>
      <c r="C79" s="29"/>
    </row>
    <row r="80" spans="2:3" x14ac:dyDescent="0.25">
      <c r="B80" s="27"/>
      <c r="C80" s="29"/>
    </row>
    <row r="81" spans="2:3" x14ac:dyDescent="0.25">
      <c r="B81" s="27"/>
      <c r="C81" s="29"/>
    </row>
    <row r="82" spans="2:3" x14ac:dyDescent="0.25">
      <c r="B82" s="27"/>
      <c r="C82" s="29"/>
    </row>
    <row r="83" spans="2:3" x14ac:dyDescent="0.25">
      <c r="B83" s="27"/>
      <c r="C83" s="29"/>
    </row>
    <row r="84" spans="2:3" x14ac:dyDescent="0.25">
      <c r="B84" s="27"/>
      <c r="C84" s="29"/>
    </row>
    <row r="85" spans="2:3" x14ac:dyDescent="0.25">
      <c r="B85" s="27"/>
      <c r="C85" s="29"/>
    </row>
    <row r="86" spans="2:3" x14ac:dyDescent="0.25">
      <c r="B86" s="27"/>
      <c r="C86" s="29"/>
    </row>
    <row r="87" spans="2:3" x14ac:dyDescent="0.25">
      <c r="B87" s="27"/>
      <c r="C87" s="29"/>
    </row>
    <row r="88" spans="2:3" x14ac:dyDescent="0.25">
      <c r="B88" s="27"/>
      <c r="C88" s="29"/>
    </row>
    <row r="89" spans="2:3" x14ac:dyDescent="0.25">
      <c r="B89" s="27"/>
      <c r="C89" s="29"/>
    </row>
    <row r="90" spans="2:3" x14ac:dyDescent="0.25">
      <c r="B90" s="27"/>
      <c r="C90" s="29"/>
    </row>
    <row r="91" spans="2:3" x14ac:dyDescent="0.25">
      <c r="B91" s="27"/>
      <c r="C91" s="29"/>
    </row>
    <row r="92" spans="2:3" x14ac:dyDescent="0.25">
      <c r="B92" s="27"/>
      <c r="C92" s="29"/>
    </row>
    <row r="93" spans="2:3" x14ac:dyDescent="0.25">
      <c r="B93" s="27"/>
      <c r="C93" s="29"/>
    </row>
    <row r="94" spans="2:3" x14ac:dyDescent="0.25">
      <c r="B94" s="27"/>
      <c r="C94" s="29"/>
    </row>
    <row r="95" spans="2:3" x14ac:dyDescent="0.25">
      <c r="B95" s="27"/>
      <c r="C95" s="29"/>
    </row>
    <row r="96" spans="2:3" x14ac:dyDescent="0.25">
      <c r="B96" s="27"/>
      <c r="C96" s="29"/>
    </row>
    <row r="97" spans="2:3" x14ac:dyDescent="0.25">
      <c r="B97" s="27"/>
      <c r="C97" s="29"/>
    </row>
    <row r="98" spans="2:3" x14ac:dyDescent="0.25">
      <c r="B98" s="27"/>
      <c r="C98" s="29"/>
    </row>
    <row r="99" spans="2:3" x14ac:dyDescent="0.25">
      <c r="B99" s="27"/>
      <c r="C99" s="29"/>
    </row>
    <row r="100" spans="2:3" x14ac:dyDescent="0.25">
      <c r="B100" s="27"/>
      <c r="C100" s="29"/>
    </row>
    <row r="101" spans="2:3" x14ac:dyDescent="0.25">
      <c r="B101" s="27"/>
      <c r="C101" s="29"/>
    </row>
    <row r="102" spans="2:3" x14ac:dyDescent="0.25">
      <c r="B102" s="27"/>
      <c r="C102" s="29"/>
    </row>
    <row r="103" spans="2:3" x14ac:dyDescent="0.25">
      <c r="B103" s="27"/>
      <c r="C103" s="29"/>
    </row>
    <row r="104" spans="2:3" x14ac:dyDescent="0.25">
      <c r="B104" s="27"/>
      <c r="C104" s="29"/>
    </row>
    <row r="105" spans="2:3" x14ac:dyDescent="0.25">
      <c r="B105" s="27"/>
      <c r="C105" s="29"/>
    </row>
    <row r="106" spans="2:3" x14ac:dyDescent="0.25">
      <c r="B106" s="27"/>
      <c r="C106" s="29"/>
    </row>
    <row r="107" spans="2:3" x14ac:dyDescent="0.25">
      <c r="B107" s="27"/>
      <c r="C107" s="29"/>
    </row>
    <row r="108" spans="2:3" x14ac:dyDescent="0.25">
      <c r="B108" s="27"/>
      <c r="C108" s="29"/>
    </row>
    <row r="109" spans="2:3" x14ac:dyDescent="0.25">
      <c r="B109" s="27"/>
      <c r="C109" s="29"/>
    </row>
    <row r="110" spans="2:3" x14ac:dyDescent="0.25">
      <c r="B110" s="27"/>
      <c r="C110" s="29"/>
    </row>
    <row r="111" spans="2:3" x14ac:dyDescent="0.25">
      <c r="B111" s="27"/>
      <c r="C111" s="29"/>
    </row>
    <row r="112" spans="2:3" x14ac:dyDescent="0.25">
      <c r="B112" s="27"/>
      <c r="C112" s="29"/>
    </row>
    <row r="113" spans="2:3" x14ac:dyDescent="0.25">
      <c r="B113" s="27"/>
      <c r="C113" s="29"/>
    </row>
    <row r="114" spans="2:3" x14ac:dyDescent="0.25">
      <c r="B114" s="27"/>
      <c r="C114" s="29"/>
    </row>
    <row r="115" spans="2:3" x14ac:dyDescent="0.25">
      <c r="B115" s="27"/>
      <c r="C115" s="29"/>
    </row>
    <row r="116" spans="2:3" x14ac:dyDescent="0.25">
      <c r="B116" s="27"/>
      <c r="C116" s="29"/>
    </row>
    <row r="117" spans="2:3" x14ac:dyDescent="0.25">
      <c r="B117" s="27"/>
      <c r="C117" s="29"/>
    </row>
    <row r="118" spans="2:3" x14ac:dyDescent="0.25">
      <c r="B118" s="27"/>
      <c r="C118" s="29"/>
    </row>
    <row r="119" spans="2:3" x14ac:dyDescent="0.25">
      <c r="B119" s="27"/>
      <c r="C119" s="29"/>
    </row>
    <row r="120" spans="2:3" x14ac:dyDescent="0.25">
      <c r="B120" s="27"/>
      <c r="C120" s="29"/>
    </row>
    <row r="121" spans="2:3" x14ac:dyDescent="0.25">
      <c r="B121" s="27"/>
      <c r="C121" s="29"/>
    </row>
    <row r="122" spans="2:3" x14ac:dyDescent="0.25">
      <c r="B122" s="27"/>
      <c r="C122" s="29"/>
    </row>
    <row r="123" spans="2:3" x14ac:dyDescent="0.25">
      <c r="B123" s="27"/>
      <c r="C123" s="29"/>
    </row>
    <row r="124" spans="2:3" x14ac:dyDescent="0.25">
      <c r="B124" s="27"/>
      <c r="C124" s="29"/>
    </row>
    <row r="125" spans="2:3" x14ac:dyDescent="0.25">
      <c r="B125" s="27"/>
      <c r="C125" s="29"/>
    </row>
    <row r="126" spans="2:3" x14ac:dyDescent="0.25">
      <c r="B126" s="27"/>
      <c r="C126" s="29"/>
    </row>
    <row r="127" spans="2:3" x14ac:dyDescent="0.25">
      <c r="B127" s="27"/>
      <c r="C127" s="29"/>
    </row>
    <row r="128" spans="2:3" x14ac:dyDescent="0.25">
      <c r="B128" s="27"/>
      <c r="C128" s="29"/>
    </row>
    <row r="129" spans="2:3" x14ac:dyDescent="0.25">
      <c r="B129" s="27"/>
      <c r="C129" s="29"/>
    </row>
    <row r="130" spans="2:3" x14ac:dyDescent="0.25">
      <c r="B130" s="27"/>
      <c r="C130" s="29"/>
    </row>
    <row r="131" spans="2:3" x14ac:dyDescent="0.25">
      <c r="B131" s="27"/>
      <c r="C131" s="29"/>
    </row>
    <row r="132" spans="2:3" x14ac:dyDescent="0.25">
      <c r="B132" s="27"/>
      <c r="C132" s="29"/>
    </row>
    <row r="133" spans="2:3" x14ac:dyDescent="0.25">
      <c r="B133" s="27"/>
      <c r="C133" s="29"/>
    </row>
    <row r="134" spans="2:3" x14ac:dyDescent="0.25">
      <c r="B134" s="27"/>
      <c r="C134" s="29"/>
    </row>
    <row r="135" spans="2:3" x14ac:dyDescent="0.25">
      <c r="B135" s="27"/>
      <c r="C135" s="29"/>
    </row>
    <row r="136" spans="2:3" x14ac:dyDescent="0.25">
      <c r="B136" s="27"/>
      <c r="C136" s="29"/>
    </row>
    <row r="137" spans="2:3" x14ac:dyDescent="0.25">
      <c r="B137" s="27"/>
      <c r="C137" s="29"/>
    </row>
    <row r="138" spans="2:3" x14ac:dyDescent="0.25">
      <c r="B138" s="27"/>
      <c r="C138" s="29"/>
    </row>
    <row r="139" spans="2:3" x14ac:dyDescent="0.25">
      <c r="B139" s="27"/>
      <c r="C139" s="29"/>
    </row>
    <row r="140" spans="2:3" x14ac:dyDescent="0.25">
      <c r="B140" s="27"/>
      <c r="C140" s="29"/>
    </row>
    <row r="141" spans="2:3" x14ac:dyDescent="0.25">
      <c r="B141" s="27"/>
      <c r="C141" s="29"/>
    </row>
    <row r="142" spans="2:3" x14ac:dyDescent="0.25">
      <c r="B142" s="27"/>
      <c r="C142" s="29"/>
    </row>
    <row r="143" spans="2:3" x14ac:dyDescent="0.25">
      <c r="B143" s="27"/>
      <c r="C143" s="29"/>
    </row>
    <row r="144" spans="2:3" x14ac:dyDescent="0.25">
      <c r="B144" s="27"/>
      <c r="C144" s="29"/>
    </row>
    <row r="145" spans="2:3" x14ac:dyDescent="0.25">
      <c r="B145" s="27"/>
      <c r="C145" s="29"/>
    </row>
    <row r="146" spans="2:3" x14ac:dyDescent="0.25">
      <c r="B146" s="27"/>
      <c r="C146" s="29"/>
    </row>
    <row r="147" spans="2:3" x14ac:dyDescent="0.25">
      <c r="B147" s="27"/>
      <c r="C147" s="29"/>
    </row>
    <row r="148" spans="2:3" x14ac:dyDescent="0.25">
      <c r="B148" s="27"/>
      <c r="C148" s="29"/>
    </row>
    <row r="149" spans="2:3" x14ac:dyDescent="0.25">
      <c r="B149" s="27"/>
      <c r="C149" s="29"/>
    </row>
    <row r="150" spans="2:3" x14ac:dyDescent="0.25">
      <c r="B150" s="27"/>
      <c r="C150" s="29"/>
    </row>
    <row r="151" spans="2:3" x14ac:dyDescent="0.25">
      <c r="B151" s="27"/>
      <c r="C151" s="29"/>
    </row>
    <row r="152" spans="2:3" x14ac:dyDescent="0.25">
      <c r="B152" s="27"/>
      <c r="C152" s="29"/>
    </row>
    <row r="153" spans="2:3" x14ac:dyDescent="0.25">
      <c r="B153" s="27"/>
      <c r="C153" s="29"/>
    </row>
    <row r="154" spans="2:3" x14ac:dyDescent="0.25">
      <c r="B154" s="27"/>
      <c r="C154" s="29"/>
    </row>
    <row r="155" spans="2:3" x14ac:dyDescent="0.25">
      <c r="B155" s="27"/>
      <c r="C155" s="29"/>
    </row>
    <row r="156" spans="2:3" x14ac:dyDescent="0.25">
      <c r="B156" s="27"/>
      <c r="C156" s="29"/>
    </row>
    <row r="157" spans="2:3" x14ac:dyDescent="0.25">
      <c r="B157" s="27"/>
      <c r="C157" s="29"/>
    </row>
    <row r="158" spans="2:3" x14ac:dyDescent="0.25">
      <c r="B158" s="27"/>
      <c r="C158" s="29"/>
    </row>
    <row r="159" spans="2:3" x14ac:dyDescent="0.25">
      <c r="B159" s="27"/>
      <c r="C159" s="29"/>
    </row>
    <row r="160" spans="2:3" x14ac:dyDescent="0.25">
      <c r="B160" s="27"/>
      <c r="C160" s="29"/>
    </row>
    <row r="161" spans="2:3" x14ac:dyDescent="0.25">
      <c r="B161" s="27"/>
      <c r="C161" s="29"/>
    </row>
    <row r="162" spans="2:3" x14ac:dyDescent="0.25">
      <c r="B162" s="27"/>
      <c r="C162" s="29"/>
    </row>
    <row r="163" spans="2:3" x14ac:dyDescent="0.25">
      <c r="B163" s="27"/>
      <c r="C163" s="29"/>
    </row>
    <row r="164" spans="2:3" x14ac:dyDescent="0.25">
      <c r="B164" s="27"/>
      <c r="C164" s="29"/>
    </row>
    <row r="165" spans="2:3" x14ac:dyDescent="0.25">
      <c r="B165" s="27"/>
      <c r="C165" s="29"/>
    </row>
    <row r="166" spans="2:3" x14ac:dyDescent="0.25">
      <c r="B166" s="27"/>
      <c r="C166" s="29"/>
    </row>
    <row r="167" spans="2:3" x14ac:dyDescent="0.25">
      <c r="B167" s="27"/>
      <c r="C167" s="29"/>
    </row>
    <row r="168" spans="2:3" x14ac:dyDescent="0.25">
      <c r="B168" s="27"/>
      <c r="C168" s="29"/>
    </row>
    <row r="169" spans="2:3" x14ac:dyDescent="0.25">
      <c r="B169" s="27"/>
      <c r="C169" s="29"/>
    </row>
    <row r="170" spans="2:3" x14ac:dyDescent="0.25">
      <c r="B170" s="27"/>
      <c r="C170" s="29"/>
    </row>
    <row r="171" spans="2:3" x14ac:dyDescent="0.25">
      <c r="B171" s="27"/>
      <c r="C171" s="29"/>
    </row>
    <row r="172" spans="2:3" x14ac:dyDescent="0.25">
      <c r="B172" s="27"/>
      <c r="C172" s="29"/>
    </row>
    <row r="173" spans="2:3" x14ac:dyDescent="0.25">
      <c r="B173" s="27"/>
      <c r="C173" s="29"/>
    </row>
    <row r="174" spans="2:3" x14ac:dyDescent="0.25">
      <c r="B174" s="27"/>
      <c r="C174" s="29"/>
    </row>
    <row r="175" spans="2:3" x14ac:dyDescent="0.25">
      <c r="B175" s="27"/>
      <c r="C175" s="29"/>
    </row>
    <row r="176" spans="2:3" x14ac:dyDescent="0.25">
      <c r="B176" s="27"/>
      <c r="C176" s="29"/>
    </row>
    <row r="177" spans="2:3" x14ac:dyDescent="0.25">
      <c r="B177" s="27"/>
      <c r="C177" s="29"/>
    </row>
    <row r="178" spans="2:3" x14ac:dyDescent="0.25">
      <c r="B178" s="27"/>
      <c r="C178" s="29"/>
    </row>
    <row r="179" spans="2:3" x14ac:dyDescent="0.25">
      <c r="B179" s="27"/>
      <c r="C179" s="29"/>
    </row>
    <row r="180" spans="2:3" x14ac:dyDescent="0.25">
      <c r="B180" s="27"/>
      <c r="C180" s="29"/>
    </row>
    <row r="181" spans="2:3" x14ac:dyDescent="0.25">
      <c r="B181" s="27"/>
      <c r="C181" s="29"/>
    </row>
    <row r="182" spans="2:3" x14ac:dyDescent="0.25">
      <c r="B182" s="27"/>
      <c r="C182" s="29"/>
    </row>
    <row r="183" spans="2:3" x14ac:dyDescent="0.25">
      <c r="B183" s="27"/>
      <c r="C183" s="29"/>
    </row>
    <row r="184" spans="2:3" x14ac:dyDescent="0.25">
      <c r="B184" s="27"/>
      <c r="C184" s="29"/>
    </row>
    <row r="185" spans="2:3" x14ac:dyDescent="0.25">
      <c r="B185" s="27"/>
      <c r="C185" s="29"/>
    </row>
    <row r="186" spans="2:3" x14ac:dyDescent="0.25">
      <c r="B186" s="27"/>
      <c r="C186" s="29"/>
    </row>
    <row r="187" spans="2:3" x14ac:dyDescent="0.25">
      <c r="B187" s="27"/>
      <c r="C187" s="29"/>
    </row>
    <row r="188" spans="2:3" x14ac:dyDescent="0.25">
      <c r="B188" s="27"/>
      <c r="C188" s="29"/>
    </row>
    <row r="189" spans="2:3" x14ac:dyDescent="0.25">
      <c r="B189" s="27"/>
      <c r="C189" s="29"/>
    </row>
    <row r="190" spans="2:3" x14ac:dyDescent="0.25">
      <c r="B190" s="27"/>
      <c r="C190" s="29"/>
    </row>
    <row r="191" spans="2:3" x14ac:dyDescent="0.25">
      <c r="B191" s="27"/>
      <c r="C191" s="29"/>
    </row>
    <row r="192" spans="2:3" x14ac:dyDescent="0.25">
      <c r="B192" s="27"/>
      <c r="C192" s="29"/>
    </row>
    <row r="193" spans="2:3" x14ac:dyDescent="0.25">
      <c r="B193" s="27"/>
      <c r="C193" s="29"/>
    </row>
    <row r="194" spans="2:3" x14ac:dyDescent="0.25">
      <c r="B194" s="27"/>
      <c r="C194" s="29"/>
    </row>
    <row r="195" spans="2:3" x14ac:dyDescent="0.25">
      <c r="B195" s="27"/>
      <c r="C195" s="29"/>
    </row>
    <row r="196" spans="2:3" x14ac:dyDescent="0.25">
      <c r="B196" s="27"/>
      <c r="C196" s="29"/>
    </row>
    <row r="197" spans="2:3" x14ac:dyDescent="0.25">
      <c r="B197" s="27"/>
      <c r="C197" s="29"/>
    </row>
    <row r="198" spans="2:3" x14ac:dyDescent="0.25">
      <c r="B198" s="27"/>
      <c r="C198" s="29"/>
    </row>
    <row r="199" spans="2:3" x14ac:dyDescent="0.25">
      <c r="B199" s="27"/>
      <c r="C199" s="29"/>
    </row>
    <row r="200" spans="2:3" x14ac:dyDescent="0.25">
      <c r="B200" s="27"/>
      <c r="C200" s="29"/>
    </row>
    <row r="201" spans="2:3" x14ac:dyDescent="0.25">
      <c r="B201" s="27"/>
      <c r="C201" s="29"/>
    </row>
    <row r="202" spans="2:3" x14ac:dyDescent="0.25">
      <c r="B202" s="27"/>
      <c r="C202" s="29"/>
    </row>
    <row r="203" spans="2:3" x14ac:dyDescent="0.25">
      <c r="B203" s="27"/>
      <c r="C203" s="29"/>
    </row>
    <row r="204" spans="2:3" x14ac:dyDescent="0.25">
      <c r="B204" s="27"/>
      <c r="C204" s="29"/>
    </row>
    <row r="205" spans="2:3" x14ac:dyDescent="0.25">
      <c r="B205" s="27"/>
      <c r="C205" s="29"/>
    </row>
    <row r="206" spans="2:3" x14ac:dyDescent="0.25">
      <c r="B206" s="27"/>
      <c r="C206" s="29"/>
    </row>
    <row r="207" spans="2:3" x14ac:dyDescent="0.25">
      <c r="B207" s="27"/>
      <c r="C207" s="29"/>
    </row>
    <row r="208" spans="2:3" x14ac:dyDescent="0.25">
      <c r="B208" s="27"/>
      <c r="C208" s="29"/>
    </row>
    <row r="209" spans="2:3" x14ac:dyDescent="0.25">
      <c r="B209" s="27"/>
      <c r="C209" s="29"/>
    </row>
    <row r="210" spans="2:3" x14ac:dyDescent="0.25">
      <c r="B210" s="27"/>
      <c r="C210" s="29"/>
    </row>
    <row r="211" spans="2:3" x14ac:dyDescent="0.25">
      <c r="B211" s="27"/>
      <c r="C211" s="29"/>
    </row>
    <row r="212" spans="2:3" x14ac:dyDescent="0.25">
      <c r="B212" s="27"/>
      <c r="C212" s="29"/>
    </row>
    <row r="213" spans="2:3" x14ac:dyDescent="0.25">
      <c r="B213" s="27"/>
      <c r="C213" s="29"/>
    </row>
    <row r="214" spans="2:3" x14ac:dyDescent="0.25">
      <c r="B214" s="27"/>
      <c r="C214" s="29"/>
    </row>
    <row r="215" spans="2:3" x14ac:dyDescent="0.25">
      <c r="B215" s="27"/>
      <c r="C215" s="29"/>
    </row>
    <row r="216" spans="2:3" x14ac:dyDescent="0.25">
      <c r="B216" s="27"/>
      <c r="C216" s="29"/>
    </row>
    <row r="217" spans="2:3" x14ac:dyDescent="0.25">
      <c r="B217" s="27"/>
      <c r="C217" s="29"/>
    </row>
    <row r="218" spans="2:3" x14ac:dyDescent="0.25">
      <c r="B218" s="27"/>
      <c r="C218" s="29"/>
    </row>
    <row r="219" spans="2:3" x14ac:dyDescent="0.25">
      <c r="B219" s="27"/>
      <c r="C219" s="29"/>
    </row>
    <row r="220" spans="2:3" x14ac:dyDescent="0.25">
      <c r="B220" s="27"/>
      <c r="C220" s="29"/>
    </row>
    <row r="221" spans="2:3" x14ac:dyDescent="0.25">
      <c r="B221" s="27"/>
      <c r="C221" s="29"/>
    </row>
    <row r="222" spans="2:3" x14ac:dyDescent="0.25">
      <c r="B222" s="27"/>
      <c r="C222" s="29"/>
    </row>
    <row r="223" spans="2:3" x14ac:dyDescent="0.25">
      <c r="B223" s="27"/>
      <c r="C223" s="29"/>
    </row>
    <row r="224" spans="2:3" x14ac:dyDescent="0.25">
      <c r="B224" s="27"/>
      <c r="C224" s="29"/>
    </row>
    <row r="225" spans="2:3" x14ac:dyDescent="0.25">
      <c r="B225" s="27"/>
      <c r="C225" s="29"/>
    </row>
    <row r="226" spans="2:3" x14ac:dyDescent="0.25">
      <c r="B226" s="27"/>
      <c r="C226" s="29"/>
    </row>
    <row r="227" spans="2:3" x14ac:dyDescent="0.25">
      <c r="B227" s="27"/>
      <c r="C227" s="29"/>
    </row>
    <row r="228" spans="2:3" x14ac:dyDescent="0.25">
      <c r="B228" s="27"/>
      <c r="C228" s="29"/>
    </row>
    <row r="229" spans="2:3" x14ac:dyDescent="0.25">
      <c r="B229" s="27"/>
      <c r="C229" s="29"/>
    </row>
    <row r="230" spans="2:3" x14ac:dyDescent="0.25">
      <c r="B230" s="27"/>
      <c r="C230" s="29"/>
    </row>
    <row r="231" spans="2:3" x14ac:dyDescent="0.25">
      <c r="B231" s="27"/>
      <c r="C231" s="29"/>
    </row>
    <row r="232" spans="2:3" x14ac:dyDescent="0.25">
      <c r="B232" s="27"/>
      <c r="C232" s="29"/>
    </row>
    <row r="233" spans="2:3" x14ac:dyDescent="0.25">
      <c r="B233" s="27"/>
      <c r="C233" s="29"/>
    </row>
    <row r="234" spans="2:3" x14ac:dyDescent="0.25">
      <c r="B234" s="27"/>
      <c r="C234" s="29"/>
    </row>
    <row r="235" spans="2:3" x14ac:dyDescent="0.25">
      <c r="B235" s="27"/>
      <c r="C235" s="29"/>
    </row>
    <row r="236" spans="2:3" x14ac:dyDescent="0.25">
      <c r="B236" s="27"/>
      <c r="C236" s="29"/>
    </row>
    <row r="237" spans="2:3" x14ac:dyDescent="0.25">
      <c r="B237" s="27"/>
      <c r="C237" s="29"/>
    </row>
    <row r="238" spans="2:3" x14ac:dyDescent="0.25">
      <c r="B238" s="27"/>
      <c r="C238" s="29"/>
    </row>
    <row r="239" spans="2:3" x14ac:dyDescent="0.25">
      <c r="B239" s="27"/>
      <c r="C239" s="29"/>
    </row>
    <row r="240" spans="2:3" x14ac:dyDescent="0.25">
      <c r="B240" s="27"/>
      <c r="C240" s="29"/>
    </row>
    <row r="241" spans="2:3" x14ac:dyDescent="0.25">
      <c r="B241" s="27"/>
      <c r="C241" s="29"/>
    </row>
    <row r="242" spans="2:3" x14ac:dyDescent="0.25">
      <c r="B242" s="27"/>
      <c r="C242" s="29"/>
    </row>
    <row r="243" spans="2:3" x14ac:dyDescent="0.25">
      <c r="B243" s="27"/>
      <c r="C243" s="29"/>
    </row>
    <row r="244" spans="2:3" x14ac:dyDescent="0.25">
      <c r="B244" s="27"/>
      <c r="C244" s="29"/>
    </row>
    <row r="245" spans="2:3" x14ac:dyDescent="0.25">
      <c r="B245" s="27"/>
      <c r="C245" s="29"/>
    </row>
    <row r="246" spans="2:3" x14ac:dyDescent="0.25">
      <c r="B246" s="27"/>
      <c r="C246" s="29"/>
    </row>
    <row r="247" spans="2:3" x14ac:dyDescent="0.25">
      <c r="B247" s="27"/>
      <c r="C247" s="29"/>
    </row>
    <row r="248" spans="2:3" x14ac:dyDescent="0.25">
      <c r="B248" s="27"/>
      <c r="C248" s="29"/>
    </row>
    <row r="249" spans="2:3" x14ac:dyDescent="0.25">
      <c r="B249" s="27"/>
      <c r="C249" s="29"/>
    </row>
    <row r="250" spans="2:3" x14ac:dyDescent="0.25">
      <c r="B250" s="27"/>
      <c r="C250" s="29"/>
    </row>
    <row r="251" spans="2:3" x14ac:dyDescent="0.25">
      <c r="B251" s="27"/>
      <c r="C251" s="29"/>
    </row>
    <row r="252" spans="2:3" x14ac:dyDescent="0.25">
      <c r="B252" s="27"/>
      <c r="C252" s="29"/>
    </row>
    <row r="253" spans="2:3" x14ac:dyDescent="0.25">
      <c r="B253" s="27"/>
      <c r="C253" s="29"/>
    </row>
    <row r="254" spans="2:3" x14ac:dyDescent="0.25">
      <c r="B254" s="27"/>
      <c r="C254" s="29"/>
    </row>
    <row r="255" spans="2:3" x14ac:dyDescent="0.25">
      <c r="B255" s="27"/>
      <c r="C255" s="29"/>
    </row>
    <row r="256" spans="2:3" x14ac:dyDescent="0.25">
      <c r="B256" s="27"/>
      <c r="C256" s="29"/>
    </row>
    <row r="257" spans="2:3" x14ac:dyDescent="0.25">
      <c r="B257" s="27"/>
      <c r="C257" s="29"/>
    </row>
    <row r="258" spans="2:3" x14ac:dyDescent="0.25">
      <c r="B258" s="27"/>
      <c r="C258" s="29"/>
    </row>
    <row r="259" spans="2:3" x14ac:dyDescent="0.25">
      <c r="B259" s="27"/>
      <c r="C259" s="29"/>
    </row>
    <row r="260" spans="2:3" x14ac:dyDescent="0.25">
      <c r="B260" s="27"/>
      <c r="C260" s="29"/>
    </row>
    <row r="261" spans="2:3" x14ac:dyDescent="0.25">
      <c r="B261" s="27"/>
      <c r="C261" s="29"/>
    </row>
    <row r="262" spans="2:3" x14ac:dyDescent="0.25">
      <c r="B262" s="27"/>
      <c r="C262" s="29"/>
    </row>
    <row r="263" spans="2:3" x14ac:dyDescent="0.25">
      <c r="B263" s="27"/>
      <c r="C263" s="29"/>
    </row>
    <row r="264" spans="2:3" x14ac:dyDescent="0.25">
      <c r="B264" s="27"/>
      <c r="C264" s="29"/>
    </row>
    <row r="265" spans="2:3" x14ac:dyDescent="0.25">
      <c r="B265" s="27"/>
      <c r="C265" s="29"/>
    </row>
    <row r="266" spans="2:3" x14ac:dyDescent="0.25">
      <c r="B266" s="27"/>
      <c r="C266" s="29"/>
    </row>
    <row r="267" spans="2:3" x14ac:dyDescent="0.25">
      <c r="B267" s="27"/>
      <c r="C267" s="29"/>
    </row>
    <row r="268" spans="2:3" x14ac:dyDescent="0.25">
      <c r="B268" s="27"/>
      <c r="C268" s="29"/>
    </row>
    <row r="269" spans="2:3" x14ac:dyDescent="0.25">
      <c r="B269" s="27"/>
      <c r="C269" s="29"/>
    </row>
    <row r="270" spans="2:3" x14ac:dyDescent="0.25">
      <c r="B270" s="27"/>
      <c r="C270" s="29"/>
    </row>
    <row r="271" spans="2:3" x14ac:dyDescent="0.25">
      <c r="B271" s="27"/>
      <c r="C271" s="29"/>
    </row>
    <row r="272" spans="2:3" x14ac:dyDescent="0.25">
      <c r="B272" s="27"/>
      <c r="C272" s="29"/>
    </row>
    <row r="273" spans="2:3" x14ac:dyDescent="0.25">
      <c r="B273" s="27"/>
      <c r="C273" s="29"/>
    </row>
    <row r="274" spans="2:3" x14ac:dyDescent="0.25">
      <c r="B274" s="27"/>
      <c r="C274" s="29"/>
    </row>
    <row r="275" spans="2:3" x14ac:dyDescent="0.25">
      <c r="B275" s="27"/>
      <c r="C275" s="29"/>
    </row>
    <row r="276" spans="2:3" x14ac:dyDescent="0.25">
      <c r="B276" s="27"/>
      <c r="C276" s="29"/>
    </row>
    <row r="277" spans="2:3" x14ac:dyDescent="0.25">
      <c r="B277" s="27"/>
      <c r="C277" s="29"/>
    </row>
    <row r="278" spans="2:3" x14ac:dyDescent="0.25">
      <c r="B278" s="25"/>
      <c r="C278" s="25"/>
    </row>
    <row r="279" spans="2:3" x14ac:dyDescent="0.25">
      <c r="B279" s="25"/>
      <c r="C279" s="25"/>
    </row>
    <row r="280" spans="2:3" x14ac:dyDescent="0.25">
      <c r="B280" s="25"/>
      <c r="C280" s="25"/>
    </row>
    <row r="281" spans="2:3" x14ac:dyDescent="0.25">
      <c r="B281" s="25"/>
      <c r="C281" s="25"/>
    </row>
  </sheetData>
  <autoFilter ref="A1:AH1" xr:uid="{00000000-0001-0000-0000-000000000000}"/>
  <conditionalFormatting sqref="A33:A35">
    <cfRule type="duplicateValues" dxfId="1" priority="1"/>
  </conditionalFormatting>
  <conditionalFormatting sqref="B33">
    <cfRule type="duplicateValues" dxfId="0" priority="2"/>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83BB8-436E-4201-9E8F-E37AF9A87257}">
  <dimension ref="A1:G21"/>
  <sheetViews>
    <sheetView topLeftCell="A10" workbookViewId="0">
      <selection activeCell="I20" sqref="I20"/>
    </sheetView>
  </sheetViews>
  <sheetFormatPr defaultRowHeight="15" x14ac:dyDescent="0.25"/>
  <cols>
    <col min="1" max="1" width="12.5703125" bestFit="1" customWidth="1"/>
    <col min="2" max="7" width="12.42578125" bestFit="1" customWidth="1"/>
  </cols>
  <sheetData>
    <row r="1" spans="1:7" x14ac:dyDescent="0.25">
      <c r="A1" t="s">
        <v>786</v>
      </c>
      <c r="B1" t="s">
        <v>756</v>
      </c>
      <c r="C1" t="s">
        <v>757</v>
      </c>
      <c r="D1" t="s">
        <v>758</v>
      </c>
      <c r="E1" t="s">
        <v>759</v>
      </c>
      <c r="F1" t="s">
        <v>760</v>
      </c>
      <c r="G1" t="s">
        <v>761</v>
      </c>
    </row>
    <row r="2" spans="1:7" x14ac:dyDescent="0.25">
      <c r="A2" t="s">
        <v>32</v>
      </c>
      <c r="B2" s="278">
        <v>20947164.93</v>
      </c>
      <c r="C2" s="278">
        <v>12220441.359999999</v>
      </c>
      <c r="D2" s="278">
        <v>23756049.25</v>
      </c>
      <c r="E2" s="278">
        <v>21440711.260000002</v>
      </c>
      <c r="F2" s="278">
        <v>12712374.74</v>
      </c>
      <c r="G2" s="278">
        <v>7337652.5</v>
      </c>
    </row>
    <row r="3" spans="1:7" x14ac:dyDescent="0.25">
      <c r="A3" t="s">
        <v>771</v>
      </c>
      <c r="B3" s="278">
        <v>10582363.16</v>
      </c>
      <c r="C3" s="278">
        <v>12191756.220000001</v>
      </c>
      <c r="D3" s="278">
        <v>10859817.109999999</v>
      </c>
      <c r="E3" s="278">
        <v>7743441.79</v>
      </c>
      <c r="F3" s="278">
        <v>16740874.09</v>
      </c>
      <c r="G3" s="278">
        <v>25603664.949999999</v>
      </c>
    </row>
    <row r="4" spans="1:7" x14ac:dyDescent="0.25">
      <c r="A4" t="s">
        <v>772</v>
      </c>
      <c r="B4" s="278">
        <v>8987910.3499999996</v>
      </c>
      <c r="C4" s="278">
        <v>8995259.2699999996</v>
      </c>
      <c r="D4" s="278">
        <v>10452822.289999999</v>
      </c>
      <c r="E4" s="278">
        <v>10424846.939999999</v>
      </c>
      <c r="F4" s="278">
        <v>9475904.4600000009</v>
      </c>
      <c r="G4" s="278">
        <v>8690906.0099999998</v>
      </c>
    </row>
    <row r="5" spans="1:7" x14ac:dyDescent="0.25">
      <c r="A5" t="s">
        <v>773</v>
      </c>
      <c r="B5" s="278">
        <v>3750644.38</v>
      </c>
      <c r="C5" s="278">
        <v>7283644.8200000003</v>
      </c>
      <c r="D5" s="278">
        <v>2543309.77</v>
      </c>
      <c r="E5" s="278">
        <v>2260629.29</v>
      </c>
      <c r="F5" s="278">
        <v>6269044.5099999998</v>
      </c>
      <c r="G5" s="278">
        <v>8208168.54</v>
      </c>
    </row>
    <row r="6" spans="1:7" x14ac:dyDescent="0.25">
      <c r="A6" t="s">
        <v>774</v>
      </c>
      <c r="B6" s="278">
        <v>19641394.699999999</v>
      </c>
      <c r="C6" s="278">
        <v>14251330.560000001</v>
      </c>
      <c r="D6" s="278">
        <v>21191763.41</v>
      </c>
      <c r="E6" s="278">
        <v>21028349.109999999</v>
      </c>
      <c r="F6" s="278">
        <v>17066860.890000001</v>
      </c>
      <c r="G6" s="278">
        <v>6700763.4100000001</v>
      </c>
    </row>
    <row r="7" spans="1:7" x14ac:dyDescent="0.25">
      <c r="A7" t="s">
        <v>775</v>
      </c>
      <c r="B7" s="278">
        <v>9314261.4600000009</v>
      </c>
      <c r="C7" s="278">
        <v>9380815.4299999997</v>
      </c>
      <c r="D7" s="278">
        <v>11884244.25</v>
      </c>
      <c r="E7" s="278">
        <v>8666695.3200000003</v>
      </c>
      <c r="F7" s="278">
        <v>12870144.439999999</v>
      </c>
      <c r="G7" s="278">
        <v>8401529.1199999992</v>
      </c>
    </row>
    <row r="8" spans="1:7" x14ac:dyDescent="0.25">
      <c r="A8" t="s">
        <v>776</v>
      </c>
      <c r="B8" s="278">
        <v>1294755.72</v>
      </c>
      <c r="C8" s="278">
        <v>2307056.63</v>
      </c>
      <c r="D8" s="278">
        <v>2682436.85</v>
      </c>
      <c r="E8" s="278">
        <v>1448491.81</v>
      </c>
      <c r="F8" s="278">
        <v>1349259.49</v>
      </c>
      <c r="G8" s="278">
        <v>2249673.41</v>
      </c>
    </row>
    <row r="9" spans="1:7" x14ac:dyDescent="0.25">
      <c r="A9" t="s">
        <v>777</v>
      </c>
      <c r="B9" s="278">
        <v>184117.19</v>
      </c>
      <c r="C9" s="278">
        <v>192025.53</v>
      </c>
      <c r="D9" s="278">
        <v>194897.9</v>
      </c>
      <c r="E9" s="278">
        <v>185759.2</v>
      </c>
      <c r="F9" s="278">
        <v>182468.41</v>
      </c>
      <c r="G9" s="278">
        <v>178303.4</v>
      </c>
    </row>
    <row r="10" spans="1:7" x14ac:dyDescent="0.25">
      <c r="A10" t="s">
        <v>778</v>
      </c>
      <c r="B10" s="278">
        <v>2887915.79</v>
      </c>
      <c r="C10" s="278">
        <v>2572268.92</v>
      </c>
      <c r="D10" s="278">
        <v>2336946.9900000002</v>
      </c>
      <c r="E10" s="278">
        <v>2850593.11</v>
      </c>
      <c r="F10" s="278">
        <v>2842539.57</v>
      </c>
      <c r="G10" s="278">
        <v>2584530.16</v>
      </c>
    </row>
    <row r="11" spans="1:7" x14ac:dyDescent="0.25">
      <c r="A11" t="s">
        <v>779</v>
      </c>
      <c r="B11" s="278">
        <v>423939.03</v>
      </c>
      <c r="C11" s="278">
        <v>333361.71000000002</v>
      </c>
      <c r="D11" s="278">
        <v>576334.16</v>
      </c>
      <c r="E11" s="278">
        <v>556916.17000000004</v>
      </c>
      <c r="F11" s="278">
        <v>452054.26</v>
      </c>
      <c r="G11" s="278">
        <v>427675.46</v>
      </c>
    </row>
    <row r="12" spans="1:7" x14ac:dyDescent="0.25">
      <c r="A12" t="s">
        <v>780</v>
      </c>
      <c r="B12" s="278">
        <v>1104431.1100000001</v>
      </c>
      <c r="C12" s="278">
        <v>1097623.73</v>
      </c>
      <c r="D12" s="278">
        <v>1197458.33</v>
      </c>
      <c r="E12" s="278">
        <v>1141455.4099999999</v>
      </c>
      <c r="F12" s="278">
        <v>991856.29</v>
      </c>
      <c r="G12" s="278">
        <v>1017904.27</v>
      </c>
    </row>
    <row r="13" spans="1:7" x14ac:dyDescent="0.25">
      <c r="A13" t="s">
        <v>781</v>
      </c>
      <c r="B13" s="278">
        <v>2126655.61</v>
      </c>
      <c r="C13" s="278">
        <v>2066677.93</v>
      </c>
      <c r="D13" s="278">
        <v>2048066.58</v>
      </c>
      <c r="E13" s="278">
        <v>2161695.02</v>
      </c>
      <c r="F13" s="278">
        <v>2020109.1</v>
      </c>
      <c r="G13" s="278">
        <v>1920635.19</v>
      </c>
    </row>
    <row r="14" spans="1:7" x14ac:dyDescent="0.25">
      <c r="A14" t="s">
        <v>782</v>
      </c>
      <c r="B14" s="279">
        <v>0</v>
      </c>
      <c r="C14" s="279">
        <v>0</v>
      </c>
      <c r="D14" s="279">
        <v>0</v>
      </c>
      <c r="E14" s="279">
        <v>0</v>
      </c>
      <c r="F14" s="279">
        <v>0</v>
      </c>
      <c r="G14" s="279">
        <v>0</v>
      </c>
    </row>
    <row r="15" spans="1:7" x14ac:dyDescent="0.25">
      <c r="A15" t="s">
        <v>783</v>
      </c>
      <c r="B15" s="279">
        <v>0</v>
      </c>
      <c r="C15" s="279">
        <v>0</v>
      </c>
      <c r="D15" s="279">
        <v>0</v>
      </c>
      <c r="E15" s="279">
        <v>0</v>
      </c>
      <c r="F15" s="279">
        <v>0</v>
      </c>
      <c r="G15" s="279">
        <v>0</v>
      </c>
    </row>
    <row r="16" spans="1:7" x14ac:dyDescent="0.25">
      <c r="A16" t="s">
        <v>784</v>
      </c>
      <c r="B16" s="278">
        <v>-1126046.07</v>
      </c>
      <c r="C16" s="278">
        <v>169334.43</v>
      </c>
      <c r="D16" s="278">
        <v>-585545.39</v>
      </c>
      <c r="E16" s="278">
        <v>-497645.27</v>
      </c>
      <c r="F16" s="278">
        <v>-794197.03</v>
      </c>
      <c r="G16" s="278">
        <v>-631603.38</v>
      </c>
    </row>
    <row r="17" spans="1:7" x14ac:dyDescent="0.25">
      <c r="A17" t="s">
        <v>785</v>
      </c>
      <c r="B17" s="278">
        <v>168922.75</v>
      </c>
      <c r="C17" s="278">
        <v>179084.08</v>
      </c>
      <c r="D17" s="278">
        <v>210949.74</v>
      </c>
      <c r="E17" s="278">
        <v>188479.83</v>
      </c>
      <c r="F17" s="278">
        <v>156655.72</v>
      </c>
      <c r="G17" s="278">
        <v>174652.69</v>
      </c>
    </row>
    <row r="18" spans="1:7" x14ac:dyDescent="0.25">
      <c r="A18" t="s">
        <v>37</v>
      </c>
      <c r="B18" s="281">
        <v>80288430.109999999</v>
      </c>
      <c r="C18" s="280">
        <v>73240680.620000005</v>
      </c>
      <c r="D18" s="281">
        <v>89349551.239999995</v>
      </c>
      <c r="E18" s="280">
        <v>79600418.989999995</v>
      </c>
      <c r="F18" s="280">
        <v>82335948.939999998</v>
      </c>
      <c r="G18" s="280">
        <v>72864455.730000004</v>
      </c>
    </row>
    <row r="20" spans="1:7" x14ac:dyDescent="0.25">
      <c r="A20" t="s">
        <v>787</v>
      </c>
      <c r="B20" t="s">
        <v>756</v>
      </c>
      <c r="C20" t="s">
        <v>757</v>
      </c>
      <c r="D20" t="s">
        <v>758</v>
      </c>
      <c r="E20" t="s">
        <v>759</v>
      </c>
      <c r="F20" t="s">
        <v>760</v>
      </c>
      <c r="G20" t="s">
        <v>761</v>
      </c>
    </row>
    <row r="21" spans="1:7" x14ac:dyDescent="0.25">
      <c r="B21" t="s">
        <v>788</v>
      </c>
      <c r="C21" t="s">
        <v>789</v>
      </c>
      <c r="D21" t="s">
        <v>790</v>
      </c>
      <c r="E21" t="s">
        <v>791</v>
      </c>
      <c r="F21" t="s">
        <v>792</v>
      </c>
      <c r="G21" t="s">
        <v>793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55802-598D-45B9-8262-CC96C996A8E7}">
  <dimension ref="A1:AV131"/>
  <sheetViews>
    <sheetView showGridLines="0" topLeftCell="AH85" zoomScale="85" zoomScaleNormal="85" workbookViewId="0">
      <selection activeCell="AI107" sqref="AI107"/>
    </sheetView>
  </sheetViews>
  <sheetFormatPr defaultColWidth="8.7109375" defaultRowHeight="18.75" x14ac:dyDescent="0.4"/>
  <cols>
    <col min="1" max="1" width="9.42578125" style="132" bestFit="1" customWidth="1"/>
    <col min="2" max="2" width="9.140625" style="132" bestFit="1" customWidth="1"/>
    <col min="3" max="3" width="17.42578125" style="132" bestFit="1" customWidth="1"/>
    <col min="4" max="4" width="16.5703125" style="132" bestFit="1" customWidth="1"/>
    <col min="5" max="5" width="19.7109375" style="132" bestFit="1" customWidth="1"/>
    <col min="6" max="6" width="19" style="132" bestFit="1" customWidth="1"/>
    <col min="7" max="7" width="17.42578125" style="132" bestFit="1" customWidth="1"/>
    <col min="8" max="8" width="15.28515625" style="132" bestFit="1" customWidth="1"/>
    <col min="9" max="9" width="20.5703125" style="132" bestFit="1" customWidth="1"/>
    <col min="10" max="10" width="25.140625" style="132" bestFit="1" customWidth="1"/>
    <col min="11" max="11" width="18.140625" style="132" bestFit="1" customWidth="1"/>
    <col min="12" max="13" width="19.7109375" style="132" bestFit="1" customWidth="1"/>
    <col min="14" max="14" width="27.140625" style="132" bestFit="1" customWidth="1"/>
    <col min="15" max="15" width="13.42578125" style="132" bestFit="1" customWidth="1"/>
    <col min="16" max="16" width="13.7109375" style="132" bestFit="1" customWidth="1"/>
    <col min="17" max="17" width="20.140625" style="132" bestFit="1" customWidth="1"/>
    <col min="18" max="18" width="21.42578125" style="132" bestFit="1" customWidth="1"/>
    <col min="19" max="19" width="21.5703125" style="132" bestFit="1" customWidth="1"/>
    <col min="20" max="20" width="15" style="132" bestFit="1" customWidth="1"/>
    <col min="21" max="21" width="17" style="132" bestFit="1" customWidth="1"/>
    <col min="22" max="22" width="19.7109375" style="132" bestFit="1" customWidth="1"/>
    <col min="23" max="23" width="12.140625" style="132" bestFit="1" customWidth="1"/>
    <col min="24" max="24" width="13.85546875" style="132" bestFit="1" customWidth="1"/>
    <col min="25" max="25" width="14.140625" style="132" customWidth="1"/>
    <col min="26" max="26" width="16.28515625" style="132" bestFit="1" customWidth="1"/>
    <col min="27" max="27" width="19.5703125" style="132" bestFit="1" customWidth="1"/>
    <col min="28" max="29" width="16.28515625" style="132" bestFit="1" customWidth="1"/>
    <col min="30" max="30" width="16.5703125" style="132" bestFit="1" customWidth="1"/>
    <col min="31" max="31" width="22.7109375" style="132" bestFit="1" customWidth="1"/>
    <col min="32" max="34" width="16.140625" style="132" bestFit="1" customWidth="1"/>
    <col min="35" max="36" width="21.140625" style="132" bestFit="1" customWidth="1"/>
    <col min="37" max="37" width="66.28515625" style="132" bestFit="1" customWidth="1"/>
    <col min="38" max="41" width="38" style="132" customWidth="1"/>
    <col min="42" max="42" width="8.7109375" style="132"/>
    <col min="43" max="43" width="12" style="132" bestFit="1" customWidth="1"/>
    <col min="44" max="44" width="13.42578125" style="132" bestFit="1" customWidth="1"/>
    <col min="45" max="45" width="8.7109375" style="132"/>
    <col min="46" max="46" width="11.28515625" style="132" bestFit="1" customWidth="1"/>
    <col min="47" max="16384" width="8.7109375" style="132"/>
  </cols>
  <sheetData>
    <row r="1" spans="1:41" x14ac:dyDescent="0.4">
      <c r="C1" s="208">
        <v>2305</v>
      </c>
    </row>
    <row r="2" spans="1:41" ht="75" x14ac:dyDescent="0.4">
      <c r="A2" s="322" t="s">
        <v>714</v>
      </c>
      <c r="B2" s="322"/>
      <c r="C2" s="133" t="s">
        <v>689</v>
      </c>
      <c r="D2" s="133"/>
      <c r="E2" s="133" t="s">
        <v>691</v>
      </c>
      <c r="F2" s="133" t="s">
        <v>690</v>
      </c>
      <c r="G2" s="134" t="s">
        <v>692</v>
      </c>
      <c r="H2" s="134" t="s">
        <v>693</v>
      </c>
      <c r="I2" s="134" t="s">
        <v>694</v>
      </c>
      <c r="J2" s="135" t="s">
        <v>699</v>
      </c>
      <c r="K2" s="135"/>
      <c r="L2" s="136" t="s">
        <v>695</v>
      </c>
      <c r="M2" s="136" t="s">
        <v>697</v>
      </c>
      <c r="N2" s="136" t="s">
        <v>696</v>
      </c>
      <c r="O2" s="136" t="s">
        <v>698</v>
      </c>
      <c r="P2" s="136" t="s">
        <v>700</v>
      </c>
      <c r="Q2" s="136" t="s">
        <v>701</v>
      </c>
      <c r="R2" s="136" t="s">
        <v>702</v>
      </c>
      <c r="S2" s="136" t="s">
        <v>704</v>
      </c>
      <c r="T2" s="136" t="s">
        <v>705</v>
      </c>
      <c r="U2" s="136" t="s">
        <v>713</v>
      </c>
      <c r="V2" s="136" t="s">
        <v>706</v>
      </c>
      <c r="W2" s="136" t="s">
        <v>707</v>
      </c>
      <c r="X2" s="137"/>
    </row>
    <row r="3" spans="1:41" x14ac:dyDescent="0.4">
      <c r="A3" s="321" t="s">
        <v>711</v>
      </c>
      <c r="B3" s="138">
        <v>45658</v>
      </c>
      <c r="C3" s="124">
        <v>162833</v>
      </c>
      <c r="D3" s="124"/>
      <c r="E3" s="124"/>
      <c r="F3" s="124"/>
      <c r="G3" s="140">
        <v>2537.9899999999998</v>
      </c>
      <c r="H3" s="226">
        <v>35.479999999999997</v>
      </c>
      <c r="I3" s="123">
        <f>G3/H3</f>
        <v>71.532976324689969</v>
      </c>
      <c r="J3" s="221">
        <f>C3*G3/1000000</f>
        <v>413.26852566999997</v>
      </c>
      <c r="K3" s="142"/>
      <c r="L3" s="143"/>
      <c r="M3" s="144"/>
      <c r="N3" s="144"/>
      <c r="O3" s="144"/>
      <c r="P3" s="144"/>
      <c r="Q3" s="144"/>
      <c r="R3" s="144"/>
      <c r="S3" s="143"/>
      <c r="T3" s="143"/>
      <c r="U3" s="143"/>
      <c r="V3" s="143"/>
      <c r="W3" s="143"/>
      <c r="X3" s="145"/>
      <c r="Y3" s="146"/>
      <c r="Z3" s="147"/>
      <c r="AA3" s="147"/>
      <c r="AB3" s="147"/>
      <c r="AC3" s="147"/>
    </row>
    <row r="4" spans="1:41" x14ac:dyDescent="0.4">
      <c r="A4" s="321"/>
      <c r="B4" s="138">
        <v>45689</v>
      </c>
      <c r="C4" s="124">
        <v>67265</v>
      </c>
      <c r="D4" s="124"/>
      <c r="E4" s="124"/>
      <c r="F4" s="124"/>
      <c r="G4" s="140">
        <v>2506.77</v>
      </c>
      <c r="H4" s="226">
        <v>36.119999999999997</v>
      </c>
      <c r="I4" s="123">
        <f t="shared" ref="I4:I17" si="0">G4/H4</f>
        <v>69.401162790697683</v>
      </c>
      <c r="J4" s="221">
        <f t="shared" ref="J4:J17" si="1">C4*G4/1000000</f>
        <v>168.61788405000001</v>
      </c>
      <c r="K4" s="148"/>
      <c r="L4" s="143"/>
      <c r="M4" s="149"/>
      <c r="N4" s="149"/>
      <c r="O4" s="149"/>
      <c r="P4" s="144"/>
      <c r="Q4" s="144"/>
      <c r="R4" s="144"/>
      <c r="S4" s="143"/>
      <c r="T4" s="143"/>
      <c r="U4" s="143"/>
      <c r="V4" s="143"/>
      <c r="W4" s="143"/>
      <c r="X4" s="145"/>
      <c r="Y4" s="146"/>
      <c r="Z4" s="147"/>
      <c r="AA4" s="147"/>
      <c r="AB4" s="147"/>
      <c r="AC4" s="147"/>
      <c r="AE4" s="146"/>
      <c r="AF4" s="147"/>
      <c r="AG4" s="147"/>
      <c r="AH4" s="147"/>
      <c r="AI4" s="147"/>
      <c r="AK4" s="146"/>
      <c r="AL4" s="147"/>
      <c r="AM4" s="147"/>
      <c r="AN4" s="147"/>
      <c r="AO4" s="147"/>
    </row>
    <row r="5" spans="1:41" x14ac:dyDescent="0.4">
      <c r="A5" s="321"/>
      <c r="B5" s="138">
        <v>45717</v>
      </c>
      <c r="C5" s="124">
        <v>68555</v>
      </c>
      <c r="D5" s="124">
        <f>SUM(C3:C5)</f>
        <v>298653</v>
      </c>
      <c r="E5" s="124"/>
      <c r="F5" s="124"/>
      <c r="G5" s="140">
        <v>2207.1799999999998</v>
      </c>
      <c r="H5" s="226">
        <v>37.04</v>
      </c>
      <c r="I5" s="123">
        <f t="shared" si="0"/>
        <v>59.589092872570191</v>
      </c>
      <c r="J5" s="221">
        <f t="shared" si="1"/>
        <v>151.31322489999997</v>
      </c>
      <c r="K5" s="123">
        <f>SUM(J3:J5)</f>
        <v>733.19963461999987</v>
      </c>
      <c r="L5" s="123">
        <f>_xll.RasFinancial($A$2,A3,3120,"XI_29","LOCAL",,FALSE(),"AC",,1000000)</f>
        <v>1277.821907</v>
      </c>
      <c r="M5" s="150">
        <f>(K5/L5)-1</f>
        <v>-0.42621140661035806</v>
      </c>
      <c r="N5" s="123">
        <f>_xll.RasFinancial($A$2,"2025/3M",3120,"XI_29","LOCAL",,FALSE(),"ACO",,1000000)</f>
        <v>976.421381</v>
      </c>
      <c r="O5" s="150">
        <f>(K5/N5)-1</f>
        <v>-0.24909506398856718</v>
      </c>
      <c r="P5" s="144"/>
      <c r="Q5" s="144"/>
      <c r="R5" s="144"/>
      <c r="S5" s="143"/>
      <c r="T5" s="123">
        <f>-_xll.RasFinancial($A$2,A3,999010002,"IND_INT_DTL","LOCAL",,FALSE(),"AC",,1000000)</f>
        <v>1219.65524</v>
      </c>
      <c r="U5" s="123">
        <f>-_xll.RasFinancial($A$2,"2025/3M",999010002,"IND_INT_DTL","LOCAL",,FALSE(),"ACO",,1000000)</f>
        <v>931.97451599999999</v>
      </c>
      <c r="V5" s="221">
        <f>T5/N5</f>
        <v>1.2491074691040589</v>
      </c>
      <c r="W5" s="221">
        <f>L5-T5</f>
        <v>58.166666999999961</v>
      </c>
      <c r="X5" s="151"/>
      <c r="Y5" s="146"/>
      <c r="Z5" s="147"/>
      <c r="AA5" s="147"/>
      <c r="AB5" s="147"/>
      <c r="AC5" s="147"/>
      <c r="AD5" s="152"/>
      <c r="AE5" s="146"/>
      <c r="AF5" s="147"/>
      <c r="AG5" s="147"/>
      <c r="AH5" s="147"/>
      <c r="AI5" s="147"/>
      <c r="AJ5" s="152"/>
      <c r="AK5" s="146"/>
      <c r="AL5" s="147"/>
      <c r="AM5" s="147"/>
      <c r="AN5" s="147"/>
      <c r="AO5" s="147"/>
    </row>
    <row r="6" spans="1:41" x14ac:dyDescent="0.4">
      <c r="A6" s="320" t="s">
        <v>710</v>
      </c>
      <c r="B6" s="153">
        <v>45748</v>
      </c>
      <c r="C6" s="125">
        <v>147924</v>
      </c>
      <c r="D6" s="125"/>
      <c r="E6" s="228"/>
      <c r="F6" s="228"/>
      <c r="G6" s="126">
        <v>2489.25</v>
      </c>
      <c r="H6" s="223">
        <v>38.049999999999997</v>
      </c>
      <c r="I6" s="127">
        <f t="shared" si="0"/>
        <v>65.420499342969777</v>
      </c>
      <c r="J6" s="222">
        <f t="shared" si="1"/>
        <v>368.21981699999998</v>
      </c>
      <c r="K6" s="127"/>
      <c r="L6" s="127"/>
      <c r="M6" s="155"/>
      <c r="N6" s="156"/>
      <c r="O6" s="156"/>
      <c r="P6" s="156"/>
      <c r="Q6" s="157"/>
      <c r="R6" s="158"/>
      <c r="S6" s="159"/>
      <c r="T6" s="160"/>
      <c r="U6" s="160"/>
      <c r="V6" s="222"/>
      <c r="W6" s="222"/>
      <c r="X6" s="161"/>
      <c r="Y6" s="146"/>
      <c r="Z6" s="147"/>
      <c r="AA6" s="147"/>
      <c r="AB6" s="147"/>
      <c r="AC6" s="147"/>
      <c r="AE6" s="146"/>
      <c r="AF6" s="147"/>
      <c r="AG6" s="147"/>
      <c r="AH6" s="147"/>
      <c r="AI6" s="147"/>
      <c r="AK6" s="146"/>
      <c r="AL6" s="147"/>
      <c r="AM6" s="147"/>
      <c r="AN6" s="147"/>
      <c r="AO6" s="147"/>
    </row>
    <row r="7" spans="1:41" x14ac:dyDescent="0.4">
      <c r="A7" s="320"/>
      <c r="B7" s="153">
        <v>45778</v>
      </c>
      <c r="C7" s="125">
        <v>197461</v>
      </c>
      <c r="D7" s="125"/>
      <c r="E7" s="228"/>
      <c r="F7" s="228"/>
      <c r="G7" s="126">
        <v>2474.98</v>
      </c>
      <c r="H7" s="223">
        <v>38.72</v>
      </c>
      <c r="I7" s="127">
        <f t="shared" si="0"/>
        <v>63.919938016528931</v>
      </c>
      <c r="J7" s="222">
        <f t="shared" si="1"/>
        <v>488.71202578000003</v>
      </c>
      <c r="K7" s="127"/>
      <c r="L7" s="127"/>
      <c r="M7" s="155"/>
      <c r="N7" s="156"/>
      <c r="O7" s="156"/>
      <c r="P7" s="156"/>
      <c r="Q7" s="157"/>
      <c r="R7" s="158"/>
      <c r="S7" s="159"/>
      <c r="T7" s="160"/>
      <c r="U7" s="160"/>
      <c r="V7" s="222"/>
      <c r="W7" s="222"/>
      <c r="X7" s="161"/>
      <c r="Y7" s="146"/>
      <c r="Z7" s="147"/>
      <c r="AA7" s="147"/>
      <c r="AB7" s="147"/>
      <c r="AC7" s="147"/>
      <c r="AE7" s="146"/>
      <c r="AF7" s="147"/>
      <c r="AG7" s="147"/>
      <c r="AH7" s="147"/>
      <c r="AI7" s="147"/>
      <c r="AK7" s="146"/>
      <c r="AL7" s="147"/>
      <c r="AM7" s="147"/>
      <c r="AN7" s="147"/>
      <c r="AO7" s="147"/>
    </row>
    <row r="8" spans="1:41" x14ac:dyDescent="0.4">
      <c r="A8" s="320"/>
      <c r="B8" s="153">
        <v>45809</v>
      </c>
      <c r="C8" s="125">
        <v>151960</v>
      </c>
      <c r="D8" s="125">
        <f>SUM(C6:C8)</f>
        <v>497345</v>
      </c>
      <c r="E8" s="228"/>
      <c r="F8" s="228"/>
      <c r="G8" s="126">
        <v>2240.61</v>
      </c>
      <c r="H8" s="223">
        <v>39.369999999999997</v>
      </c>
      <c r="I8" s="127">
        <f t="shared" si="0"/>
        <v>56.911607823215654</v>
      </c>
      <c r="J8" s="222">
        <f t="shared" si="1"/>
        <v>340.48309560000001</v>
      </c>
      <c r="K8" s="127">
        <f>SUM(J6:J8)</f>
        <v>1197.41493838</v>
      </c>
      <c r="L8" s="127">
        <f>_xll.RasFinancial($A$2,A6,3120,"XI_29","LOCAL",,FALSE(),"AC",,1000000)</f>
        <v>1516.4794179999999</v>
      </c>
      <c r="M8" s="155">
        <f>(K8/L8)-1</f>
        <v>-0.2103981602604249</v>
      </c>
      <c r="N8" s="127">
        <f>(_xll.RasFinancial($A$2,"2025/6M",3120,"XI_29","LOCAL",,FALSE(),"ACO",,1000000))-N5</f>
        <v>1575.1303309999998</v>
      </c>
      <c r="O8" s="155">
        <f>(K8/N8)-1</f>
        <v>-0.23979945353487064</v>
      </c>
      <c r="P8" s="156"/>
      <c r="Q8" s="157"/>
      <c r="R8" s="158"/>
      <c r="S8" s="159"/>
      <c r="T8" s="127">
        <f>-_xll.RasFinancial($A$2,A6,999010002,"IND_INT_DTL","LOCAL",,FALSE(),"AC",,1000000)</f>
        <v>1404.8626750000001</v>
      </c>
      <c r="U8" s="127">
        <f>(-_xll.RasFinancial($A$2,"2025/6M",999010002,"IND_INT_DTL","LOCAL",,FALSE(),"ACO",,1000000)-U5)</f>
        <v>1460.8437889999998</v>
      </c>
      <c r="V8" s="222">
        <f>T8/N8</f>
        <v>0.89190249679726363</v>
      </c>
      <c r="W8" s="222">
        <f>L8-T8</f>
        <v>111.61674299999981</v>
      </c>
      <c r="X8" s="151"/>
      <c r="Y8" s="147"/>
      <c r="Z8" s="147"/>
      <c r="AA8" s="147"/>
      <c r="AB8" s="147"/>
      <c r="AC8" s="147"/>
      <c r="AE8" s="146"/>
      <c r="AF8" s="147"/>
      <c r="AG8" s="147"/>
      <c r="AH8" s="147"/>
      <c r="AI8" s="147"/>
      <c r="AK8" s="146"/>
      <c r="AL8" s="147"/>
      <c r="AM8" s="147"/>
      <c r="AN8" s="147"/>
      <c r="AO8" s="147"/>
    </row>
    <row r="9" spans="1:41" x14ac:dyDescent="0.4">
      <c r="A9" s="321" t="s">
        <v>709</v>
      </c>
      <c r="B9" s="138">
        <v>45839</v>
      </c>
      <c r="C9" s="124">
        <v>169962</v>
      </c>
      <c r="D9" s="124"/>
      <c r="E9" s="227"/>
      <c r="F9" s="227"/>
      <c r="G9" s="140">
        <v>2981.73</v>
      </c>
      <c r="H9" s="226">
        <v>40.14</v>
      </c>
      <c r="I9" s="123">
        <f t="shared" si="0"/>
        <v>74.283258594917783</v>
      </c>
      <c r="J9" s="221">
        <f t="shared" si="1"/>
        <v>506.78079425999999</v>
      </c>
      <c r="K9" s="123"/>
      <c r="L9" s="123"/>
      <c r="M9" s="150"/>
      <c r="N9" s="149"/>
      <c r="O9" s="149"/>
      <c r="P9" s="149"/>
      <c r="Q9" s="143"/>
      <c r="R9" s="144"/>
      <c r="S9" s="143"/>
      <c r="T9" s="143"/>
      <c r="U9" s="143"/>
      <c r="V9" s="221"/>
      <c r="W9" s="221"/>
      <c r="X9" s="161"/>
      <c r="Y9" s="146"/>
      <c r="Z9" s="163"/>
      <c r="AA9" s="163"/>
      <c r="AB9" s="163"/>
      <c r="AC9" s="163"/>
      <c r="AE9" s="147"/>
      <c r="AF9" s="147"/>
      <c r="AG9" s="147"/>
      <c r="AH9" s="147"/>
      <c r="AI9" s="147"/>
      <c r="AK9" s="146"/>
      <c r="AL9" s="147"/>
      <c r="AM9" s="147"/>
      <c r="AN9" s="147"/>
      <c r="AO9" s="147"/>
    </row>
    <row r="10" spans="1:41" x14ac:dyDescent="0.4">
      <c r="A10" s="321"/>
      <c r="B10" s="138">
        <v>45870</v>
      </c>
      <c r="C10" s="124">
        <v>197461</v>
      </c>
      <c r="D10" s="124"/>
      <c r="E10" s="227"/>
      <c r="F10" s="227"/>
      <c r="G10" s="140">
        <v>2952.26</v>
      </c>
      <c r="H10" s="226">
        <v>40.75</v>
      </c>
      <c r="I10" s="123">
        <f t="shared" si="0"/>
        <v>72.448098159509215</v>
      </c>
      <c r="J10" s="221">
        <f t="shared" si="1"/>
        <v>582.95621186000005</v>
      </c>
      <c r="K10" s="123"/>
      <c r="L10" s="123"/>
      <c r="M10" s="150"/>
      <c r="N10" s="149"/>
      <c r="O10" s="149"/>
      <c r="P10" s="144"/>
      <c r="Q10" s="143"/>
      <c r="R10" s="144"/>
      <c r="S10" s="143"/>
      <c r="T10" s="143"/>
      <c r="U10" s="143"/>
      <c r="V10" s="221"/>
      <c r="W10" s="221"/>
      <c r="X10" s="161"/>
      <c r="Y10" s="323"/>
      <c r="Z10" s="323"/>
      <c r="AA10" s="323"/>
      <c r="AB10" s="323"/>
      <c r="AC10" s="323"/>
      <c r="AE10" s="146"/>
      <c r="AF10" s="163"/>
      <c r="AG10" s="163"/>
      <c r="AH10" s="163"/>
      <c r="AI10" s="163"/>
      <c r="AK10" s="147"/>
      <c r="AL10" s="147"/>
      <c r="AM10" s="147"/>
      <c r="AN10" s="147"/>
      <c r="AO10" s="147"/>
    </row>
    <row r="11" spans="1:41" x14ac:dyDescent="0.4">
      <c r="A11" s="321"/>
      <c r="B11" s="138">
        <v>45901</v>
      </c>
      <c r="C11" s="124">
        <v>154376</v>
      </c>
      <c r="D11" s="124">
        <f>SUM(C9:C11)</f>
        <v>521799</v>
      </c>
      <c r="E11" s="227"/>
      <c r="F11" s="227"/>
      <c r="G11" s="140">
        <v>2765.58</v>
      </c>
      <c r="H11" s="226">
        <v>41.24</v>
      </c>
      <c r="I11" s="123">
        <f t="shared" si="0"/>
        <v>67.060620756547038</v>
      </c>
      <c r="J11" s="221">
        <f t="shared" si="1"/>
        <v>426.93917807999998</v>
      </c>
      <c r="K11" s="123">
        <f>SUM(J9:J11)</f>
        <v>1516.6761841999999</v>
      </c>
      <c r="L11" s="123">
        <f>_xll.RasFinancial($A$2,A9,3120,"XI_29","LOCAL",,FALSE(),"AC",,1000000)</f>
        <v>1821.963583</v>
      </c>
      <c r="M11" s="150">
        <f>(K11/L11)-1</f>
        <v>-0.16755955039305537</v>
      </c>
      <c r="N11" s="123">
        <f>_xll.RasFinancial($A$2,"2025/9M",3120,"XI_29","LOCAL",,FALSE(),"ACO",,1000000)-N8-N5</f>
        <v>2013.4417690000005</v>
      </c>
      <c r="O11" s="150">
        <f>(K11/N11)-1</f>
        <v>-0.24672458496116578</v>
      </c>
      <c r="P11" s="144"/>
      <c r="Q11" s="143"/>
      <c r="R11" s="144"/>
      <c r="S11" s="143"/>
      <c r="T11" s="123">
        <f>-_xll.RasFinancial($A$2,A9,999010002,"IND_INT_DTL","LOCAL",,FALSE(),"AC",,1000000)</f>
        <v>1664.3238980000001</v>
      </c>
      <c r="U11" s="123">
        <f>(-_xll.RasFinancial($A$2,"2025/9M",999010002,"IND_INT_DTL","LOCAL",,FALSE(),"ACO",,1000000)-U8-U5)</f>
        <v>1843.890122</v>
      </c>
      <c r="V11" s="221">
        <f>T11/N11</f>
        <v>0.82660642270603446</v>
      </c>
      <c r="W11" s="221">
        <f>L11-T11</f>
        <v>157.63968499999987</v>
      </c>
      <c r="X11" s="151"/>
      <c r="Y11" s="324"/>
      <c r="Z11" s="325"/>
      <c r="AA11" s="325"/>
      <c r="AB11" s="325"/>
      <c r="AC11" s="325"/>
      <c r="AE11" s="323"/>
      <c r="AF11" s="323"/>
      <c r="AG11" s="323"/>
      <c r="AH11" s="323"/>
      <c r="AI11" s="323"/>
      <c r="AK11" s="324"/>
      <c r="AL11" s="325"/>
      <c r="AM11" s="325"/>
      <c r="AN11" s="325"/>
      <c r="AO11" s="325"/>
    </row>
    <row r="12" spans="1:41" x14ac:dyDescent="0.4">
      <c r="A12" s="320" t="s">
        <v>708</v>
      </c>
      <c r="B12" s="153">
        <v>45931</v>
      </c>
      <c r="C12" s="125">
        <v>168815</v>
      </c>
      <c r="D12" s="125"/>
      <c r="E12" s="228"/>
      <c r="F12" s="228"/>
      <c r="G12" s="126">
        <v>2764.54</v>
      </c>
      <c r="H12" s="223">
        <v>41.75</v>
      </c>
      <c r="I12" s="127">
        <f t="shared" si="0"/>
        <v>66.216526946107777</v>
      </c>
      <c r="J12" s="222">
        <f t="shared" si="1"/>
        <v>466.69582009999999</v>
      </c>
      <c r="K12" s="127"/>
      <c r="L12" s="127"/>
      <c r="M12" s="155"/>
      <c r="N12" s="156"/>
      <c r="O12" s="156"/>
      <c r="P12" s="165"/>
      <c r="Q12" s="157"/>
      <c r="R12" s="165"/>
      <c r="S12" s="159"/>
      <c r="T12" s="159"/>
      <c r="U12" s="159"/>
      <c r="V12" s="222"/>
      <c r="W12" s="222"/>
      <c r="X12" s="161"/>
      <c r="Y12" s="324"/>
      <c r="Z12" s="329"/>
      <c r="AA12" s="329"/>
      <c r="AB12" s="329"/>
      <c r="AC12" s="329"/>
      <c r="AE12" s="146"/>
      <c r="AF12" s="163"/>
      <c r="AG12" s="163"/>
      <c r="AH12" s="163"/>
      <c r="AI12" s="163"/>
      <c r="AK12" s="323"/>
      <c r="AL12" s="323"/>
      <c r="AM12" s="323"/>
      <c r="AN12" s="323"/>
      <c r="AO12" s="323"/>
    </row>
    <row r="13" spans="1:41" x14ac:dyDescent="0.4">
      <c r="A13" s="320"/>
      <c r="B13" s="153">
        <v>45962</v>
      </c>
      <c r="C13" s="125">
        <v>10617</v>
      </c>
      <c r="D13" s="125"/>
      <c r="E13" s="228"/>
      <c r="F13" s="228"/>
      <c r="G13" s="126">
        <v>2814.97</v>
      </c>
      <c r="H13" s="223">
        <v>42.2</v>
      </c>
      <c r="I13" s="127">
        <f t="shared" si="0"/>
        <v>66.705450236966811</v>
      </c>
      <c r="J13" s="222">
        <f t="shared" si="1"/>
        <v>29.886536489999997</v>
      </c>
      <c r="K13" s="127"/>
      <c r="L13" s="127"/>
      <c r="M13" s="155"/>
      <c r="N13" s="156"/>
      <c r="O13" s="156"/>
      <c r="P13" s="165"/>
      <c r="Q13" s="157"/>
      <c r="R13" s="165"/>
      <c r="S13" s="159"/>
      <c r="T13" s="159"/>
      <c r="U13" s="159"/>
      <c r="V13" s="222"/>
      <c r="W13" s="222"/>
      <c r="X13" s="161"/>
      <c r="Y13" s="324"/>
      <c r="Z13" s="329"/>
      <c r="AA13" s="166"/>
      <c r="AB13" s="166"/>
      <c r="AC13" s="166"/>
      <c r="AE13" s="146"/>
      <c r="AF13" s="166"/>
      <c r="AG13" s="166"/>
      <c r="AH13" s="166"/>
      <c r="AI13" s="166"/>
      <c r="AK13" s="146"/>
      <c r="AL13" s="163"/>
      <c r="AM13" s="163"/>
      <c r="AN13" s="163"/>
      <c r="AO13" s="163"/>
    </row>
    <row r="14" spans="1:41" x14ac:dyDescent="0.4">
      <c r="A14" s="320"/>
      <c r="B14" s="153">
        <v>45992</v>
      </c>
      <c r="C14" s="125">
        <v>215921</v>
      </c>
      <c r="D14" s="125">
        <f>SUM(C12:C14)</f>
        <v>395353</v>
      </c>
      <c r="E14" s="125">
        <v>1675000</v>
      </c>
      <c r="F14" s="125">
        <f>((D5+D8+D11+D14)/E14)-1</f>
        <v>2.2776119402985184E-2</v>
      </c>
      <c r="G14" s="126">
        <v>3005.44</v>
      </c>
      <c r="H14" s="223">
        <v>42.61</v>
      </c>
      <c r="I14" s="127">
        <f t="shared" si="0"/>
        <v>70.533677540483453</v>
      </c>
      <c r="J14" s="222">
        <f t="shared" si="1"/>
        <v>648.93761024000003</v>
      </c>
      <c r="K14" s="127">
        <f>SUM(J12:J14)</f>
        <v>1145.5199668300002</v>
      </c>
      <c r="L14" s="127">
        <f>_xll.RasFinancial($A$2,$A$12,3120,"XI_29","LOCAL",,FALSE(),"AC",,1000000)</f>
        <v>1396.2826831600205</v>
      </c>
      <c r="M14" s="155">
        <f>(K14/L14)-1</f>
        <v>-0.17959308623845605</v>
      </c>
      <c r="N14" s="127">
        <f>_xll.RasFinancial($A$2,A12,3120,"XI_29","LOCAL",,FALSE(),"ACO",,1000000)</f>
        <v>1396.2826831600205</v>
      </c>
      <c r="O14" s="155">
        <f>(K14/N14)-1</f>
        <v>-0.17959308623845605</v>
      </c>
      <c r="P14" s="155">
        <f>(M5+M8+M11+M14)/4</f>
        <v>-0.24594055087557359</v>
      </c>
      <c r="Q14" s="155">
        <f>(O5+O8+O11+O14)/4</f>
        <v>-0.22880304718076491</v>
      </c>
      <c r="R14" s="165"/>
      <c r="S14" s="159"/>
      <c r="T14" s="127">
        <f>-_xll.RasFinancial($A$2,A12,999010002,"IND_INT_DTL","LOCAL",,FALSE(),"AC",,1000000)</f>
        <v>1352.5447380765972</v>
      </c>
      <c r="U14" s="127">
        <f>-_xll.RasFinancial($A$2,A12,999010002,"IND_INT_DTL","LOCAL",,FALSE(),"ACO",,1000000)</f>
        <v>1352.5447380765972</v>
      </c>
      <c r="V14" s="222">
        <f>T14/N14</f>
        <v>0.96867543685033963</v>
      </c>
      <c r="W14" s="222">
        <f>L14-T14</f>
        <v>43.737945083423256</v>
      </c>
      <c r="X14" s="161"/>
      <c r="Y14" s="146"/>
      <c r="Z14" s="168"/>
      <c r="AA14" s="168"/>
      <c r="AB14" s="168"/>
      <c r="AC14" s="168"/>
      <c r="AE14" s="146"/>
      <c r="AF14" s="166"/>
      <c r="AG14" s="166"/>
      <c r="AH14" s="166"/>
      <c r="AI14" s="166"/>
      <c r="AK14" s="146"/>
      <c r="AL14" s="166"/>
      <c r="AM14" s="166"/>
      <c r="AN14" s="166"/>
      <c r="AO14" s="166"/>
    </row>
    <row r="15" spans="1:41" x14ac:dyDescent="0.4">
      <c r="A15" s="321" t="s">
        <v>712</v>
      </c>
      <c r="B15" s="138">
        <v>46023</v>
      </c>
      <c r="C15" s="124">
        <v>199832</v>
      </c>
      <c r="D15" s="124"/>
      <c r="E15" s="227"/>
      <c r="F15" s="227"/>
      <c r="G15" s="140">
        <v>2929.4</v>
      </c>
      <c r="H15" s="226">
        <v>43.14</v>
      </c>
      <c r="I15" s="123">
        <f t="shared" si="0"/>
        <v>67.904496986555401</v>
      </c>
      <c r="J15" s="221">
        <f t="shared" si="1"/>
        <v>585.38786080000011</v>
      </c>
      <c r="K15" s="123"/>
      <c r="L15" s="123"/>
      <c r="M15" s="149"/>
      <c r="N15" s="149"/>
      <c r="O15" s="149"/>
      <c r="P15" s="149"/>
      <c r="Q15" s="143"/>
      <c r="R15" s="144"/>
      <c r="S15" s="143"/>
      <c r="T15" s="143"/>
      <c r="U15" s="143"/>
      <c r="V15" s="221"/>
      <c r="W15" s="221"/>
      <c r="X15" s="145"/>
      <c r="Y15" s="323"/>
      <c r="Z15" s="323"/>
      <c r="AA15" s="323"/>
      <c r="AB15" s="323"/>
      <c r="AC15" s="323"/>
      <c r="AE15" s="146"/>
      <c r="AF15" s="168"/>
      <c r="AG15" s="168"/>
      <c r="AH15" s="168"/>
      <c r="AI15" s="168"/>
      <c r="AK15" s="146"/>
      <c r="AL15" s="166"/>
      <c r="AM15" s="166"/>
      <c r="AN15" s="166"/>
      <c r="AO15" s="166"/>
    </row>
    <row r="16" spans="1:41" x14ac:dyDescent="0.4">
      <c r="A16" s="321"/>
      <c r="B16" s="138">
        <v>46054</v>
      </c>
      <c r="C16" s="124">
        <v>160326</v>
      </c>
      <c r="D16" s="124"/>
      <c r="E16" s="227"/>
      <c r="F16" s="227"/>
      <c r="G16" s="140">
        <v>2141.92</v>
      </c>
      <c r="H16" s="226">
        <v>43.61</v>
      </c>
      <c r="I16" s="123">
        <f t="shared" si="0"/>
        <v>49.115340518229765</v>
      </c>
      <c r="J16" s="221">
        <f t="shared" si="1"/>
        <v>343.40546592000004</v>
      </c>
      <c r="K16" s="123"/>
      <c r="L16" s="123"/>
      <c r="M16" s="149"/>
      <c r="N16" s="149"/>
      <c r="O16" s="149"/>
      <c r="P16" s="144"/>
      <c r="Q16" s="143"/>
      <c r="R16" s="144"/>
      <c r="S16" s="143"/>
      <c r="T16" s="143"/>
      <c r="U16" s="143"/>
      <c r="V16" s="221"/>
      <c r="W16" s="221"/>
      <c r="X16" s="145"/>
      <c r="Y16" s="327"/>
      <c r="Z16" s="328"/>
      <c r="AA16" s="328"/>
      <c r="AB16" s="328"/>
      <c r="AC16" s="328"/>
      <c r="AE16" s="323"/>
      <c r="AF16" s="323"/>
      <c r="AG16" s="323"/>
      <c r="AH16" s="323"/>
      <c r="AI16" s="323"/>
      <c r="AK16" s="324"/>
      <c r="AL16" s="326"/>
      <c r="AM16" s="326"/>
      <c r="AN16" s="326"/>
      <c r="AO16" s="326"/>
    </row>
    <row r="17" spans="1:41" x14ac:dyDescent="0.4">
      <c r="A17" s="321"/>
      <c r="B17" s="138">
        <v>46082</v>
      </c>
      <c r="C17" s="124">
        <v>182527</v>
      </c>
      <c r="D17" s="124">
        <f>SUM(C15:C17)</f>
        <v>542685</v>
      </c>
      <c r="E17" s="227"/>
      <c r="F17" s="227"/>
      <c r="G17" s="140">
        <v>1726.85</v>
      </c>
      <c r="H17" s="226">
        <v>44.1</v>
      </c>
      <c r="I17" s="123">
        <f t="shared" si="0"/>
        <v>39.157596371882086</v>
      </c>
      <c r="J17" s="221">
        <f t="shared" si="1"/>
        <v>315.19674994999997</v>
      </c>
      <c r="K17" s="123">
        <f>SUM(J15:J17)</f>
        <v>1243.99007667</v>
      </c>
      <c r="L17" s="123"/>
      <c r="M17" s="149"/>
      <c r="N17" s="149"/>
      <c r="O17" s="149"/>
      <c r="P17" s="144"/>
      <c r="Q17" s="143"/>
      <c r="R17" s="141">
        <f>K17/(1+P14)</f>
        <v>1649.7241406025148</v>
      </c>
      <c r="S17" s="143">
        <f>K17/(1+Q14)</f>
        <v>1613.0640456013127</v>
      </c>
      <c r="T17" s="143">
        <f>R17*V17</f>
        <v>1623.4489122284756</v>
      </c>
      <c r="U17" s="143"/>
      <c r="V17" s="123">
        <f>(V5+V8+V14+V11)/4</f>
        <v>0.98407295636442416</v>
      </c>
      <c r="W17" s="221">
        <f>R17-T17</f>
        <v>26.275228374039216</v>
      </c>
      <c r="X17" s="145"/>
      <c r="Y17" s="327"/>
      <c r="Z17" s="328"/>
      <c r="AA17" s="328"/>
      <c r="AB17" s="328"/>
      <c r="AC17" s="328"/>
      <c r="AE17" s="164"/>
      <c r="AF17" s="169"/>
      <c r="AG17" s="169"/>
      <c r="AH17" s="169"/>
      <c r="AI17" s="169"/>
      <c r="AK17" s="323"/>
      <c r="AL17" s="323"/>
      <c r="AM17" s="323"/>
      <c r="AN17" s="323"/>
      <c r="AO17" s="323"/>
    </row>
    <row r="18" spans="1:41" x14ac:dyDescent="0.4">
      <c r="A18" s="170"/>
      <c r="B18" s="171"/>
      <c r="C18" s="172"/>
      <c r="D18" s="172"/>
      <c r="E18" s="172"/>
      <c r="F18" s="172"/>
      <c r="G18" s="172"/>
      <c r="H18" s="173"/>
      <c r="I18" s="173"/>
      <c r="J18" s="172"/>
      <c r="K18" s="174"/>
      <c r="L18" s="174"/>
      <c r="M18" s="175"/>
      <c r="N18" s="173"/>
      <c r="O18" s="173"/>
      <c r="P18" s="173"/>
      <c r="Q18" s="176"/>
      <c r="R18" s="177"/>
      <c r="S18" s="176"/>
      <c r="T18" s="175"/>
      <c r="U18" s="175"/>
      <c r="V18" s="176"/>
      <c r="W18" s="175"/>
      <c r="X18" s="178"/>
      <c r="Y18" s="330"/>
      <c r="Z18" s="331"/>
      <c r="AA18" s="169"/>
      <c r="AB18" s="169"/>
      <c r="AC18" s="169"/>
      <c r="AE18" s="147"/>
      <c r="AF18" s="179"/>
      <c r="AG18" s="179"/>
      <c r="AH18" s="179"/>
      <c r="AI18" s="179"/>
      <c r="AK18" s="164"/>
      <c r="AL18" s="169"/>
      <c r="AM18" s="169"/>
      <c r="AN18" s="169"/>
      <c r="AO18" s="169"/>
    </row>
    <row r="19" spans="1:41" x14ac:dyDescent="0.4">
      <c r="A19" s="170"/>
      <c r="B19" s="171"/>
      <c r="C19" s="209">
        <v>688</v>
      </c>
      <c r="D19" s="172"/>
      <c r="E19" s="172"/>
      <c r="F19" s="172"/>
      <c r="G19" s="172"/>
      <c r="H19" s="173"/>
      <c r="I19" s="173"/>
      <c r="J19" s="172"/>
      <c r="K19" s="174"/>
      <c r="L19" s="174"/>
      <c r="M19" s="175"/>
      <c r="N19" s="173"/>
      <c r="O19" s="173"/>
      <c r="P19" s="173"/>
      <c r="Q19" s="176"/>
      <c r="R19" s="177"/>
      <c r="S19" s="176"/>
      <c r="T19" s="175"/>
      <c r="U19" s="175"/>
      <c r="V19" s="176"/>
      <c r="W19" s="175"/>
      <c r="X19" s="178"/>
      <c r="Y19" s="330"/>
      <c r="Z19" s="331"/>
      <c r="AA19" s="331"/>
      <c r="AB19" s="331"/>
      <c r="AC19" s="331"/>
      <c r="AE19" s="147"/>
      <c r="AF19" s="179"/>
      <c r="AG19" s="179"/>
      <c r="AH19" s="179"/>
      <c r="AI19" s="179"/>
      <c r="AK19" s="147"/>
      <c r="AL19" s="179"/>
      <c r="AM19" s="179"/>
      <c r="AN19" s="179"/>
      <c r="AO19" s="179"/>
    </row>
    <row r="20" spans="1:41" ht="75" x14ac:dyDescent="0.4">
      <c r="A20" s="322" t="s">
        <v>703</v>
      </c>
      <c r="B20" s="322"/>
      <c r="C20" s="133" t="s">
        <v>114</v>
      </c>
      <c r="D20" s="133"/>
      <c r="E20" s="133" t="s">
        <v>691</v>
      </c>
      <c r="F20" s="133" t="s">
        <v>690</v>
      </c>
      <c r="G20" s="134" t="s">
        <v>692</v>
      </c>
      <c r="H20" s="134" t="s">
        <v>693</v>
      </c>
      <c r="I20" s="134" t="s">
        <v>694</v>
      </c>
      <c r="J20" s="135" t="s">
        <v>699</v>
      </c>
      <c r="K20" s="135"/>
      <c r="L20" s="136" t="s">
        <v>695</v>
      </c>
      <c r="M20" s="136" t="s">
        <v>697</v>
      </c>
      <c r="N20" s="136" t="s">
        <v>696</v>
      </c>
      <c r="O20" s="136" t="s">
        <v>698</v>
      </c>
      <c r="P20" s="136" t="s">
        <v>700</v>
      </c>
      <c r="Q20" s="136" t="s">
        <v>701</v>
      </c>
      <c r="R20" s="136" t="s">
        <v>702</v>
      </c>
      <c r="S20" s="136" t="s">
        <v>704</v>
      </c>
      <c r="T20" s="136" t="s">
        <v>705</v>
      </c>
      <c r="U20" s="136" t="s">
        <v>713</v>
      </c>
      <c r="V20" s="136" t="s">
        <v>706</v>
      </c>
      <c r="W20" s="136" t="s">
        <v>707</v>
      </c>
      <c r="X20" s="137"/>
      <c r="Y20" s="327"/>
      <c r="Z20" s="328"/>
      <c r="AA20" s="328"/>
      <c r="AB20" s="328"/>
      <c r="AC20" s="328"/>
      <c r="AE20" s="147"/>
      <c r="AF20" s="179"/>
      <c r="AG20" s="179"/>
      <c r="AH20" s="179"/>
      <c r="AI20" s="179"/>
      <c r="AK20" s="147"/>
      <c r="AL20" s="179"/>
      <c r="AM20" s="179"/>
      <c r="AN20" s="179"/>
      <c r="AO20" s="179"/>
    </row>
    <row r="21" spans="1:41" x14ac:dyDescent="0.4">
      <c r="A21" s="321" t="s">
        <v>711</v>
      </c>
      <c r="B21" s="138">
        <v>45658</v>
      </c>
      <c r="C21" s="124">
        <v>183193</v>
      </c>
      <c r="D21" s="124"/>
      <c r="E21" s="124"/>
      <c r="F21" s="124"/>
      <c r="G21" s="140">
        <v>2537.9899999999998</v>
      </c>
      <c r="H21" s="226">
        <v>35.479999999999997</v>
      </c>
      <c r="I21" s="123">
        <f>G21/H21</f>
        <v>71.532976324689969</v>
      </c>
      <c r="J21" s="221">
        <f>C21*G21/1000000</f>
        <v>464.94200206999994</v>
      </c>
      <c r="K21" s="221"/>
      <c r="L21" s="143"/>
      <c r="M21" s="144"/>
      <c r="N21" s="221"/>
      <c r="O21" s="221"/>
      <c r="P21" s="221"/>
      <c r="Q21" s="221"/>
      <c r="R21" s="221"/>
      <c r="S21" s="221"/>
      <c r="T21" s="221"/>
      <c r="U21" s="221"/>
      <c r="V21" s="221"/>
      <c r="W21" s="221"/>
      <c r="X21" s="180"/>
      <c r="Y21" s="164"/>
      <c r="Z21" s="169"/>
      <c r="AA21" s="169"/>
      <c r="AB21" s="169"/>
      <c r="AC21" s="169"/>
      <c r="AE21" s="164"/>
      <c r="AF21" s="169"/>
      <c r="AG21" s="169"/>
      <c r="AH21" s="169"/>
      <c r="AI21" s="169"/>
      <c r="AK21" s="164"/>
      <c r="AL21" s="169"/>
      <c r="AM21" s="169"/>
      <c r="AN21" s="169"/>
      <c r="AO21" s="169"/>
    </row>
    <row r="22" spans="1:41" x14ac:dyDescent="0.4">
      <c r="A22" s="321"/>
      <c r="B22" s="138">
        <v>45689</v>
      </c>
      <c r="C22" s="124">
        <v>143519</v>
      </c>
      <c r="D22" s="124"/>
      <c r="E22" s="124"/>
      <c r="F22" s="124"/>
      <c r="G22" s="140">
        <v>2506.77</v>
      </c>
      <c r="H22" s="226">
        <v>36.119999999999997</v>
      </c>
      <c r="I22" s="123">
        <f t="shared" ref="I22:I35" si="2">G22/H22</f>
        <v>69.401162790697683</v>
      </c>
      <c r="J22" s="221">
        <f t="shared" ref="J22:J35" si="3">C22*G22/1000000</f>
        <v>359.76912362999997</v>
      </c>
      <c r="K22" s="123"/>
      <c r="L22" s="143"/>
      <c r="M22" s="149"/>
      <c r="N22" s="221"/>
      <c r="O22" s="221"/>
      <c r="P22" s="221"/>
      <c r="Q22" s="221"/>
      <c r="R22" s="221"/>
      <c r="S22" s="221"/>
      <c r="T22" s="221"/>
      <c r="U22" s="221"/>
      <c r="V22" s="221"/>
      <c r="W22" s="221"/>
      <c r="X22" s="180"/>
      <c r="Y22" s="147"/>
      <c r="Z22" s="179"/>
      <c r="AA22" s="179"/>
      <c r="AB22" s="179"/>
      <c r="AC22" s="179"/>
      <c r="AE22" s="147"/>
      <c r="AF22" s="179"/>
      <c r="AG22" s="179"/>
      <c r="AH22" s="179"/>
      <c r="AI22" s="179"/>
      <c r="AK22" s="164"/>
      <c r="AL22" s="169"/>
      <c r="AM22" s="169"/>
      <c r="AN22" s="169"/>
      <c r="AO22" s="169"/>
    </row>
    <row r="23" spans="1:41" x14ac:dyDescent="0.4">
      <c r="A23" s="321"/>
      <c r="B23" s="138">
        <v>45717</v>
      </c>
      <c r="C23" s="124">
        <v>141519</v>
      </c>
      <c r="D23" s="124">
        <f>SUM(C21:C23)</f>
        <v>468231</v>
      </c>
      <c r="E23" s="124"/>
      <c r="F23" s="124"/>
      <c r="G23" s="140">
        <v>2207.1799999999998</v>
      </c>
      <c r="H23" s="226">
        <v>37.04</v>
      </c>
      <c r="I23" s="123">
        <f t="shared" si="2"/>
        <v>59.589092872570191</v>
      </c>
      <c r="J23" s="221">
        <f t="shared" si="3"/>
        <v>312.35790641999995</v>
      </c>
      <c r="K23" s="123">
        <f>SUM(J21:J23)</f>
        <v>1137.06903212</v>
      </c>
      <c r="L23" s="123">
        <f>_xll.RasFinancial($A$20,A21,3120,"XI_29","LOCAL",,FALSE(),"AC",,1000000)</f>
        <v>1663.187144</v>
      </c>
      <c r="M23" s="150">
        <f>(K23/L23)-1</f>
        <v>-0.31633127623550228</v>
      </c>
      <c r="N23" s="123">
        <f>_xll.RasFinancial($A$20,"2025/3M",3120,"XI_29","LOCAL",,FALSE(),"ACO",,1000000)</f>
        <v>1270.890316</v>
      </c>
      <c r="O23" s="150">
        <f>(K23/N23)-1</f>
        <v>-0.10529727246737475</v>
      </c>
      <c r="P23" s="221"/>
      <c r="Q23" s="221"/>
      <c r="R23" s="221"/>
      <c r="S23" s="221"/>
      <c r="T23" s="123">
        <f>-_xll.RasFinancial($A$20,A21,999010002,"IND_INT_DTL","LOCAL",,FALSE(),"AC",,1000000)</f>
        <v>1526.2361309999999</v>
      </c>
      <c r="U23" s="123">
        <f>-_xll.RasFinancial(A20,"2025/3M",999010002,"IND_INT_DTL","LOCAL",,FALSE(),"ACO",,1000000)</f>
        <v>1166.242011</v>
      </c>
      <c r="V23" s="221">
        <f>T23/N23</f>
        <v>1.2009188454623489</v>
      </c>
      <c r="W23" s="221">
        <f>L23-T23</f>
        <v>136.9510130000001</v>
      </c>
      <c r="X23" s="180"/>
      <c r="Y23" s="147"/>
      <c r="Z23" s="179"/>
      <c r="AA23" s="179"/>
      <c r="AB23" s="179"/>
      <c r="AC23" s="179"/>
      <c r="AE23" s="147"/>
      <c r="AF23" s="179"/>
      <c r="AG23" s="179"/>
      <c r="AH23" s="179"/>
      <c r="AI23" s="179"/>
      <c r="AK23" s="147"/>
      <c r="AL23" s="179"/>
      <c r="AM23" s="179"/>
      <c r="AN23" s="179"/>
      <c r="AO23" s="179"/>
    </row>
    <row r="24" spans="1:41" x14ac:dyDescent="0.4">
      <c r="A24" s="320" t="s">
        <v>710</v>
      </c>
      <c r="B24" s="153">
        <v>45748</v>
      </c>
      <c r="C24" s="125">
        <v>109988</v>
      </c>
      <c r="D24" s="125"/>
      <c r="E24" s="228"/>
      <c r="F24" s="228"/>
      <c r="G24" s="126">
        <v>2489.25</v>
      </c>
      <c r="H24" s="223">
        <v>38.049999999999997</v>
      </c>
      <c r="I24" s="127">
        <f t="shared" si="2"/>
        <v>65.420499342969777</v>
      </c>
      <c r="J24" s="222">
        <f t="shared" si="3"/>
        <v>273.78762899999998</v>
      </c>
      <c r="K24" s="127"/>
      <c r="L24" s="127"/>
      <c r="M24" s="155"/>
      <c r="N24" s="222"/>
      <c r="O24" s="225"/>
      <c r="P24" s="225"/>
      <c r="Q24" s="127"/>
      <c r="R24" s="127"/>
      <c r="S24" s="222"/>
      <c r="T24" s="223"/>
      <c r="U24" s="223"/>
      <c r="V24" s="222"/>
      <c r="W24" s="222"/>
      <c r="X24" s="180"/>
      <c r="Y24" s="181"/>
      <c r="Z24" s="182"/>
      <c r="AA24" s="182"/>
      <c r="AB24" s="182"/>
      <c r="AC24" s="182"/>
      <c r="AD24" s="145"/>
      <c r="AE24" s="183"/>
      <c r="AF24" s="184"/>
      <c r="AG24" s="184"/>
      <c r="AH24" s="179"/>
      <c r="AI24" s="179"/>
      <c r="AK24" s="147"/>
      <c r="AL24" s="179"/>
      <c r="AM24" s="179"/>
      <c r="AN24" s="179"/>
      <c r="AO24" s="179"/>
    </row>
    <row r="25" spans="1:41" x14ac:dyDescent="0.4">
      <c r="A25" s="320"/>
      <c r="B25" s="153">
        <v>45778</v>
      </c>
      <c r="C25" s="125">
        <v>193369</v>
      </c>
      <c r="D25" s="125"/>
      <c r="E25" s="228"/>
      <c r="F25" s="228"/>
      <c r="G25" s="126">
        <v>2474.98</v>
      </c>
      <c r="H25" s="223">
        <v>38.72</v>
      </c>
      <c r="I25" s="127">
        <f t="shared" si="2"/>
        <v>63.919938016528931</v>
      </c>
      <c r="J25" s="222">
        <f t="shared" si="3"/>
        <v>478.58440761999998</v>
      </c>
      <c r="K25" s="127"/>
      <c r="L25" s="127"/>
      <c r="M25" s="155"/>
      <c r="N25" s="222"/>
      <c r="O25" s="225"/>
      <c r="P25" s="225"/>
      <c r="Q25" s="127"/>
      <c r="R25" s="127"/>
      <c r="S25" s="222"/>
      <c r="T25" s="223"/>
      <c r="U25" s="223"/>
      <c r="V25" s="222"/>
      <c r="W25" s="222"/>
      <c r="X25" s="185"/>
      <c r="Y25" s="186"/>
      <c r="Z25" s="187"/>
      <c r="AA25" s="187"/>
      <c r="AB25" s="187"/>
      <c r="AC25" s="187"/>
      <c r="AD25" s="188"/>
      <c r="AE25" s="186"/>
      <c r="AF25" s="187"/>
      <c r="AG25" s="187"/>
      <c r="AH25" s="169"/>
      <c r="AI25" s="169"/>
      <c r="AK25" s="164"/>
      <c r="AL25" s="169"/>
      <c r="AM25" s="169"/>
      <c r="AN25" s="169"/>
      <c r="AO25" s="169"/>
    </row>
    <row r="26" spans="1:41" x14ac:dyDescent="0.4">
      <c r="A26" s="320"/>
      <c r="B26" s="153">
        <v>45809</v>
      </c>
      <c r="C26" s="125">
        <v>151062</v>
      </c>
      <c r="D26" s="125">
        <f>SUM(C24:C26)</f>
        <v>454419</v>
      </c>
      <c r="E26" s="228"/>
      <c r="F26" s="228"/>
      <c r="G26" s="126">
        <v>2240.61</v>
      </c>
      <c r="H26" s="223">
        <v>39.369999999999997</v>
      </c>
      <c r="I26" s="127">
        <f t="shared" si="2"/>
        <v>56.911607823215654</v>
      </c>
      <c r="J26" s="222">
        <f t="shared" si="3"/>
        <v>338.47102782000002</v>
      </c>
      <c r="K26" s="127">
        <f>SUM(J24:J26)</f>
        <v>1090.84306444</v>
      </c>
      <c r="L26" s="127">
        <f>_xll.RasFinancial($A$20,A24,3120,"XI_29","LOCAL",,FALSE(),"AC",,1000000)</f>
        <v>1262.514707</v>
      </c>
      <c r="M26" s="155">
        <f>(K26/L26)-1</f>
        <v>-0.13597595466268098</v>
      </c>
      <c r="N26" s="127">
        <f>(_xll.RasFinancial($A$20,"2025/6M",3120,"XI_29","LOCAL",,FALSE(),"ACO",,1000000))-N23</f>
        <v>1338.8535489999999</v>
      </c>
      <c r="O26" s="155">
        <f>(K26/N26)-1</f>
        <v>-0.18524093598231173</v>
      </c>
      <c r="P26" s="225"/>
      <c r="Q26" s="127"/>
      <c r="R26" s="127"/>
      <c r="S26" s="222"/>
      <c r="T26" s="126">
        <f>-_xll.RasFinancial($A$20,A24,999010002,"IND_INT_DTL","LOCAL",,FALSE(),"AC",,1000000)</f>
        <v>1236.2382279999999</v>
      </c>
      <c r="U26" s="126">
        <f>(-_xll.RasFinancial($A$20,"2025/6M",999010002,"IND_INT_DTL","LOCAL",,FALSE(),"ACO",,1000000)-U23)</f>
        <v>1306.2911379999998</v>
      </c>
      <c r="V26" s="222">
        <f>T26/N26</f>
        <v>0.92335582851713383</v>
      </c>
      <c r="W26" s="222">
        <f>L26-T26</f>
        <v>26.276479000000108</v>
      </c>
      <c r="X26" s="180"/>
      <c r="Y26" s="164"/>
      <c r="Z26" s="169"/>
      <c r="AA26" s="169"/>
      <c r="AB26" s="169"/>
      <c r="AC26" s="169"/>
      <c r="AE26" s="147"/>
      <c r="AF26" s="179"/>
      <c r="AG26" s="179"/>
      <c r="AH26" s="179"/>
      <c r="AI26" s="179"/>
      <c r="AK26" s="164"/>
      <c r="AL26" s="169"/>
      <c r="AM26" s="169"/>
      <c r="AN26" s="169"/>
      <c r="AO26" s="169"/>
    </row>
    <row r="27" spans="1:41" x14ac:dyDescent="0.4">
      <c r="A27" s="321" t="s">
        <v>709</v>
      </c>
      <c r="B27" s="138">
        <v>45839</v>
      </c>
      <c r="C27" s="124">
        <v>188065</v>
      </c>
      <c r="D27" s="124"/>
      <c r="E27" s="227"/>
      <c r="F27" s="227"/>
      <c r="G27" s="140">
        <v>2981.73</v>
      </c>
      <c r="H27" s="226">
        <v>40.14</v>
      </c>
      <c r="I27" s="123">
        <f t="shared" si="2"/>
        <v>74.283258594917783</v>
      </c>
      <c r="J27" s="221">
        <f t="shared" si="3"/>
        <v>560.75905245000001</v>
      </c>
      <c r="K27" s="123"/>
      <c r="L27" s="123"/>
      <c r="M27" s="150"/>
      <c r="N27" s="221"/>
      <c r="O27" s="224"/>
      <c r="P27" s="224"/>
      <c r="Q27" s="221"/>
      <c r="R27" s="221"/>
      <c r="S27" s="221"/>
      <c r="T27" s="221"/>
      <c r="U27" s="221"/>
      <c r="V27" s="221"/>
      <c r="W27" s="221"/>
      <c r="X27" s="180"/>
      <c r="Y27" s="164"/>
      <c r="Z27" s="169"/>
      <c r="AA27" s="169"/>
      <c r="AB27" s="169"/>
      <c r="AC27" s="169"/>
      <c r="AE27" s="164"/>
      <c r="AF27" s="169"/>
      <c r="AG27" s="169"/>
      <c r="AH27" s="169"/>
      <c r="AI27" s="169"/>
      <c r="AK27" s="164"/>
      <c r="AL27" s="169"/>
      <c r="AM27" s="169"/>
      <c r="AN27" s="169"/>
      <c r="AO27" s="169"/>
    </row>
    <row r="28" spans="1:41" x14ac:dyDescent="0.4">
      <c r="A28" s="321"/>
      <c r="B28" s="138">
        <v>45870</v>
      </c>
      <c r="C28" s="124">
        <v>210270</v>
      </c>
      <c r="D28" s="124"/>
      <c r="E28" s="227"/>
      <c r="F28" s="227"/>
      <c r="G28" s="140">
        <v>2952.26</v>
      </c>
      <c r="H28" s="226">
        <v>40.75</v>
      </c>
      <c r="I28" s="123">
        <f t="shared" si="2"/>
        <v>72.448098159509215</v>
      </c>
      <c r="J28" s="221">
        <f t="shared" si="3"/>
        <v>620.77171020000003</v>
      </c>
      <c r="K28" s="123"/>
      <c r="L28" s="123"/>
      <c r="M28" s="150"/>
      <c r="N28" s="221"/>
      <c r="O28" s="224"/>
      <c r="P28" s="224"/>
      <c r="Q28" s="221"/>
      <c r="R28" s="221"/>
      <c r="S28" s="221"/>
      <c r="T28" s="221"/>
      <c r="U28" s="221"/>
      <c r="V28" s="221"/>
      <c r="W28" s="221"/>
      <c r="X28" s="180"/>
      <c r="Y28" s="147"/>
      <c r="Z28" s="179"/>
      <c r="AA28" s="179"/>
      <c r="AB28" s="179"/>
      <c r="AC28" s="179"/>
      <c r="AE28" s="147"/>
      <c r="AF28" s="179"/>
      <c r="AG28" s="179"/>
      <c r="AH28" s="179"/>
      <c r="AI28" s="179"/>
      <c r="AK28" s="164"/>
      <c r="AL28" s="169"/>
      <c r="AM28" s="169"/>
      <c r="AN28" s="169"/>
      <c r="AO28" s="169"/>
    </row>
    <row r="29" spans="1:41" x14ac:dyDescent="0.4">
      <c r="A29" s="321"/>
      <c r="B29" s="138">
        <v>45901</v>
      </c>
      <c r="C29" s="124">
        <v>182893</v>
      </c>
      <c r="D29" s="124">
        <f>SUM(C27:C29)</f>
        <v>581228</v>
      </c>
      <c r="E29" s="227"/>
      <c r="F29" s="227"/>
      <c r="G29" s="140">
        <v>2765.58</v>
      </c>
      <c r="H29" s="226">
        <v>41.24</v>
      </c>
      <c r="I29" s="123">
        <f t="shared" si="2"/>
        <v>67.060620756547038</v>
      </c>
      <c r="J29" s="221">
        <f t="shared" si="3"/>
        <v>505.80522294000002</v>
      </c>
      <c r="K29" s="123">
        <f>SUM(J27:J29)</f>
        <v>1687.3359855900001</v>
      </c>
      <c r="L29" s="123">
        <f>_xll.RasFinancial($A$20,A27,3120,"XI_29","LOCAL",,FALSE(),"AC",,1000000)</f>
        <v>1815.61123</v>
      </c>
      <c r="M29" s="150">
        <f>(K29/L29)-1</f>
        <v>-7.0651272855367764E-2</v>
      </c>
      <c r="N29" s="123">
        <f>_xll.RasFinancial(A20,"2025/9M",3120,"XI_29","LOCAL",,FALSE(),"ACO",,1000000)-N26-N23</f>
        <v>2011.4563770000009</v>
      </c>
      <c r="O29" s="150">
        <f>(K29/N29)-1</f>
        <v>-0.16113717161165197</v>
      </c>
      <c r="P29" s="224"/>
      <c r="Q29" s="221"/>
      <c r="R29" s="221"/>
      <c r="S29" s="221"/>
      <c r="T29" s="221">
        <f>-_xll.RasFinancial($A$20,A27,999010002,"IND_INT_DTL","LOCAL",,FALSE(),"AC",,1000000)</f>
        <v>1456.950298</v>
      </c>
      <c r="U29" s="221">
        <f>(-_xll.RasFinancial($A$20,"2025/9M",999010002,"IND_INT_DTL","LOCAL",,FALSE(),"ACO",,1000000)-U26-U23)</f>
        <v>1642.4986289999999</v>
      </c>
      <c r="V29" s="221">
        <f>T29/N29</f>
        <v>0.72432607271999483</v>
      </c>
      <c r="W29" s="221">
        <f>L29-T29</f>
        <v>358.660932</v>
      </c>
      <c r="X29" s="180"/>
      <c r="Y29" s="147"/>
      <c r="Z29" s="179"/>
      <c r="AA29" s="179"/>
      <c r="AB29" s="179"/>
      <c r="AC29" s="179"/>
      <c r="AE29" s="147"/>
      <c r="AF29" s="179"/>
      <c r="AG29" s="179"/>
      <c r="AH29" s="179"/>
      <c r="AI29" s="179"/>
      <c r="AK29" s="147"/>
      <c r="AL29" s="179"/>
      <c r="AM29" s="179"/>
      <c r="AN29" s="179"/>
      <c r="AO29" s="179"/>
    </row>
    <row r="30" spans="1:41" x14ac:dyDescent="0.4">
      <c r="A30" s="320" t="s">
        <v>708</v>
      </c>
      <c r="B30" s="153">
        <v>45931</v>
      </c>
      <c r="C30" s="125">
        <v>173700</v>
      </c>
      <c r="D30" s="125"/>
      <c r="E30" s="228"/>
      <c r="F30" s="228"/>
      <c r="G30" s="126">
        <v>2764.54</v>
      </c>
      <c r="H30" s="223">
        <v>41.75</v>
      </c>
      <c r="I30" s="127">
        <f t="shared" si="2"/>
        <v>66.216526946107777</v>
      </c>
      <c r="J30" s="222">
        <f t="shared" si="3"/>
        <v>480.20059800000001</v>
      </c>
      <c r="K30" s="127"/>
      <c r="L30" s="127"/>
      <c r="M30" s="155"/>
      <c r="N30" s="222"/>
      <c r="O30" s="225"/>
      <c r="P30" s="225"/>
      <c r="Q30" s="127"/>
      <c r="R30" s="222"/>
      <c r="S30" s="222"/>
      <c r="T30" s="222"/>
      <c r="U30" s="222"/>
      <c r="V30" s="222"/>
      <c r="W30" s="222"/>
      <c r="X30" s="180"/>
      <c r="Y30" s="147"/>
      <c r="Z30" s="179"/>
      <c r="AA30" s="179"/>
      <c r="AB30" s="179"/>
      <c r="AC30" s="179"/>
      <c r="AE30" s="147"/>
      <c r="AF30" s="179"/>
      <c r="AG30" s="179"/>
      <c r="AH30" s="179"/>
      <c r="AI30" s="179"/>
      <c r="AK30" s="147"/>
      <c r="AL30" s="179"/>
      <c r="AM30" s="179"/>
      <c r="AN30" s="179"/>
      <c r="AO30" s="179"/>
    </row>
    <row r="31" spans="1:41" x14ac:dyDescent="0.4">
      <c r="A31" s="320"/>
      <c r="B31" s="153">
        <v>45962</v>
      </c>
      <c r="C31" s="125">
        <v>173792</v>
      </c>
      <c r="D31" s="125"/>
      <c r="E31" s="228"/>
      <c r="F31" s="228"/>
      <c r="G31" s="126">
        <v>2814.97</v>
      </c>
      <c r="H31" s="223">
        <v>42.2</v>
      </c>
      <c r="I31" s="127">
        <f t="shared" si="2"/>
        <v>66.705450236966811</v>
      </c>
      <c r="J31" s="222">
        <f t="shared" si="3"/>
        <v>489.21926623999997</v>
      </c>
      <c r="K31" s="127"/>
      <c r="L31" s="127"/>
      <c r="M31" s="155"/>
      <c r="N31" s="222"/>
      <c r="O31" s="225"/>
      <c r="P31" s="225"/>
      <c r="Q31" s="127"/>
      <c r="R31" s="222"/>
      <c r="S31" s="222"/>
      <c r="T31" s="222"/>
      <c r="U31" s="222"/>
      <c r="V31" s="222"/>
      <c r="W31" s="222"/>
      <c r="X31" s="180"/>
      <c r="Y31" s="147"/>
      <c r="Z31" s="179"/>
      <c r="AA31" s="179"/>
      <c r="AB31" s="179"/>
      <c r="AC31" s="179"/>
      <c r="AE31" s="147"/>
      <c r="AF31" s="179"/>
      <c r="AG31" s="179"/>
      <c r="AH31" s="179"/>
      <c r="AI31" s="179"/>
      <c r="AK31" s="147"/>
      <c r="AL31" s="179"/>
      <c r="AM31" s="179"/>
      <c r="AN31" s="179"/>
      <c r="AO31" s="179"/>
    </row>
    <row r="32" spans="1:41" x14ac:dyDescent="0.4">
      <c r="A32" s="320"/>
      <c r="B32" s="153">
        <v>45992</v>
      </c>
      <c r="C32" s="125">
        <v>182006</v>
      </c>
      <c r="D32" s="125">
        <f>SUM(C30:C32)</f>
        <v>529498</v>
      </c>
      <c r="E32" s="125">
        <v>2034000</v>
      </c>
      <c r="F32" s="155">
        <f>((D23+D26+D29+D32)/E32)-1</f>
        <v>-3.0678466076694555E-4</v>
      </c>
      <c r="G32" s="126">
        <v>3005.44</v>
      </c>
      <c r="H32" s="223">
        <v>42.61</v>
      </c>
      <c r="I32" s="127">
        <f t="shared" si="2"/>
        <v>70.533677540483453</v>
      </c>
      <c r="J32" s="222">
        <f t="shared" si="3"/>
        <v>547.00811264000004</v>
      </c>
      <c r="K32" s="127">
        <f>SUM(J30:J32)</f>
        <v>1516.42797688</v>
      </c>
      <c r="L32" s="127">
        <f>_xll.RasFinancial($A$20,A30,3120,"XI_29","LOCAL",,FALSE(),"AC",,1000000)</f>
        <v>1677.2904283947664</v>
      </c>
      <c r="M32" s="155">
        <f>(K32/L32)-1</f>
        <v>-9.5906140517786342E-2</v>
      </c>
      <c r="N32" s="127">
        <f>_xll.RasFinancial($A$20,A30,3120,"XI_29","LOCAL",,FALSE(),"ACO",,1000000)</f>
        <v>1677.2904283947664</v>
      </c>
      <c r="O32" s="155">
        <f>(K32/N32)-1</f>
        <v>-9.5906140517786342E-2</v>
      </c>
      <c r="P32" s="155">
        <f>(M23+M26+M29+M32)/4</f>
        <v>-0.15471616106783434</v>
      </c>
      <c r="Q32" s="155">
        <f>(O23+O26+O29+O32)/4</f>
        <v>-0.1368953801447812</v>
      </c>
      <c r="R32" s="222"/>
      <c r="S32" s="222"/>
      <c r="T32" s="222">
        <f>-_xll.RasFinancial($A$20,A30,999010002,"IND_INT_DTL","LOCAL",,FALSE(),"AC",,1000000)</f>
        <v>1571.2468926066731</v>
      </c>
      <c r="U32" s="222">
        <f>-_xll.RasFinancial($A$20,A12,999010002,"IND_INT_DTL","LOCAL",,FALSE(),"ACO",,1000000)</f>
        <v>1571.2468926066731</v>
      </c>
      <c r="V32" s="222">
        <f>T32/N32</f>
        <v>0.9367768789513804</v>
      </c>
      <c r="W32" s="222">
        <f>L32-T32</f>
        <v>106.04353578809332</v>
      </c>
      <c r="X32" s="180"/>
      <c r="Y32" s="147"/>
      <c r="Z32" s="179"/>
      <c r="AA32" s="179"/>
      <c r="AB32" s="179"/>
      <c r="AC32" s="179"/>
      <c r="AE32" s="147"/>
      <c r="AF32" s="179"/>
      <c r="AG32" s="179"/>
      <c r="AH32" s="179"/>
      <c r="AI32" s="179"/>
      <c r="AK32" s="147"/>
      <c r="AL32" s="179"/>
      <c r="AM32" s="179"/>
      <c r="AN32" s="179"/>
      <c r="AO32" s="179"/>
    </row>
    <row r="33" spans="1:41" x14ac:dyDescent="0.4">
      <c r="A33" s="321" t="s">
        <v>712</v>
      </c>
      <c r="B33" s="138">
        <v>46023</v>
      </c>
      <c r="C33" s="124">
        <v>107354</v>
      </c>
      <c r="D33" s="124"/>
      <c r="E33" s="227"/>
      <c r="F33" s="227"/>
      <c r="G33" s="140">
        <v>2929.4</v>
      </c>
      <c r="H33" s="226">
        <v>43.14</v>
      </c>
      <c r="I33" s="123">
        <f t="shared" si="2"/>
        <v>67.904496986555401</v>
      </c>
      <c r="J33" s="221">
        <f t="shared" si="3"/>
        <v>314.4828076</v>
      </c>
      <c r="K33" s="123"/>
      <c r="L33" s="123"/>
      <c r="M33" s="149"/>
      <c r="N33" s="221"/>
      <c r="O33" s="221"/>
      <c r="P33" s="221"/>
      <c r="Q33" s="221"/>
      <c r="R33" s="221"/>
      <c r="S33" s="221"/>
      <c r="T33" s="221"/>
      <c r="U33" s="221"/>
      <c r="V33" s="221"/>
      <c r="W33" s="221"/>
      <c r="X33" s="180"/>
      <c r="Y33" s="164"/>
      <c r="Z33" s="169"/>
      <c r="AA33" s="169"/>
      <c r="AB33" s="169"/>
      <c r="AC33" s="169"/>
      <c r="AE33" s="147"/>
      <c r="AF33" s="179"/>
      <c r="AG33" s="179"/>
      <c r="AH33" s="179"/>
      <c r="AI33" s="179"/>
      <c r="AK33" s="147"/>
      <c r="AL33" s="179"/>
      <c r="AM33" s="179"/>
      <c r="AN33" s="179"/>
      <c r="AO33" s="179"/>
    </row>
    <row r="34" spans="1:41" x14ac:dyDescent="0.4">
      <c r="A34" s="321"/>
      <c r="B34" s="138">
        <v>46054</v>
      </c>
      <c r="C34" s="124">
        <v>142725</v>
      </c>
      <c r="D34" s="124"/>
      <c r="E34" s="227"/>
      <c r="F34" s="227"/>
      <c r="G34" s="140">
        <v>2141.92</v>
      </c>
      <c r="H34" s="226">
        <v>43.61</v>
      </c>
      <c r="I34" s="123">
        <f t="shared" si="2"/>
        <v>49.115340518229765</v>
      </c>
      <c r="J34" s="221">
        <f t="shared" si="3"/>
        <v>305.70553200000001</v>
      </c>
      <c r="K34" s="123"/>
      <c r="L34" s="123"/>
      <c r="M34" s="149"/>
      <c r="N34" s="221"/>
      <c r="O34" s="221"/>
      <c r="P34" s="221"/>
      <c r="Q34" s="221"/>
      <c r="R34" s="221"/>
      <c r="S34" s="221"/>
      <c r="T34" s="221"/>
      <c r="U34" s="221"/>
      <c r="V34" s="221"/>
      <c r="W34" s="221"/>
      <c r="X34" s="180"/>
      <c r="Y34" s="164"/>
      <c r="Z34" s="169"/>
      <c r="AA34" s="169"/>
      <c r="AB34" s="169"/>
      <c r="AC34" s="169"/>
      <c r="AE34" s="164"/>
      <c r="AF34" s="169"/>
      <c r="AG34" s="169"/>
      <c r="AH34" s="169"/>
      <c r="AI34" s="169"/>
      <c r="AK34" s="164"/>
      <c r="AL34" s="169"/>
      <c r="AM34" s="169"/>
      <c r="AN34" s="169"/>
      <c r="AO34" s="169"/>
    </row>
    <row r="35" spans="1:41" x14ac:dyDescent="0.4">
      <c r="A35" s="321"/>
      <c r="B35" s="138">
        <v>46082</v>
      </c>
      <c r="C35" s="124">
        <v>110529</v>
      </c>
      <c r="D35" s="124">
        <f>SUM(C33:C35)</f>
        <v>360608</v>
      </c>
      <c r="E35" s="227"/>
      <c r="F35" s="227"/>
      <c r="G35" s="140">
        <v>1726.85</v>
      </c>
      <c r="H35" s="226">
        <v>44.1</v>
      </c>
      <c r="I35" s="123">
        <f t="shared" si="2"/>
        <v>39.157596371882086</v>
      </c>
      <c r="J35" s="221">
        <f t="shared" si="3"/>
        <v>190.86700364999999</v>
      </c>
      <c r="K35" s="123">
        <f>SUM(J33:J35)</f>
        <v>811.05534325000008</v>
      </c>
      <c r="L35" s="123"/>
      <c r="M35" s="149"/>
      <c r="N35" s="221"/>
      <c r="O35" s="221"/>
      <c r="P35" s="221"/>
      <c r="Q35" s="221"/>
      <c r="R35" s="221">
        <f>K35/(1+P32)</f>
        <v>959.50650644710549</v>
      </c>
      <c r="S35" s="221">
        <f>K35/(1+Q32)</f>
        <v>939.69528674988476</v>
      </c>
      <c r="T35" s="221">
        <f>R35*V35</f>
        <v>908.02361529282337</v>
      </c>
      <c r="U35" s="221"/>
      <c r="V35" s="123">
        <f>(V23+V26+V32+V29)/4</f>
        <v>0.94634440641271445</v>
      </c>
      <c r="W35" s="221">
        <f>R35-T35</f>
        <v>51.482891154282129</v>
      </c>
      <c r="X35" s="180"/>
      <c r="Y35" s="147"/>
      <c r="Z35" s="179"/>
      <c r="AA35" s="179"/>
      <c r="AB35" s="179"/>
      <c r="AC35" s="179"/>
      <c r="AE35" s="147"/>
      <c r="AF35" s="179"/>
      <c r="AG35" s="179"/>
      <c r="AH35" s="179"/>
      <c r="AI35" s="179"/>
      <c r="AK35" s="164"/>
      <c r="AL35" s="169"/>
      <c r="AM35" s="169"/>
      <c r="AN35" s="169"/>
      <c r="AO35" s="169"/>
    </row>
    <row r="36" spans="1:41" x14ac:dyDescent="0.4">
      <c r="A36" s="170"/>
      <c r="B36" s="171"/>
      <c r="C36" s="172"/>
      <c r="D36" s="172"/>
      <c r="E36" s="172"/>
      <c r="F36" s="172"/>
      <c r="G36" s="172"/>
      <c r="H36" s="173"/>
      <c r="I36" s="173"/>
      <c r="J36" s="172"/>
      <c r="K36" s="174"/>
      <c r="L36" s="174"/>
      <c r="M36" s="175"/>
      <c r="N36" s="173"/>
      <c r="O36" s="173"/>
      <c r="P36" s="173"/>
      <c r="Q36" s="176"/>
      <c r="R36" s="177"/>
      <c r="S36" s="176"/>
      <c r="T36" s="176"/>
      <c r="U36" s="176"/>
      <c r="V36" s="176"/>
      <c r="W36" s="176"/>
      <c r="X36" s="178"/>
      <c r="Y36" s="189"/>
      <c r="Z36" s="190"/>
      <c r="AA36" s="179"/>
      <c r="AB36" s="179"/>
      <c r="AC36" s="179"/>
      <c r="AE36" s="147"/>
      <c r="AF36" s="179"/>
      <c r="AG36" s="179"/>
      <c r="AH36" s="179"/>
      <c r="AI36" s="179"/>
      <c r="AK36" s="147"/>
      <c r="AL36" s="179"/>
      <c r="AM36" s="179"/>
      <c r="AN36" s="179"/>
      <c r="AO36" s="179"/>
    </row>
    <row r="37" spans="1:41" x14ac:dyDescent="0.4">
      <c r="A37" s="170"/>
      <c r="B37" s="171"/>
      <c r="C37" s="210">
        <v>1673</v>
      </c>
      <c r="D37" s="211">
        <v>1011</v>
      </c>
      <c r="E37" s="210">
        <v>3125</v>
      </c>
      <c r="F37" s="211">
        <v>652</v>
      </c>
      <c r="G37" s="210">
        <v>1217</v>
      </c>
      <c r="H37" s="211">
        <v>1189</v>
      </c>
      <c r="I37" s="210">
        <v>1798</v>
      </c>
      <c r="J37" s="211">
        <v>1797</v>
      </c>
      <c r="K37" s="210">
        <v>1519</v>
      </c>
      <c r="L37" s="174"/>
      <c r="M37" s="175"/>
      <c r="N37" s="173"/>
      <c r="O37" s="173"/>
      <c r="P37" s="173"/>
      <c r="Q37" s="176"/>
      <c r="R37" s="177"/>
      <c r="S37" s="176"/>
      <c r="T37" s="176"/>
      <c r="U37" s="176"/>
      <c r="V37" s="176"/>
      <c r="W37" s="176"/>
      <c r="X37" s="178"/>
      <c r="Y37" s="189"/>
      <c r="Z37" s="190"/>
      <c r="AA37" s="179"/>
      <c r="AB37" s="179"/>
      <c r="AC37" s="179"/>
      <c r="AE37" s="147"/>
      <c r="AF37" s="179"/>
      <c r="AG37" s="179"/>
      <c r="AH37" s="179"/>
      <c r="AI37" s="179"/>
      <c r="AK37" s="147"/>
      <c r="AL37" s="179"/>
      <c r="AM37" s="179"/>
      <c r="AN37" s="179"/>
      <c r="AO37" s="179"/>
    </row>
    <row r="38" spans="1:41" ht="112.5" customHeight="1" x14ac:dyDescent="0.4">
      <c r="A38" s="322" t="s">
        <v>715</v>
      </c>
      <c r="B38" s="322"/>
      <c r="C38" s="191" t="s">
        <v>52</v>
      </c>
      <c r="D38" s="192" t="s">
        <v>39</v>
      </c>
      <c r="E38" s="191" t="s">
        <v>40</v>
      </c>
      <c r="F38" s="192" t="s">
        <v>41</v>
      </c>
      <c r="G38" s="191" t="s">
        <v>53</v>
      </c>
      <c r="H38" s="192" t="s">
        <v>54</v>
      </c>
      <c r="I38" s="191" t="s">
        <v>42</v>
      </c>
      <c r="J38" s="192" t="s">
        <v>43</v>
      </c>
      <c r="K38" s="191" t="s">
        <v>38</v>
      </c>
      <c r="L38" s="133"/>
      <c r="M38" s="133" t="s">
        <v>691</v>
      </c>
      <c r="N38" s="133" t="s">
        <v>690</v>
      </c>
      <c r="O38" s="134" t="s">
        <v>692</v>
      </c>
      <c r="P38" s="134" t="s">
        <v>693</v>
      </c>
      <c r="Q38" s="134" t="s">
        <v>694</v>
      </c>
      <c r="R38" s="135" t="s">
        <v>716</v>
      </c>
      <c r="S38" s="135"/>
      <c r="T38" s="136" t="s">
        <v>695</v>
      </c>
      <c r="U38" s="136" t="s">
        <v>697</v>
      </c>
      <c r="V38" s="136" t="s">
        <v>696</v>
      </c>
      <c r="W38" s="136" t="s">
        <v>698</v>
      </c>
      <c r="X38" s="136" t="s">
        <v>700</v>
      </c>
      <c r="Y38" s="136" t="s">
        <v>701</v>
      </c>
      <c r="Z38" s="136" t="s">
        <v>702</v>
      </c>
      <c r="AA38" s="136" t="s">
        <v>704</v>
      </c>
      <c r="AB38" s="137"/>
      <c r="AC38" s="137"/>
      <c r="AD38" s="137"/>
      <c r="AE38" s="137"/>
      <c r="AF38" s="179"/>
      <c r="AG38" s="179"/>
      <c r="AH38" s="179"/>
      <c r="AI38" s="179"/>
      <c r="AK38" s="147"/>
      <c r="AL38" s="179"/>
      <c r="AM38" s="179"/>
      <c r="AN38" s="179"/>
      <c r="AO38" s="179"/>
    </row>
    <row r="39" spans="1:41" x14ac:dyDescent="0.4">
      <c r="A39" s="321" t="s">
        <v>711</v>
      </c>
      <c r="B39" s="138">
        <v>45658</v>
      </c>
      <c r="C39" s="128">
        <v>400037.23</v>
      </c>
      <c r="D39" s="129">
        <v>1165.21</v>
      </c>
      <c r="E39" s="128">
        <v>0</v>
      </c>
      <c r="F39" s="129">
        <v>8643.75</v>
      </c>
      <c r="G39" s="128">
        <v>3911</v>
      </c>
      <c r="H39" s="129">
        <v>4782.8999999999996</v>
      </c>
      <c r="I39" s="128">
        <v>3808</v>
      </c>
      <c r="J39" s="129">
        <v>3599</v>
      </c>
      <c r="K39" s="128">
        <v>6766.96</v>
      </c>
      <c r="L39" s="140"/>
      <c r="M39" s="226"/>
      <c r="N39" s="140"/>
      <c r="O39" s="140">
        <v>2537.9899999999998</v>
      </c>
      <c r="P39" s="226">
        <v>35.479999999999997</v>
      </c>
      <c r="Q39" s="123">
        <f>O39/P39</f>
        <v>71.532976324689969</v>
      </c>
      <c r="R39" s="123">
        <f>AKENR!G53/1000000</f>
        <v>1099.8670335501599</v>
      </c>
      <c r="S39" s="123"/>
      <c r="T39" s="123"/>
      <c r="U39" s="123"/>
      <c r="V39" s="123"/>
      <c r="W39" s="123"/>
      <c r="X39" s="123"/>
      <c r="Y39" s="123"/>
      <c r="Z39" s="194"/>
      <c r="AA39" s="195"/>
      <c r="AB39" s="182"/>
      <c r="AC39" s="182"/>
      <c r="AD39" s="182"/>
      <c r="AE39" s="182"/>
      <c r="AF39" s="179"/>
      <c r="AG39" s="179"/>
      <c r="AH39" s="179"/>
      <c r="AI39" s="179"/>
      <c r="AK39" s="147"/>
      <c r="AL39" s="179"/>
      <c r="AM39" s="179"/>
      <c r="AN39" s="179"/>
      <c r="AO39" s="179"/>
    </row>
    <row r="40" spans="1:41" x14ac:dyDescent="0.4">
      <c r="A40" s="321"/>
      <c r="B40" s="138">
        <v>45689</v>
      </c>
      <c r="C40" s="128">
        <v>284543.7</v>
      </c>
      <c r="D40" s="129">
        <v>966.98</v>
      </c>
      <c r="E40" s="128">
        <v>0</v>
      </c>
      <c r="F40" s="129">
        <v>11619.11</v>
      </c>
      <c r="G40" s="128">
        <v>3502</v>
      </c>
      <c r="H40" s="129">
        <v>4555.2700000000004</v>
      </c>
      <c r="I40" s="128">
        <v>3718</v>
      </c>
      <c r="J40" s="129">
        <v>3254</v>
      </c>
      <c r="K40" s="128">
        <v>7403.36</v>
      </c>
      <c r="L40" s="140"/>
      <c r="M40" s="226"/>
      <c r="N40" s="140"/>
      <c r="O40" s="140">
        <v>2506.77</v>
      </c>
      <c r="P40" s="226">
        <v>36.119999999999997</v>
      </c>
      <c r="Q40" s="123">
        <f t="shared" ref="Q40:Q53" si="4">O40/P40</f>
        <v>69.401162790697683</v>
      </c>
      <c r="R40" s="123">
        <f>AKENR!H53/1000000</f>
        <v>802.55660326111195</v>
      </c>
      <c r="S40" s="123"/>
      <c r="T40" s="123"/>
      <c r="U40" s="123"/>
      <c r="V40" s="123"/>
      <c r="W40" s="123"/>
      <c r="X40" s="123"/>
      <c r="Y40" s="123"/>
      <c r="Z40" s="194"/>
      <c r="AA40" s="195"/>
      <c r="AB40" s="182"/>
      <c r="AC40" s="182"/>
      <c r="AD40" s="182"/>
      <c r="AE40" s="182"/>
      <c r="AF40" s="169"/>
      <c r="AG40" s="169"/>
      <c r="AH40" s="169"/>
      <c r="AI40" s="169"/>
      <c r="AK40" s="164"/>
      <c r="AL40" s="169"/>
      <c r="AM40" s="169"/>
      <c r="AN40" s="169"/>
      <c r="AO40" s="169"/>
    </row>
    <row r="41" spans="1:41" x14ac:dyDescent="0.4">
      <c r="A41" s="321"/>
      <c r="B41" s="138">
        <v>45717</v>
      </c>
      <c r="C41" s="128">
        <v>251002.18</v>
      </c>
      <c r="D41" s="129">
        <v>1690.95</v>
      </c>
      <c r="E41" s="128">
        <v>2700.53</v>
      </c>
      <c r="F41" s="129">
        <v>5759.52</v>
      </c>
      <c r="G41" s="128">
        <v>4800</v>
      </c>
      <c r="H41" s="129">
        <v>5869.53</v>
      </c>
      <c r="I41" s="128">
        <v>4357.3900000000003</v>
      </c>
      <c r="J41" s="129">
        <v>4230.9399999999996</v>
      </c>
      <c r="K41" s="128">
        <v>7575.27</v>
      </c>
      <c r="L41" s="140">
        <f>SUM(C39:K41)</f>
        <v>1040262.7799999999</v>
      </c>
      <c r="M41" s="226"/>
      <c r="N41" s="140"/>
      <c r="O41" s="140">
        <v>2207.1799999999998</v>
      </c>
      <c r="P41" s="226">
        <v>37.04</v>
      </c>
      <c r="Q41" s="123">
        <f t="shared" si="4"/>
        <v>59.589092872570191</v>
      </c>
      <c r="R41" s="123">
        <f>AKENR!I53/1000000</f>
        <v>637.46069224262408</v>
      </c>
      <c r="S41" s="123">
        <f>SUM(R39:R41)</f>
        <v>2539.8843290538962</v>
      </c>
      <c r="T41" s="123">
        <f>_xll.RasFinancial($A$38,A39,3120,"XI_29","LOCAL",,FALSE(),"AC",,1000000)</f>
        <v>6638.2330000000002</v>
      </c>
      <c r="U41" s="150">
        <f>(S41/T41)-1</f>
        <v>-0.61738548058588849</v>
      </c>
      <c r="V41" s="123">
        <f>_xll.RasFinancial($A$38,"2025/3M",3120,"XI_29","LOCAL",,FALSE(),"ACO",,1000000)</f>
        <v>5072.5630000000001</v>
      </c>
      <c r="W41" s="150">
        <f>(S41/V41)-1</f>
        <v>-0.49928974188119568</v>
      </c>
      <c r="X41" s="123"/>
      <c r="Y41" s="123"/>
      <c r="Z41" s="194"/>
      <c r="AA41" s="196"/>
      <c r="AB41" s="184"/>
      <c r="AC41" s="184"/>
      <c r="AD41" s="184"/>
      <c r="AE41" s="184"/>
      <c r="AF41" s="179"/>
      <c r="AG41" s="179"/>
      <c r="AH41" s="179"/>
      <c r="AI41" s="179"/>
      <c r="AK41" s="164"/>
      <c r="AL41" s="169"/>
      <c r="AM41" s="169"/>
      <c r="AN41" s="169"/>
      <c r="AO41" s="169"/>
    </row>
    <row r="42" spans="1:41" x14ac:dyDescent="0.4">
      <c r="A42" s="320" t="s">
        <v>710</v>
      </c>
      <c r="B42" s="153">
        <v>45748</v>
      </c>
      <c r="C42" s="130">
        <v>164507.24</v>
      </c>
      <c r="D42" s="131">
        <v>2822.49</v>
      </c>
      <c r="E42" s="130">
        <v>6169.64</v>
      </c>
      <c r="F42" s="131">
        <v>2251.75</v>
      </c>
      <c r="G42" s="130">
        <v>9506</v>
      </c>
      <c r="H42" s="131">
        <v>11286.68</v>
      </c>
      <c r="I42" s="130">
        <v>7472</v>
      </c>
      <c r="J42" s="131">
        <v>8393</v>
      </c>
      <c r="K42" s="130">
        <v>5934.37</v>
      </c>
      <c r="L42" s="126"/>
      <c r="M42" s="223"/>
      <c r="N42" s="126"/>
      <c r="O42" s="126">
        <v>2489.25</v>
      </c>
      <c r="P42" s="223">
        <v>38.049999999999997</v>
      </c>
      <c r="Q42" s="127">
        <f t="shared" si="4"/>
        <v>65.420499342969777</v>
      </c>
      <c r="R42" s="127">
        <f>AKENR!J53/1000000</f>
        <v>544.50354231648998</v>
      </c>
      <c r="S42" s="127"/>
      <c r="T42" s="127"/>
      <c r="U42" s="155"/>
      <c r="V42" s="126"/>
      <c r="W42" s="199"/>
      <c r="X42" s="127"/>
      <c r="Y42" s="127"/>
      <c r="Z42" s="197"/>
      <c r="AA42" s="198"/>
      <c r="AB42" s="182"/>
      <c r="AC42" s="182"/>
      <c r="AD42" s="182"/>
      <c r="AE42" s="182"/>
      <c r="AF42" s="179"/>
      <c r="AG42" s="179"/>
      <c r="AH42" s="179"/>
      <c r="AI42" s="179"/>
      <c r="AK42" s="147"/>
      <c r="AL42" s="179"/>
      <c r="AM42" s="179"/>
      <c r="AN42" s="179"/>
      <c r="AO42" s="179"/>
    </row>
    <row r="43" spans="1:41" x14ac:dyDescent="0.4">
      <c r="A43" s="320"/>
      <c r="B43" s="153">
        <v>45778</v>
      </c>
      <c r="C43" s="130">
        <v>130665.2</v>
      </c>
      <c r="D43" s="131">
        <v>2133.9899999999998</v>
      </c>
      <c r="E43" s="130">
        <v>3137.59</v>
      </c>
      <c r="F43" s="131">
        <v>13375.12</v>
      </c>
      <c r="G43" s="130">
        <v>6984</v>
      </c>
      <c r="H43" s="131">
        <v>8553.81</v>
      </c>
      <c r="I43" s="130">
        <v>6110</v>
      </c>
      <c r="J43" s="131">
        <v>6174</v>
      </c>
      <c r="K43" s="130">
        <v>4363.1099999999997</v>
      </c>
      <c r="L43" s="126"/>
      <c r="M43" s="223"/>
      <c r="N43" s="126"/>
      <c r="O43" s="126">
        <v>2474.98</v>
      </c>
      <c r="P43" s="223">
        <v>38.72</v>
      </c>
      <c r="Q43" s="127">
        <f t="shared" si="4"/>
        <v>63.919938016528931</v>
      </c>
      <c r="R43" s="127">
        <f>AKENR!K53/1000000</f>
        <v>449.974466411712</v>
      </c>
      <c r="S43" s="127"/>
      <c r="T43" s="127"/>
      <c r="U43" s="155"/>
      <c r="V43" s="126"/>
      <c r="W43" s="199"/>
      <c r="X43" s="127"/>
      <c r="Y43" s="127"/>
      <c r="Z43" s="197"/>
      <c r="AA43" s="198"/>
      <c r="AB43" s="182"/>
      <c r="AC43" s="182"/>
      <c r="AD43" s="182"/>
      <c r="AE43" s="182"/>
      <c r="AF43" s="169"/>
      <c r="AG43" s="169"/>
      <c r="AH43" s="169"/>
      <c r="AI43" s="169"/>
      <c r="AK43" s="164"/>
      <c r="AL43" s="169"/>
      <c r="AM43" s="169"/>
      <c r="AN43" s="169"/>
      <c r="AO43" s="169"/>
    </row>
    <row r="44" spans="1:41" x14ac:dyDescent="0.4">
      <c r="A44" s="320"/>
      <c r="B44" s="153">
        <v>45809</v>
      </c>
      <c r="C44" s="130">
        <v>151221.43</v>
      </c>
      <c r="D44" s="131">
        <v>796.28</v>
      </c>
      <c r="E44" s="130">
        <v>1574.46</v>
      </c>
      <c r="F44" s="131">
        <v>6365.73</v>
      </c>
      <c r="G44" s="130">
        <v>4320</v>
      </c>
      <c r="H44" s="131">
        <v>3225.31</v>
      </c>
      <c r="I44" s="130">
        <v>4064</v>
      </c>
      <c r="J44" s="131">
        <v>3832</v>
      </c>
      <c r="K44" s="130">
        <v>5430.04</v>
      </c>
      <c r="L44" s="126">
        <f>SUM(C42:K44)</f>
        <v>580669.24</v>
      </c>
      <c r="M44" s="223"/>
      <c r="N44" s="126"/>
      <c r="O44" s="126">
        <v>2240.61</v>
      </c>
      <c r="P44" s="223">
        <v>39.369999999999997</v>
      </c>
      <c r="Q44" s="127">
        <f t="shared" si="4"/>
        <v>56.911607823215654</v>
      </c>
      <c r="R44" s="127">
        <f>AKENR!L53/1000000</f>
        <v>405.44114925387504</v>
      </c>
      <c r="S44" s="127">
        <f>SUM(R42:R44)</f>
        <v>1399.919157982077</v>
      </c>
      <c r="T44" s="127">
        <f>_xll.RasFinancial($A$38,A42,3120,"XI_29","LOCAL",,FALSE(),"AC",,1000000)</f>
        <v>4175.49</v>
      </c>
      <c r="U44" s="155">
        <f>(S44/T44)-1</f>
        <v>-0.66472937116791631</v>
      </c>
      <c r="V44" s="127">
        <f>(_xll.RasFinancial($A$38,"2025/6M",3120,"XI_29","LOCAL",,FALSE(),"ACO",,1000000))-V41</f>
        <v>4480.1849999999995</v>
      </c>
      <c r="W44" s="155">
        <f>(S44/V44)-1</f>
        <v>-0.68753094839117646</v>
      </c>
      <c r="X44" s="127"/>
      <c r="Y44" s="127"/>
      <c r="Z44" s="197"/>
      <c r="AA44" s="198"/>
      <c r="AB44" s="184"/>
      <c r="AC44" s="184"/>
      <c r="AD44" s="182"/>
      <c r="AE44" s="184"/>
      <c r="AF44" s="169"/>
      <c r="AG44" s="169"/>
      <c r="AH44" s="169"/>
      <c r="AI44" s="169"/>
      <c r="AK44" s="164"/>
      <c r="AL44" s="169"/>
      <c r="AM44" s="169"/>
      <c r="AN44" s="169"/>
      <c r="AO44" s="169"/>
    </row>
    <row r="45" spans="1:41" x14ac:dyDescent="0.4">
      <c r="A45" s="321" t="s">
        <v>709</v>
      </c>
      <c r="B45" s="138">
        <v>45839</v>
      </c>
      <c r="C45" s="128">
        <v>210865.88</v>
      </c>
      <c r="D45" s="129">
        <v>492.84</v>
      </c>
      <c r="E45" s="128">
        <v>1160.8</v>
      </c>
      <c r="F45" s="129">
        <v>7500.2</v>
      </c>
      <c r="G45" s="128">
        <v>3315</v>
      </c>
      <c r="H45" s="129">
        <v>5591.23</v>
      </c>
      <c r="I45" s="128">
        <v>3347</v>
      </c>
      <c r="J45" s="129">
        <v>2805.5</v>
      </c>
      <c r="K45" s="128">
        <v>8760.7199999999993</v>
      </c>
      <c r="L45" s="140"/>
      <c r="M45" s="226"/>
      <c r="N45" s="140"/>
      <c r="O45" s="140">
        <v>2981.73</v>
      </c>
      <c r="P45" s="226">
        <v>40.14</v>
      </c>
      <c r="Q45" s="123">
        <f t="shared" si="4"/>
        <v>74.283258594917783</v>
      </c>
      <c r="R45" s="123">
        <f>AKENR!M53/1000000</f>
        <v>727.81369054336801</v>
      </c>
      <c r="S45" s="123"/>
      <c r="T45" s="123"/>
      <c r="U45" s="150"/>
      <c r="V45" s="123"/>
      <c r="W45" s="150"/>
      <c r="X45" s="123"/>
      <c r="Y45" s="123"/>
      <c r="Z45" s="194"/>
      <c r="AA45" s="196"/>
      <c r="AB45" s="184"/>
      <c r="AC45" s="184"/>
      <c r="AD45" s="184"/>
      <c r="AE45" s="184"/>
      <c r="AF45" s="179"/>
      <c r="AG45" s="179"/>
      <c r="AH45" s="179"/>
      <c r="AI45" s="179"/>
      <c r="AK45" s="164"/>
      <c r="AL45" s="169"/>
      <c r="AM45" s="169"/>
      <c r="AN45" s="169"/>
      <c r="AO45" s="169"/>
    </row>
    <row r="46" spans="1:41" x14ac:dyDescent="0.4">
      <c r="A46" s="321"/>
      <c r="B46" s="138">
        <v>45870</v>
      </c>
      <c r="C46" s="128">
        <v>191539.20000000001</v>
      </c>
      <c r="D46" s="129">
        <v>402.68</v>
      </c>
      <c r="E46" s="128">
        <v>630.30999999999995</v>
      </c>
      <c r="F46" s="129">
        <v>10145.379999999999</v>
      </c>
      <c r="G46" s="128">
        <v>3089</v>
      </c>
      <c r="H46" s="129">
        <v>3548.36</v>
      </c>
      <c r="I46" s="128">
        <v>2882</v>
      </c>
      <c r="J46" s="129">
        <v>2600</v>
      </c>
      <c r="K46" s="128">
        <v>13264.23</v>
      </c>
      <c r="L46" s="140"/>
      <c r="M46" s="226"/>
      <c r="N46" s="140"/>
      <c r="O46" s="140">
        <v>2952.26</v>
      </c>
      <c r="P46" s="226">
        <v>40.75</v>
      </c>
      <c r="Q46" s="123">
        <f t="shared" si="4"/>
        <v>72.448098159509215</v>
      </c>
      <c r="R46" s="123">
        <f>AKENR!N53/1000000</f>
        <v>674.17521824310006</v>
      </c>
      <c r="S46" s="123"/>
      <c r="T46" s="123"/>
      <c r="U46" s="150"/>
      <c r="V46" s="123"/>
      <c r="W46" s="150"/>
      <c r="X46" s="123"/>
      <c r="Y46" s="123"/>
      <c r="Z46" s="194"/>
      <c r="AA46" s="196"/>
      <c r="AB46" s="184"/>
      <c r="AC46" s="184"/>
      <c r="AD46" s="184"/>
      <c r="AE46" s="184"/>
      <c r="AF46" s="179"/>
      <c r="AG46" s="179"/>
      <c r="AH46" s="179"/>
      <c r="AI46" s="179"/>
      <c r="AK46" s="147"/>
      <c r="AL46" s="179"/>
      <c r="AM46" s="179"/>
      <c r="AN46" s="179"/>
      <c r="AO46" s="179"/>
    </row>
    <row r="47" spans="1:41" x14ac:dyDescent="0.4">
      <c r="A47" s="321"/>
      <c r="B47" s="138">
        <v>45901</v>
      </c>
      <c r="C47" s="128">
        <v>363545.78</v>
      </c>
      <c r="D47" s="129">
        <v>358.14</v>
      </c>
      <c r="E47" s="128">
        <v>688.54</v>
      </c>
      <c r="F47" s="129">
        <v>1379.58</v>
      </c>
      <c r="G47" s="128">
        <v>2919</v>
      </c>
      <c r="H47" s="129">
        <v>3391.35</v>
      </c>
      <c r="I47" s="128">
        <v>2731</v>
      </c>
      <c r="J47" s="129">
        <v>2429</v>
      </c>
      <c r="K47" s="128">
        <v>8796.2999999999993</v>
      </c>
      <c r="L47" s="140">
        <f>SUM(C45:K47)</f>
        <v>858179.02</v>
      </c>
      <c r="M47" s="226"/>
      <c r="N47" s="140"/>
      <c r="O47" s="140">
        <v>2765.58</v>
      </c>
      <c r="P47" s="226">
        <v>41.24</v>
      </c>
      <c r="Q47" s="123">
        <f t="shared" si="4"/>
        <v>67.060620756547038</v>
      </c>
      <c r="R47" s="123">
        <f>AKENR!O53/1000000</f>
        <v>1069.2791024300279</v>
      </c>
      <c r="S47" s="123">
        <f>SUM(R45:R47)</f>
        <v>2471.2680112164962</v>
      </c>
      <c r="T47" s="123">
        <f>_xll.RasFinancial($A$38,A45,3120,"XI_29","LOCAL",,FALSE(),"AC",,1000000)</f>
        <v>5169.2650000000003</v>
      </c>
      <c r="U47" s="150">
        <f>(S47/T47)-1</f>
        <v>-0.52193048504642414</v>
      </c>
      <c r="V47" s="123">
        <f>(_xll.RasFinancial($A$38,"2025/9M",3120,"XI_29","LOCAL",,FALSE(),"ACO",,1000000))-V44-V41</f>
        <v>5886.1400000000012</v>
      </c>
      <c r="W47" s="150">
        <f>(S47/V47)-1</f>
        <v>-0.58015473447514065</v>
      </c>
      <c r="X47" s="123"/>
      <c r="Y47" s="123"/>
      <c r="Z47" s="194"/>
      <c r="AA47" s="195"/>
      <c r="AB47" s="184"/>
      <c r="AC47" s="184"/>
      <c r="AD47" s="182"/>
      <c r="AE47" s="184"/>
      <c r="AF47" s="179"/>
      <c r="AG47" s="179"/>
      <c r="AH47" s="179"/>
      <c r="AI47" s="179"/>
      <c r="AK47" s="147"/>
      <c r="AL47" s="179"/>
      <c r="AM47" s="179"/>
      <c r="AN47" s="179"/>
      <c r="AO47" s="179"/>
    </row>
    <row r="48" spans="1:41" x14ac:dyDescent="0.4">
      <c r="A48" s="320" t="s">
        <v>708</v>
      </c>
      <c r="B48" s="153">
        <v>45931</v>
      </c>
      <c r="C48" s="130">
        <v>398333.23</v>
      </c>
      <c r="D48" s="131">
        <v>497.97</v>
      </c>
      <c r="E48" s="130">
        <v>1063.72</v>
      </c>
      <c r="F48" s="131">
        <v>0</v>
      </c>
      <c r="G48" s="130">
        <v>3111</v>
      </c>
      <c r="H48" s="131">
        <v>2451.1</v>
      </c>
      <c r="I48" s="130">
        <v>2865</v>
      </c>
      <c r="J48" s="131">
        <v>2436.5</v>
      </c>
      <c r="K48" s="130">
        <v>4235.96</v>
      </c>
      <c r="L48" s="126"/>
      <c r="M48" s="223"/>
      <c r="N48" s="126"/>
      <c r="O48" s="126">
        <v>2764.54</v>
      </c>
      <c r="P48" s="223">
        <v>41.75</v>
      </c>
      <c r="Q48" s="127">
        <f t="shared" si="4"/>
        <v>66.216526946107777</v>
      </c>
      <c r="R48" s="127">
        <f>AKENR!P53/1000000</f>
        <v>1148.3685751111998</v>
      </c>
      <c r="S48" s="127"/>
      <c r="T48" s="127"/>
      <c r="U48" s="155"/>
      <c r="V48" s="127"/>
      <c r="W48" s="155"/>
      <c r="X48" s="127"/>
      <c r="Y48" s="127"/>
      <c r="Z48" s="197"/>
      <c r="AA48" s="198"/>
      <c r="AB48" s="182"/>
      <c r="AC48" s="182"/>
      <c r="AD48" s="182"/>
      <c r="AE48" s="182"/>
      <c r="AF48" s="169"/>
      <c r="AG48" s="169"/>
      <c r="AH48" s="169"/>
      <c r="AI48" s="169"/>
      <c r="AK48" s="164"/>
      <c r="AL48" s="169"/>
      <c r="AM48" s="169"/>
      <c r="AN48" s="169"/>
      <c r="AO48" s="169"/>
    </row>
    <row r="49" spans="1:48" x14ac:dyDescent="0.4">
      <c r="A49" s="320"/>
      <c r="B49" s="153">
        <v>45962</v>
      </c>
      <c r="C49" s="130">
        <v>337624.58</v>
      </c>
      <c r="D49" s="131">
        <v>546.91999999999996</v>
      </c>
      <c r="E49" s="130">
        <v>1263.52</v>
      </c>
      <c r="F49" s="131">
        <v>0</v>
      </c>
      <c r="G49" s="130">
        <v>3208</v>
      </c>
      <c r="H49" s="131">
        <v>5079.49</v>
      </c>
      <c r="I49" s="130">
        <v>2888</v>
      </c>
      <c r="J49" s="131">
        <v>2599</v>
      </c>
      <c r="K49" s="130">
        <v>5651.19</v>
      </c>
      <c r="L49" s="126"/>
      <c r="M49" s="223"/>
      <c r="N49" s="126"/>
      <c r="O49" s="126">
        <v>2814.97</v>
      </c>
      <c r="P49" s="223">
        <v>42.2</v>
      </c>
      <c r="Q49" s="127">
        <f t="shared" si="4"/>
        <v>66.705450236966811</v>
      </c>
      <c r="R49" s="127">
        <f>AKENR!Q53/1000000</f>
        <v>1011.4625196566002</v>
      </c>
      <c r="S49" s="127"/>
      <c r="T49" s="127"/>
      <c r="U49" s="155"/>
      <c r="V49" s="127"/>
      <c r="W49" s="155"/>
      <c r="X49" s="127"/>
      <c r="Y49" s="127"/>
      <c r="Z49" s="197"/>
      <c r="AA49" s="198"/>
      <c r="AB49" s="182"/>
      <c r="AC49" s="182"/>
      <c r="AD49" s="182"/>
      <c r="AE49" s="182"/>
      <c r="AF49" s="169"/>
      <c r="AG49" s="169"/>
      <c r="AH49" s="169"/>
      <c r="AI49" s="169"/>
      <c r="AK49" s="164"/>
      <c r="AL49" s="169"/>
      <c r="AM49" s="169"/>
      <c r="AN49" s="169"/>
      <c r="AO49" s="169"/>
    </row>
    <row r="50" spans="1:48" x14ac:dyDescent="0.4">
      <c r="A50" s="320"/>
      <c r="B50" s="153">
        <v>45992</v>
      </c>
      <c r="C50" s="130">
        <v>400834.83</v>
      </c>
      <c r="D50" s="131">
        <v>792.59</v>
      </c>
      <c r="E50" s="130">
        <v>1742.25</v>
      </c>
      <c r="F50" s="131">
        <v>3206.49</v>
      </c>
      <c r="G50" s="130">
        <v>3356</v>
      </c>
      <c r="H50" s="131">
        <v>3190.25</v>
      </c>
      <c r="I50" s="130">
        <v>3145</v>
      </c>
      <c r="J50" s="131">
        <v>2781</v>
      </c>
      <c r="K50" s="130">
        <v>4361.45</v>
      </c>
      <c r="L50" s="126">
        <f>SUM(C48:K50)</f>
        <v>1197265.04</v>
      </c>
      <c r="M50" s="126">
        <v>3772753</v>
      </c>
      <c r="N50" s="126">
        <f>((L41+L44+L47+L50)/M50)-1</f>
        <v>-2.5545515436605548E-2</v>
      </c>
      <c r="O50" s="126">
        <v>3005.44</v>
      </c>
      <c r="P50" s="223">
        <v>42.61</v>
      </c>
      <c r="Q50" s="127">
        <f t="shared" si="4"/>
        <v>70.533677540483453</v>
      </c>
      <c r="R50" s="127">
        <f>AKENR!R53/1000000</f>
        <v>1273.7294859027595</v>
      </c>
      <c r="S50" s="127">
        <f>SUM(R48:R50)</f>
        <v>3433.5605806705598</v>
      </c>
      <c r="T50" s="127">
        <f>_xll.RasFinancial($A$38,A48,3120,"XI_29","LOCAL",,FALSE(),"AC",,1000000)</f>
        <v>6599.0797289712027</v>
      </c>
      <c r="U50" s="155">
        <f>(S50/T50)-1</f>
        <v>-0.47969099909543711</v>
      </c>
      <c r="V50" s="127">
        <f>(_xll.RasFinancial($A$38,"2025/12M",3120,"XI_29","LOCAL",,FALSE(),"ACO",,1000000))-V47-V44-V41</f>
        <v>7271.4780000000028</v>
      </c>
      <c r="W50" s="155">
        <f>(S50/V50)-1</f>
        <v>-0.52780430874293249</v>
      </c>
      <c r="X50" s="155">
        <f>(U41+U44+U47+U50)/4</f>
        <v>-0.57093408397391654</v>
      </c>
      <c r="Y50" s="155">
        <f>(W41+W44+W47+W50)/4</f>
        <v>-0.57369493337261135</v>
      </c>
      <c r="Z50" s="197"/>
      <c r="AA50" s="198"/>
      <c r="AB50" s="184"/>
      <c r="AC50" s="184"/>
      <c r="AD50" s="182"/>
      <c r="AE50" s="184"/>
      <c r="AF50" s="179"/>
      <c r="AG50" s="179"/>
      <c r="AH50" s="179"/>
      <c r="AI50" s="179"/>
      <c r="AK50" s="164"/>
      <c r="AL50" s="169"/>
      <c r="AM50" s="169"/>
      <c r="AN50" s="169"/>
      <c r="AO50" s="169"/>
    </row>
    <row r="51" spans="1:48" x14ac:dyDescent="0.4">
      <c r="A51" s="321" t="s">
        <v>712</v>
      </c>
      <c r="B51" s="138">
        <v>46023</v>
      </c>
      <c r="C51" s="128">
        <v>444596.71</v>
      </c>
      <c r="D51" s="129">
        <v>775.46</v>
      </c>
      <c r="E51" s="128">
        <v>3195.31</v>
      </c>
      <c r="F51" s="129">
        <v>32496.04</v>
      </c>
      <c r="G51" s="128">
        <v>4495</v>
      </c>
      <c r="H51" s="129">
        <v>6945.33</v>
      </c>
      <c r="I51" s="128">
        <v>3776</v>
      </c>
      <c r="J51" s="129">
        <v>3664.51</v>
      </c>
      <c r="K51" s="128">
        <v>11242.27</v>
      </c>
      <c r="L51" s="140"/>
      <c r="M51" s="226"/>
      <c r="N51" s="140"/>
      <c r="O51" s="140">
        <v>2929.4</v>
      </c>
      <c r="P51" s="226">
        <v>43.14</v>
      </c>
      <c r="Q51" s="123">
        <f t="shared" si="4"/>
        <v>67.904496986555401</v>
      </c>
      <c r="R51" s="123">
        <f>AKENR!S53/1000000</f>
        <v>1499.5762028376002</v>
      </c>
      <c r="S51" s="123"/>
      <c r="T51" s="123"/>
      <c r="U51" s="123"/>
      <c r="V51" s="123"/>
      <c r="W51" s="123"/>
      <c r="X51" s="123"/>
      <c r="Y51" s="123"/>
      <c r="Z51" s="194"/>
      <c r="AA51" s="195"/>
      <c r="AB51" s="182"/>
      <c r="AC51" s="182"/>
      <c r="AD51" s="182"/>
      <c r="AE51" s="182"/>
      <c r="AF51" s="169"/>
      <c r="AG51" s="169"/>
      <c r="AH51" s="169"/>
      <c r="AI51" s="169"/>
      <c r="AK51" s="164"/>
      <c r="AL51" s="169"/>
      <c r="AM51" s="169"/>
      <c r="AN51" s="169"/>
      <c r="AO51" s="169"/>
    </row>
    <row r="52" spans="1:48" x14ac:dyDescent="0.4">
      <c r="A52" s="321"/>
      <c r="B52" s="138">
        <v>46054</v>
      </c>
      <c r="C52" s="128">
        <v>113240.34</v>
      </c>
      <c r="D52" s="129">
        <v>3337.11</v>
      </c>
      <c r="E52" s="128">
        <v>14388.2</v>
      </c>
      <c r="F52" s="129">
        <v>53189.04</v>
      </c>
      <c r="G52" s="128">
        <v>13952</v>
      </c>
      <c r="H52" s="129">
        <v>32610.49</v>
      </c>
      <c r="I52" s="128">
        <v>14205.4</v>
      </c>
      <c r="J52" s="129">
        <v>14505</v>
      </c>
      <c r="K52" s="128">
        <v>7319.19</v>
      </c>
      <c r="L52" s="140"/>
      <c r="M52" s="226"/>
      <c r="N52" s="140"/>
      <c r="O52" s="140">
        <v>2141.92</v>
      </c>
      <c r="P52" s="226">
        <v>43.61</v>
      </c>
      <c r="Q52" s="123">
        <f t="shared" si="4"/>
        <v>49.115340518229765</v>
      </c>
      <c r="R52" s="123">
        <f>AKENR!T53/1000000</f>
        <v>572.21874240684292</v>
      </c>
      <c r="S52" s="123"/>
      <c r="T52" s="123"/>
      <c r="U52" s="123"/>
      <c r="V52" s="123"/>
      <c r="W52" s="123"/>
      <c r="X52" s="123"/>
      <c r="Y52" s="123"/>
      <c r="Z52" s="194"/>
      <c r="AA52" s="195"/>
      <c r="AB52" s="182"/>
      <c r="AC52" s="182"/>
      <c r="AD52" s="182"/>
      <c r="AE52" s="182"/>
      <c r="AF52" s="169"/>
      <c r="AG52" s="169"/>
      <c r="AH52" s="169"/>
      <c r="AI52" s="169"/>
      <c r="AK52" s="164"/>
      <c r="AL52" s="169"/>
      <c r="AM52" s="169"/>
      <c r="AN52" s="169"/>
      <c r="AO52" s="169"/>
    </row>
    <row r="53" spans="1:48" x14ac:dyDescent="0.4">
      <c r="A53" s="321"/>
      <c r="B53" s="138">
        <v>46082</v>
      </c>
      <c r="C53" s="128">
        <v>0</v>
      </c>
      <c r="D53" s="129">
        <v>3742.39</v>
      </c>
      <c r="E53" s="128">
        <v>13772.51</v>
      </c>
      <c r="F53" s="129">
        <v>56636.1</v>
      </c>
      <c r="G53" s="128">
        <v>15838</v>
      </c>
      <c r="H53" s="129">
        <v>28654.2</v>
      </c>
      <c r="I53" s="128">
        <v>16125</v>
      </c>
      <c r="J53" s="129">
        <v>16101</v>
      </c>
      <c r="K53" s="128">
        <v>7876.2</v>
      </c>
      <c r="L53" s="140">
        <f>SUM(C51:K53)</f>
        <v>936678.79999999993</v>
      </c>
      <c r="M53" s="226"/>
      <c r="N53" s="140"/>
      <c r="O53" s="140">
        <v>1726.85</v>
      </c>
      <c r="P53" s="226">
        <v>44.1</v>
      </c>
      <c r="Q53" s="123">
        <f t="shared" si="4"/>
        <v>39.157596371882086</v>
      </c>
      <c r="R53" s="123">
        <f>AKENR!U53/1000000</f>
        <v>274.63636805219994</v>
      </c>
      <c r="S53" s="123">
        <f>SUM(R51:R53)</f>
        <v>2346.4313132966431</v>
      </c>
      <c r="T53" s="193"/>
      <c r="U53" s="123"/>
      <c r="V53" s="123"/>
      <c r="W53" s="123"/>
      <c r="X53" s="123"/>
      <c r="Y53" s="123"/>
      <c r="Z53" s="200">
        <f>S53/(1+X50)</f>
        <v>5468.6965933551355</v>
      </c>
      <c r="AA53" s="201">
        <f>S53/(1+Y50)</f>
        <v>5504.1131269207699</v>
      </c>
      <c r="AB53" s="184"/>
      <c r="AC53" s="184"/>
      <c r="AD53" s="184"/>
      <c r="AE53" s="184"/>
      <c r="AF53" s="179"/>
      <c r="AG53" s="179"/>
      <c r="AH53" s="179"/>
      <c r="AI53" s="179"/>
      <c r="AK53" s="164"/>
      <c r="AL53" s="169"/>
      <c r="AM53" s="169"/>
      <c r="AN53" s="169"/>
      <c r="AO53" s="169"/>
    </row>
    <row r="54" spans="1:48" x14ac:dyDescent="0.4">
      <c r="Y54" s="147"/>
      <c r="Z54" s="179"/>
      <c r="AA54" s="179"/>
      <c r="AB54" s="179"/>
      <c r="AC54" s="179"/>
      <c r="AE54" s="147"/>
      <c r="AF54" s="179"/>
      <c r="AG54" s="179"/>
      <c r="AH54" s="179"/>
      <c r="AI54" s="179"/>
      <c r="AK54" s="147"/>
      <c r="AL54" s="179"/>
      <c r="AM54" s="179"/>
      <c r="AN54" s="179"/>
      <c r="AO54" s="179"/>
    </row>
    <row r="55" spans="1:48" x14ac:dyDescent="0.4">
      <c r="C55" s="212">
        <v>1479</v>
      </c>
      <c r="D55" s="212">
        <v>919</v>
      </c>
      <c r="E55" s="212">
        <v>920</v>
      </c>
      <c r="F55" s="212">
        <v>1186</v>
      </c>
      <c r="G55" s="212">
        <v>1465</v>
      </c>
      <c r="H55" s="212">
        <v>1364</v>
      </c>
      <c r="I55" s="212">
        <v>1461</v>
      </c>
      <c r="J55" s="212">
        <v>1634</v>
      </c>
      <c r="K55" s="212">
        <v>2168</v>
      </c>
      <c r="L55" s="212">
        <v>1666</v>
      </c>
      <c r="M55" s="212">
        <v>1678</v>
      </c>
      <c r="N55" s="212">
        <v>2204</v>
      </c>
      <c r="O55" s="212">
        <v>2108</v>
      </c>
      <c r="P55" s="212">
        <v>2321</v>
      </c>
      <c r="Q55" s="212">
        <v>2322</v>
      </c>
      <c r="R55" s="212">
        <v>2330</v>
      </c>
      <c r="S55" s="212">
        <v>2331</v>
      </c>
      <c r="T55" s="212">
        <v>2329</v>
      </c>
      <c r="U55" s="212">
        <v>2442</v>
      </c>
      <c r="V55" s="212">
        <v>3080</v>
      </c>
      <c r="W55" s="212">
        <v>2071</v>
      </c>
      <c r="X55" s="212">
        <v>2076</v>
      </c>
      <c r="Y55" s="212">
        <v>2397</v>
      </c>
      <c r="Z55" s="212">
        <v>2412</v>
      </c>
      <c r="AA55" s="212">
        <v>2448</v>
      </c>
      <c r="AB55" s="212">
        <v>2459</v>
      </c>
      <c r="AC55" s="179"/>
      <c r="AE55" s="147"/>
      <c r="AF55" s="179"/>
      <c r="AG55" s="179"/>
      <c r="AH55" s="179"/>
      <c r="AI55" s="179"/>
      <c r="AK55" s="147"/>
      <c r="AL55" s="179"/>
      <c r="AM55" s="179"/>
      <c r="AN55" s="179"/>
      <c r="AO55" s="179"/>
    </row>
    <row r="56" spans="1:48" ht="113.25" customHeight="1" x14ac:dyDescent="0.4">
      <c r="A56" s="322" t="s">
        <v>717</v>
      </c>
      <c r="B56" s="322"/>
      <c r="C56" s="192" t="s">
        <v>45</v>
      </c>
      <c r="D56" s="192" t="s">
        <v>55</v>
      </c>
      <c r="E56" s="192" t="s">
        <v>46</v>
      </c>
      <c r="F56" s="192" t="s">
        <v>47</v>
      </c>
      <c r="G56" s="192" t="s">
        <v>48</v>
      </c>
      <c r="H56" s="192" t="s">
        <v>49</v>
      </c>
      <c r="I56" s="192" t="s">
        <v>50</v>
      </c>
      <c r="J56" s="192" t="s">
        <v>51</v>
      </c>
      <c r="K56" s="192" t="s">
        <v>56</v>
      </c>
      <c r="L56" s="192" t="s">
        <v>57</v>
      </c>
      <c r="M56" s="192" t="s">
        <v>58</v>
      </c>
      <c r="N56" s="192" t="s">
        <v>59</v>
      </c>
      <c r="O56" s="192" t="s">
        <v>60</v>
      </c>
      <c r="P56" s="192" t="s">
        <v>61</v>
      </c>
      <c r="Q56" s="192" t="s">
        <v>62</v>
      </c>
      <c r="R56" s="192" t="s">
        <v>63</v>
      </c>
      <c r="S56" s="192" t="s">
        <v>64</v>
      </c>
      <c r="T56" s="192" t="s">
        <v>65</v>
      </c>
      <c r="U56" s="192" t="s">
        <v>66</v>
      </c>
      <c r="V56" s="192" t="s">
        <v>67</v>
      </c>
      <c r="W56" s="192" t="s">
        <v>71</v>
      </c>
      <c r="X56" s="192" t="s">
        <v>72</v>
      </c>
      <c r="Y56" s="192" t="s">
        <v>73</v>
      </c>
      <c r="Z56" s="192" t="s">
        <v>74</v>
      </c>
      <c r="AA56" s="192" t="s">
        <v>75</v>
      </c>
      <c r="AB56" s="192" t="s">
        <v>76</v>
      </c>
      <c r="AC56" s="133"/>
      <c r="AD56" s="133" t="s">
        <v>691</v>
      </c>
      <c r="AE56" s="133" t="s">
        <v>690</v>
      </c>
      <c r="AF56" s="134" t="s">
        <v>692</v>
      </c>
      <c r="AG56" s="134" t="s">
        <v>693</v>
      </c>
      <c r="AH56" s="134" t="s">
        <v>694</v>
      </c>
      <c r="AI56" s="135" t="s">
        <v>716</v>
      </c>
      <c r="AJ56" s="135"/>
      <c r="AK56" s="136" t="s">
        <v>695</v>
      </c>
      <c r="AL56" s="136" t="s">
        <v>697</v>
      </c>
      <c r="AM56" s="136" t="s">
        <v>696</v>
      </c>
      <c r="AN56" s="136" t="s">
        <v>698</v>
      </c>
      <c r="AO56" s="136" t="s">
        <v>700</v>
      </c>
      <c r="AP56" s="136" t="s">
        <v>701</v>
      </c>
      <c r="AQ56" s="136" t="s">
        <v>702</v>
      </c>
      <c r="AR56" s="136" t="s">
        <v>704</v>
      </c>
      <c r="AS56" s="137"/>
      <c r="AT56" s="137"/>
      <c r="AU56" s="137"/>
      <c r="AV56" s="137"/>
    </row>
    <row r="57" spans="1:48" x14ac:dyDescent="0.4">
      <c r="A57" s="321" t="s">
        <v>711</v>
      </c>
      <c r="B57" s="138">
        <v>45658</v>
      </c>
      <c r="C57" s="229">
        <v>0</v>
      </c>
      <c r="D57" s="230">
        <v>1971.1</v>
      </c>
      <c r="E57" s="229">
        <v>1613.17</v>
      </c>
      <c r="F57" s="230">
        <v>14670.3</v>
      </c>
      <c r="G57" s="229">
        <v>3735.32</v>
      </c>
      <c r="H57" s="230">
        <v>1047.4000000000001</v>
      </c>
      <c r="I57" s="229">
        <v>6379.1</v>
      </c>
      <c r="J57" s="230">
        <v>394.14</v>
      </c>
      <c r="K57" s="229">
        <v>4898.75</v>
      </c>
      <c r="L57" s="230">
        <v>223.48</v>
      </c>
      <c r="M57" s="229">
        <v>1923.85</v>
      </c>
      <c r="N57" s="230">
        <v>768.72</v>
      </c>
      <c r="O57" s="229">
        <v>435.79</v>
      </c>
      <c r="P57" s="230">
        <v>1514.1</v>
      </c>
      <c r="Q57" s="229">
        <v>1471.55</v>
      </c>
      <c r="R57" s="230">
        <v>1077.9000000000001</v>
      </c>
      <c r="S57" s="229">
        <v>1305.5</v>
      </c>
      <c r="T57" s="230">
        <v>1290.1300000000001</v>
      </c>
      <c r="U57" s="229">
        <v>1664.88</v>
      </c>
      <c r="V57" s="230">
        <v>952.62</v>
      </c>
      <c r="W57" s="229">
        <v>5634</v>
      </c>
      <c r="X57" s="230">
        <v>2902.99</v>
      </c>
      <c r="Y57" s="229">
        <v>9698.34</v>
      </c>
      <c r="Z57" s="230">
        <v>29300.83</v>
      </c>
      <c r="AA57" s="229">
        <v>11221.36</v>
      </c>
      <c r="AB57" s="230">
        <v>20394.189999999999</v>
      </c>
      <c r="AC57" s="123"/>
      <c r="AD57" s="123"/>
      <c r="AE57" s="139"/>
      <c r="AF57" s="140">
        <v>2537.9899999999998</v>
      </c>
      <c r="AG57" s="226">
        <v>35.479999999999997</v>
      </c>
      <c r="AH57" s="123">
        <f>AF57/AG57</f>
        <v>71.532976324689969</v>
      </c>
      <c r="AI57" s="123">
        <f>AKFYE!N104/1000000</f>
        <v>346.51036198539197</v>
      </c>
      <c r="AJ57" s="123"/>
      <c r="AK57" s="123"/>
      <c r="AL57" s="123"/>
      <c r="AM57" s="123"/>
      <c r="AN57" s="123"/>
      <c r="AO57" s="123"/>
      <c r="AP57" s="123"/>
      <c r="AQ57" s="194"/>
      <c r="AR57" s="195"/>
      <c r="AS57" s="182"/>
      <c r="AT57" s="182"/>
      <c r="AU57" s="182"/>
      <c r="AV57" s="182"/>
    </row>
    <row r="58" spans="1:48" x14ac:dyDescent="0.4">
      <c r="A58" s="321"/>
      <c r="B58" s="138">
        <v>45689</v>
      </c>
      <c r="C58" s="229">
        <v>0</v>
      </c>
      <c r="D58" s="230">
        <v>839.8</v>
      </c>
      <c r="E58" s="229">
        <v>1535.83</v>
      </c>
      <c r="F58" s="230">
        <v>5749.7</v>
      </c>
      <c r="G58" s="229">
        <v>1301.76</v>
      </c>
      <c r="H58" s="230">
        <v>809.78</v>
      </c>
      <c r="I58" s="229">
        <v>2185.46</v>
      </c>
      <c r="J58" s="230">
        <v>284.74</v>
      </c>
      <c r="K58" s="229">
        <v>2475.86</v>
      </c>
      <c r="L58" s="230">
        <v>180.18</v>
      </c>
      <c r="M58" s="229">
        <v>1570.54</v>
      </c>
      <c r="N58" s="230">
        <v>364.75</v>
      </c>
      <c r="O58" s="229">
        <v>281.02</v>
      </c>
      <c r="P58" s="230">
        <v>1145.68</v>
      </c>
      <c r="Q58" s="229">
        <v>1134.06</v>
      </c>
      <c r="R58" s="230">
        <v>1064.5999999999999</v>
      </c>
      <c r="S58" s="229">
        <v>1192.96</v>
      </c>
      <c r="T58" s="230">
        <v>1196.46</v>
      </c>
      <c r="U58" s="229">
        <v>1262.27</v>
      </c>
      <c r="V58" s="230">
        <v>1229.25</v>
      </c>
      <c r="W58" s="229">
        <v>5598.94</v>
      </c>
      <c r="X58" s="230">
        <v>1838.06</v>
      </c>
      <c r="Y58" s="229">
        <v>6391</v>
      </c>
      <c r="Z58" s="230">
        <v>21602.84</v>
      </c>
      <c r="AA58" s="229">
        <v>10386.83</v>
      </c>
      <c r="AB58" s="230">
        <v>19000.88</v>
      </c>
      <c r="AC58" s="123"/>
      <c r="AD58" s="123"/>
      <c r="AE58" s="139"/>
      <c r="AF58" s="140">
        <v>2506.77</v>
      </c>
      <c r="AG58" s="226">
        <v>36.119999999999997</v>
      </c>
      <c r="AH58" s="123">
        <f t="shared" ref="AH58:AH71" si="5">AF58/AG58</f>
        <v>69.401162790697683</v>
      </c>
      <c r="AI58" s="123">
        <f>AKFYE!O104/1000000</f>
        <v>255.26421130014</v>
      </c>
      <c r="AJ58" s="123"/>
      <c r="AK58" s="123"/>
      <c r="AL58" s="123"/>
      <c r="AM58" s="123"/>
      <c r="AN58" s="123"/>
      <c r="AO58" s="123"/>
      <c r="AP58" s="123"/>
      <c r="AQ58" s="194"/>
      <c r="AR58" s="195"/>
      <c r="AS58" s="182"/>
      <c r="AT58" s="182"/>
      <c r="AU58" s="182"/>
      <c r="AV58" s="182"/>
    </row>
    <row r="59" spans="1:48" x14ac:dyDescent="0.4">
      <c r="A59" s="321"/>
      <c r="B59" s="138">
        <v>45717</v>
      </c>
      <c r="C59" s="229">
        <v>0</v>
      </c>
      <c r="D59" s="230">
        <v>1476.7</v>
      </c>
      <c r="E59" s="229">
        <v>5095.1099999999997</v>
      </c>
      <c r="F59" s="230">
        <v>11029.16</v>
      </c>
      <c r="G59" s="229">
        <v>709.99</v>
      </c>
      <c r="H59" s="230">
        <v>4544.7299999999996</v>
      </c>
      <c r="I59" s="229">
        <v>1441.23</v>
      </c>
      <c r="J59" s="230">
        <v>812.71</v>
      </c>
      <c r="K59" s="229">
        <v>3160.82</v>
      </c>
      <c r="L59" s="230">
        <v>8108.39</v>
      </c>
      <c r="M59" s="229">
        <v>1471.7</v>
      </c>
      <c r="N59" s="230">
        <v>6347.09</v>
      </c>
      <c r="O59" s="229">
        <v>1020.79</v>
      </c>
      <c r="P59" s="230">
        <v>1907.08</v>
      </c>
      <c r="Q59" s="229">
        <v>1863.18</v>
      </c>
      <c r="R59" s="230">
        <v>1715.8</v>
      </c>
      <c r="S59" s="229">
        <v>1741.12</v>
      </c>
      <c r="T59" s="230">
        <v>1720.82</v>
      </c>
      <c r="U59" s="229">
        <v>2021.63</v>
      </c>
      <c r="V59" s="230">
        <v>1728.95</v>
      </c>
      <c r="W59" s="229">
        <v>10566.6</v>
      </c>
      <c r="X59" s="230">
        <v>4596.9399999999996</v>
      </c>
      <c r="Y59" s="229">
        <v>11415.89</v>
      </c>
      <c r="Z59" s="230">
        <v>42499.56</v>
      </c>
      <c r="AA59" s="229">
        <v>14897.99</v>
      </c>
      <c r="AB59" s="230">
        <v>23676.19</v>
      </c>
      <c r="AC59" s="123">
        <f>SUM(C57:AB59)</f>
        <v>382682.93</v>
      </c>
      <c r="AD59" s="123"/>
      <c r="AE59" s="139"/>
      <c r="AF59" s="140">
        <v>2207.1799999999998</v>
      </c>
      <c r="AG59" s="226">
        <v>37.04</v>
      </c>
      <c r="AH59" s="123">
        <f t="shared" si="5"/>
        <v>59.589092872570191</v>
      </c>
      <c r="AI59" s="123">
        <f>AKFYE!P104/1000000</f>
        <v>459.61615377321596</v>
      </c>
      <c r="AJ59" s="123">
        <f>SUM(AI57:AI59)</f>
        <v>1061.3907270587479</v>
      </c>
      <c r="AK59" s="123">
        <f>_xll.RasFinancial($A$56,A57,3120,"XI_29","LOCAL",,FALSE(),"AC",,1000000)</f>
        <v>1523.789</v>
      </c>
      <c r="AL59" s="150">
        <f>(AJ59/AK59)-1</f>
        <v>-0.30345295374966752</v>
      </c>
      <c r="AM59" s="123">
        <f>_xll.RasFinancial($A$56,"2025/3M",3120,"XI_29","LOCAL",,FALSE(),"ACO",,1000000)</f>
        <v>1164.394</v>
      </c>
      <c r="AN59" s="150">
        <f>(AJ59/AM59)-1</f>
        <v>-8.8460841382944411E-2</v>
      </c>
      <c r="AO59" s="123"/>
      <c r="AP59" s="123"/>
      <c r="AQ59" s="194"/>
      <c r="AR59" s="196"/>
      <c r="AS59" s="184"/>
      <c r="AT59" s="184"/>
      <c r="AU59" s="184"/>
      <c r="AV59" s="184"/>
    </row>
    <row r="60" spans="1:48" x14ac:dyDescent="0.4">
      <c r="A60" s="320" t="s">
        <v>710</v>
      </c>
      <c r="B60" s="153">
        <v>45748</v>
      </c>
      <c r="C60" s="231">
        <v>0</v>
      </c>
      <c r="D60" s="232">
        <v>1491.4</v>
      </c>
      <c r="E60" s="231">
        <v>11098.17</v>
      </c>
      <c r="F60" s="232">
        <v>14418.99</v>
      </c>
      <c r="G60" s="231">
        <v>2947.06</v>
      </c>
      <c r="H60" s="232">
        <v>5297.17</v>
      </c>
      <c r="I60" s="231">
        <v>3970.51</v>
      </c>
      <c r="J60" s="232">
        <v>3149.52</v>
      </c>
      <c r="K60" s="231">
        <v>7615.87</v>
      </c>
      <c r="L60" s="232">
        <v>16278.7</v>
      </c>
      <c r="M60" s="231">
        <v>1326.9</v>
      </c>
      <c r="N60" s="232">
        <v>7435.57</v>
      </c>
      <c r="O60" s="231">
        <v>1015.38</v>
      </c>
      <c r="P60" s="232">
        <v>1759.86</v>
      </c>
      <c r="Q60" s="231">
        <v>1693.46</v>
      </c>
      <c r="R60" s="232">
        <v>1612.8</v>
      </c>
      <c r="S60" s="231">
        <v>1850.5</v>
      </c>
      <c r="T60" s="232">
        <v>1826.81</v>
      </c>
      <c r="U60" s="231">
        <v>1481.15</v>
      </c>
      <c r="V60" s="232">
        <v>1689.42</v>
      </c>
      <c r="W60" s="231">
        <v>12493.32</v>
      </c>
      <c r="X60" s="232">
        <v>5550</v>
      </c>
      <c r="Y60" s="231">
        <v>7821.75</v>
      </c>
      <c r="Z60" s="232">
        <v>27865.919999999998</v>
      </c>
      <c r="AA60" s="231">
        <v>10215.290000000001</v>
      </c>
      <c r="AB60" s="232">
        <v>15002.71</v>
      </c>
      <c r="AC60" s="127"/>
      <c r="AD60" s="222"/>
      <c r="AE60" s="154"/>
      <c r="AF60" s="126">
        <v>2489.25</v>
      </c>
      <c r="AG60" s="223">
        <v>38.049999999999997</v>
      </c>
      <c r="AH60" s="127">
        <f t="shared" si="5"/>
        <v>65.420499342969777</v>
      </c>
      <c r="AI60" s="127">
        <f>AKFYE!Q104/1000000</f>
        <v>473.94357760012997</v>
      </c>
      <c r="AJ60" s="127"/>
      <c r="AK60" s="127"/>
      <c r="AL60" s="155"/>
      <c r="AM60" s="126"/>
      <c r="AN60" s="199"/>
      <c r="AO60" s="127"/>
      <c r="AP60" s="127"/>
      <c r="AQ60" s="197"/>
      <c r="AR60" s="198"/>
      <c r="AS60" s="182"/>
      <c r="AT60" s="182"/>
      <c r="AU60" s="182"/>
      <c r="AV60" s="182"/>
    </row>
    <row r="61" spans="1:48" x14ac:dyDescent="0.4">
      <c r="A61" s="320"/>
      <c r="B61" s="153">
        <v>45778</v>
      </c>
      <c r="C61" s="231">
        <v>0</v>
      </c>
      <c r="D61" s="232">
        <v>1597.6</v>
      </c>
      <c r="E61" s="231">
        <v>9297.52</v>
      </c>
      <c r="F61" s="232">
        <v>5635.4</v>
      </c>
      <c r="G61" s="231">
        <v>1366.86</v>
      </c>
      <c r="H61" s="232">
        <v>2807.56</v>
      </c>
      <c r="I61" s="231">
        <v>2775.63</v>
      </c>
      <c r="J61" s="232">
        <v>3820.48</v>
      </c>
      <c r="K61" s="231">
        <v>9656.0499999999993</v>
      </c>
      <c r="L61" s="232">
        <v>18201.310000000001</v>
      </c>
      <c r="M61" s="231">
        <v>1123.2</v>
      </c>
      <c r="N61" s="232">
        <v>3593.17</v>
      </c>
      <c r="O61" s="231">
        <v>1360.51</v>
      </c>
      <c r="P61" s="232">
        <v>2110.9299999999998</v>
      </c>
      <c r="Q61" s="231">
        <v>1227.43</v>
      </c>
      <c r="R61" s="232">
        <v>2026</v>
      </c>
      <c r="S61" s="231">
        <v>2064.0300000000002</v>
      </c>
      <c r="T61" s="232">
        <v>2063.88</v>
      </c>
      <c r="U61" s="231">
        <v>953.6</v>
      </c>
      <c r="V61" s="232">
        <v>2021.66</v>
      </c>
      <c r="W61" s="231">
        <v>19640.61</v>
      </c>
      <c r="X61" s="232">
        <v>7354.84</v>
      </c>
      <c r="Y61" s="231">
        <v>7636.45</v>
      </c>
      <c r="Z61" s="232">
        <v>27701.27</v>
      </c>
      <c r="AA61" s="231">
        <v>8869.44</v>
      </c>
      <c r="AB61" s="232">
        <v>17546.73</v>
      </c>
      <c r="AC61" s="127"/>
      <c r="AD61" s="222"/>
      <c r="AE61" s="154"/>
      <c r="AF61" s="126">
        <v>2474.98</v>
      </c>
      <c r="AG61" s="223">
        <v>38.72</v>
      </c>
      <c r="AH61" s="127">
        <f t="shared" si="5"/>
        <v>63.919938016528931</v>
      </c>
      <c r="AI61" s="127">
        <f>AKFYE!R104/1000000</f>
        <v>471.758441162976</v>
      </c>
      <c r="AJ61" s="127"/>
      <c r="AK61" s="127"/>
      <c r="AL61" s="155"/>
      <c r="AM61" s="126"/>
      <c r="AN61" s="199"/>
      <c r="AO61" s="127"/>
      <c r="AP61" s="127"/>
      <c r="AQ61" s="197"/>
      <c r="AR61" s="198"/>
      <c r="AS61" s="182"/>
      <c r="AT61" s="182"/>
      <c r="AU61" s="182"/>
      <c r="AV61" s="182"/>
    </row>
    <row r="62" spans="1:48" x14ac:dyDescent="0.4">
      <c r="A62" s="320"/>
      <c r="B62" s="153">
        <v>45809</v>
      </c>
      <c r="C62" s="231">
        <v>1783.2</v>
      </c>
      <c r="D62" s="232">
        <v>1327.6</v>
      </c>
      <c r="E62" s="231">
        <v>2707.54</v>
      </c>
      <c r="F62" s="232">
        <v>2606.5700000000002</v>
      </c>
      <c r="G62" s="231">
        <v>383.35</v>
      </c>
      <c r="H62" s="232">
        <v>843.86</v>
      </c>
      <c r="I62" s="231">
        <v>945.68</v>
      </c>
      <c r="J62" s="232">
        <v>170.15</v>
      </c>
      <c r="K62" s="231">
        <v>2953.8</v>
      </c>
      <c r="L62" s="232">
        <v>7351.71</v>
      </c>
      <c r="M62" s="231">
        <v>805.1</v>
      </c>
      <c r="N62" s="232">
        <v>1447.6</v>
      </c>
      <c r="O62" s="231">
        <v>1700.25</v>
      </c>
      <c r="P62" s="232">
        <v>1775.12</v>
      </c>
      <c r="Q62" s="231">
        <v>1575.05</v>
      </c>
      <c r="R62" s="232">
        <v>2198.1</v>
      </c>
      <c r="S62" s="231">
        <v>2188.11</v>
      </c>
      <c r="T62" s="232">
        <v>2164.5100000000002</v>
      </c>
      <c r="U62" s="231">
        <v>1655.11</v>
      </c>
      <c r="V62" s="232">
        <v>2450.21</v>
      </c>
      <c r="W62" s="231">
        <v>17711.259999999998</v>
      </c>
      <c r="X62" s="232">
        <v>7285.17</v>
      </c>
      <c r="Y62" s="231">
        <v>10508.16</v>
      </c>
      <c r="Z62" s="232">
        <v>34467.910000000003</v>
      </c>
      <c r="AA62" s="231">
        <v>12352.16</v>
      </c>
      <c r="AB62" s="232">
        <v>16741.73</v>
      </c>
      <c r="AC62" s="127">
        <f>SUM(C60:AB62)</f>
        <v>467459.39999999985</v>
      </c>
      <c r="AD62" s="222"/>
      <c r="AE62" s="154"/>
      <c r="AF62" s="126">
        <v>2240.61</v>
      </c>
      <c r="AG62" s="223">
        <v>39.369999999999997</v>
      </c>
      <c r="AH62" s="127">
        <f t="shared" si="5"/>
        <v>56.911607823215654</v>
      </c>
      <c r="AI62" s="127">
        <f>AKFYE!S104/1000000</f>
        <v>420.17492508153998</v>
      </c>
      <c r="AJ62" s="127">
        <f>SUM(AI60:AI62)</f>
        <v>1365.8769438446461</v>
      </c>
      <c r="AK62" s="127">
        <f>_xll.RasFinancial($A$56,A60,3120,"XI_29","LOCAL",,FALSE(),"AC",,1000000)</f>
        <v>1482.415</v>
      </c>
      <c r="AL62" s="155">
        <f>(AJ62/AK62)-1</f>
        <v>-7.8613651477726476E-2</v>
      </c>
      <c r="AM62" s="127">
        <f>(_xll.RasFinancial($A$56,"2025/6M",3120,"XI_29","LOCAL",,FALSE(),"ACO",,1000000))-AM59</f>
        <v>1552.3570000000002</v>
      </c>
      <c r="AN62" s="155">
        <f>(AJ62/AM62)-1</f>
        <v>-0.12012704304187383</v>
      </c>
      <c r="AO62" s="127"/>
      <c r="AP62" s="127"/>
      <c r="AQ62" s="197"/>
      <c r="AR62" s="198"/>
      <c r="AS62" s="184"/>
      <c r="AT62" s="184"/>
      <c r="AU62" s="182"/>
      <c r="AV62" s="184"/>
    </row>
    <row r="63" spans="1:48" x14ac:dyDescent="0.4">
      <c r="A63" s="321" t="s">
        <v>709</v>
      </c>
      <c r="B63" s="138">
        <v>45839</v>
      </c>
      <c r="C63" s="229">
        <v>3565.35</v>
      </c>
      <c r="D63" s="230">
        <v>988.8</v>
      </c>
      <c r="E63" s="229">
        <v>631.89</v>
      </c>
      <c r="F63" s="230">
        <v>2255.1999999999998</v>
      </c>
      <c r="G63" s="229">
        <v>100.78</v>
      </c>
      <c r="H63" s="230">
        <v>575.6</v>
      </c>
      <c r="I63" s="229">
        <v>567.72</v>
      </c>
      <c r="J63" s="230">
        <v>0</v>
      </c>
      <c r="K63" s="229">
        <v>202.66</v>
      </c>
      <c r="L63" s="230">
        <v>1488.6</v>
      </c>
      <c r="M63" s="229">
        <v>792</v>
      </c>
      <c r="N63" s="230">
        <v>348.89</v>
      </c>
      <c r="O63" s="229">
        <v>1540.19</v>
      </c>
      <c r="P63" s="230">
        <v>1937.85</v>
      </c>
      <c r="Q63" s="229">
        <v>1744.36</v>
      </c>
      <c r="R63" s="230">
        <v>2239.8000000000002</v>
      </c>
      <c r="S63" s="229">
        <v>2215.96</v>
      </c>
      <c r="T63" s="230">
        <v>2208.7600000000002</v>
      </c>
      <c r="U63" s="229">
        <v>1300.22</v>
      </c>
      <c r="V63" s="230">
        <v>2417.79</v>
      </c>
      <c r="W63" s="229">
        <v>23564.25</v>
      </c>
      <c r="X63" s="230">
        <v>8451.93</v>
      </c>
      <c r="Y63" s="229">
        <v>11270.25</v>
      </c>
      <c r="Z63" s="230">
        <v>36606.019999999997</v>
      </c>
      <c r="AA63" s="229">
        <v>11767.03</v>
      </c>
      <c r="AB63" s="230">
        <v>12517.6</v>
      </c>
      <c r="AC63" s="123"/>
      <c r="AD63" s="221"/>
      <c r="AE63" s="162"/>
      <c r="AF63" s="140">
        <v>2981.73</v>
      </c>
      <c r="AG63" s="226">
        <v>40.14</v>
      </c>
      <c r="AH63" s="123">
        <f t="shared" si="5"/>
        <v>74.283258594917783</v>
      </c>
      <c r="AI63" s="123">
        <f>AKFYE!T104/1000000</f>
        <v>422.92903264344</v>
      </c>
      <c r="AJ63" s="123"/>
      <c r="AK63" s="123"/>
      <c r="AL63" s="150"/>
      <c r="AM63" s="123"/>
      <c r="AN63" s="150"/>
      <c r="AO63" s="123"/>
      <c r="AP63" s="123"/>
      <c r="AQ63" s="194"/>
      <c r="AR63" s="196"/>
      <c r="AS63" s="184"/>
      <c r="AT63" s="184"/>
      <c r="AU63" s="184"/>
      <c r="AV63" s="184"/>
    </row>
    <row r="64" spans="1:48" x14ac:dyDescent="0.4">
      <c r="A64" s="321"/>
      <c r="B64" s="138">
        <v>45870</v>
      </c>
      <c r="C64" s="229">
        <v>236.8</v>
      </c>
      <c r="D64" s="230">
        <v>1138.3</v>
      </c>
      <c r="E64" s="229">
        <v>0</v>
      </c>
      <c r="F64" s="230">
        <v>1579.7</v>
      </c>
      <c r="G64" s="229">
        <v>52.57</v>
      </c>
      <c r="H64" s="230">
        <v>497.93</v>
      </c>
      <c r="I64" s="229">
        <v>600.66999999999996</v>
      </c>
      <c r="J64" s="230">
        <v>0</v>
      </c>
      <c r="K64" s="229">
        <v>0</v>
      </c>
      <c r="L64" s="230">
        <v>432.96</v>
      </c>
      <c r="M64" s="229">
        <v>833.86</v>
      </c>
      <c r="N64" s="230">
        <v>92.44</v>
      </c>
      <c r="O64" s="229">
        <v>1502.01</v>
      </c>
      <c r="P64" s="230">
        <v>1745.2</v>
      </c>
      <c r="Q64" s="229">
        <v>1654.59</v>
      </c>
      <c r="R64" s="230">
        <v>2252.9</v>
      </c>
      <c r="S64" s="229">
        <v>2168.94</v>
      </c>
      <c r="T64" s="230">
        <v>2120</v>
      </c>
      <c r="U64" s="229">
        <v>1827.48</v>
      </c>
      <c r="V64" s="230">
        <v>2248.0500000000002</v>
      </c>
      <c r="W64" s="229">
        <v>24040.81</v>
      </c>
      <c r="X64" s="230">
        <v>8536.09</v>
      </c>
      <c r="Y64" s="229">
        <v>13795.22</v>
      </c>
      <c r="Z64" s="230">
        <v>46084.959999999999</v>
      </c>
      <c r="AA64" s="229">
        <v>15113.9</v>
      </c>
      <c r="AB64" s="230">
        <v>9951.18</v>
      </c>
      <c r="AC64" s="123"/>
      <c r="AD64" s="221"/>
      <c r="AE64" s="162"/>
      <c r="AF64" s="140">
        <v>2952.26</v>
      </c>
      <c r="AG64" s="226">
        <v>40.75</v>
      </c>
      <c r="AH64" s="123">
        <f t="shared" si="5"/>
        <v>72.448098159509215</v>
      </c>
      <c r="AI64" s="123">
        <f>AKFYE!U104/1000000</f>
        <v>449.86385764952496</v>
      </c>
      <c r="AJ64" s="123"/>
      <c r="AK64" s="123"/>
      <c r="AL64" s="150"/>
      <c r="AM64" s="123"/>
      <c r="AN64" s="150"/>
      <c r="AO64" s="123"/>
      <c r="AP64" s="123"/>
      <c r="AQ64" s="194"/>
      <c r="AR64" s="196"/>
      <c r="AS64" s="184"/>
      <c r="AT64" s="184"/>
      <c r="AU64" s="184"/>
      <c r="AV64" s="184"/>
    </row>
    <row r="65" spans="1:48" x14ac:dyDescent="0.4">
      <c r="A65" s="321"/>
      <c r="B65" s="138">
        <v>45901</v>
      </c>
      <c r="C65" s="229">
        <v>0</v>
      </c>
      <c r="D65" s="230">
        <v>1650.1</v>
      </c>
      <c r="E65" s="229">
        <v>123.43</v>
      </c>
      <c r="F65" s="230">
        <v>892.8</v>
      </c>
      <c r="G65" s="229">
        <v>74</v>
      </c>
      <c r="H65" s="230">
        <v>1852.79</v>
      </c>
      <c r="I65" s="229">
        <v>469.31</v>
      </c>
      <c r="J65" s="230">
        <v>0</v>
      </c>
      <c r="K65" s="229">
        <v>0.99</v>
      </c>
      <c r="L65" s="230">
        <v>612.79999999999995</v>
      </c>
      <c r="M65" s="229">
        <v>776</v>
      </c>
      <c r="N65" s="230">
        <v>664.64</v>
      </c>
      <c r="O65" s="229">
        <v>1326.51</v>
      </c>
      <c r="P65" s="230">
        <v>1919.53</v>
      </c>
      <c r="Q65" s="229">
        <v>1936.02</v>
      </c>
      <c r="R65" s="230">
        <v>1972</v>
      </c>
      <c r="S65" s="229">
        <v>2000.24</v>
      </c>
      <c r="T65" s="230">
        <v>2001.75</v>
      </c>
      <c r="U65" s="229">
        <v>2079.36</v>
      </c>
      <c r="V65" s="230">
        <v>2118.3200000000002</v>
      </c>
      <c r="W65" s="229">
        <v>18730.439999999999</v>
      </c>
      <c r="X65" s="230">
        <v>7268.44</v>
      </c>
      <c r="Y65" s="229">
        <v>11775.23</v>
      </c>
      <c r="Z65" s="230">
        <v>38072.949999999997</v>
      </c>
      <c r="AA65" s="229">
        <v>11818.18</v>
      </c>
      <c r="AB65" s="230">
        <v>16509.68</v>
      </c>
      <c r="AC65" s="123">
        <f>SUM(C63:AB65)</f>
        <v>396451.56999999995</v>
      </c>
      <c r="AD65" s="221"/>
      <c r="AE65" s="162"/>
      <c r="AF65" s="140">
        <v>2765.58</v>
      </c>
      <c r="AG65" s="226">
        <v>41.24</v>
      </c>
      <c r="AH65" s="123">
        <f t="shared" si="5"/>
        <v>67.060620756547038</v>
      </c>
      <c r="AI65" s="123">
        <f>AKFYE!V104/1000000</f>
        <v>417.698164602264</v>
      </c>
      <c r="AJ65" s="123">
        <f>SUM(AI63:AI65)</f>
        <v>1290.4910548952289</v>
      </c>
      <c r="AK65" s="123">
        <f>_xll.RasFinancial($A$56,A63,3120,"XI_29","LOCAL",,FALSE(),"AC",,1000000)</f>
        <v>1501.33</v>
      </c>
      <c r="AL65" s="150">
        <f>(AJ65/AK65)-1</f>
        <v>-0.14043477790010928</v>
      </c>
      <c r="AM65" s="123">
        <f>(_xll.RasFinancial($A$56,"2025/9M",3120,"XI_29","LOCAL",,FALSE(),"ACO",,1000000))-AM62-AM59</f>
        <v>1705.2050000000002</v>
      </c>
      <c r="AN65" s="150">
        <f>(AJ65/AM65)-1</f>
        <v>-0.2432047437726087</v>
      </c>
      <c r="AO65" s="123"/>
      <c r="AP65" s="123"/>
      <c r="AQ65" s="194"/>
      <c r="AR65" s="195"/>
      <c r="AS65" s="184"/>
      <c r="AT65" s="184"/>
      <c r="AU65" s="182"/>
      <c r="AV65" s="184"/>
    </row>
    <row r="66" spans="1:48" x14ac:dyDescent="0.4">
      <c r="A66" s="320" t="s">
        <v>708</v>
      </c>
      <c r="B66" s="153">
        <v>45931</v>
      </c>
      <c r="C66" s="231">
        <v>0</v>
      </c>
      <c r="D66" s="232">
        <v>393.2</v>
      </c>
      <c r="E66" s="231">
        <v>433.77</v>
      </c>
      <c r="F66" s="232">
        <v>1036.5</v>
      </c>
      <c r="G66" s="231">
        <v>469.02</v>
      </c>
      <c r="H66" s="232">
        <v>1679.51</v>
      </c>
      <c r="I66" s="231">
        <v>1038.76</v>
      </c>
      <c r="J66" s="232">
        <v>66.069999999999993</v>
      </c>
      <c r="K66" s="231">
        <v>0</v>
      </c>
      <c r="L66" s="232">
        <v>2190.7199999999998</v>
      </c>
      <c r="M66" s="231">
        <v>1304.4000000000001</v>
      </c>
      <c r="N66" s="232">
        <v>834.74</v>
      </c>
      <c r="O66" s="231">
        <v>1164.58</v>
      </c>
      <c r="P66" s="232">
        <v>1797.69</v>
      </c>
      <c r="Q66" s="231">
        <v>1789.19</v>
      </c>
      <c r="R66" s="232">
        <v>1709</v>
      </c>
      <c r="S66" s="231">
        <v>1752.22</v>
      </c>
      <c r="T66" s="232">
        <v>1761.31</v>
      </c>
      <c r="U66" s="231">
        <v>1942.98</v>
      </c>
      <c r="V66" s="232">
        <v>1722.28</v>
      </c>
      <c r="W66" s="231">
        <v>12376.04</v>
      </c>
      <c r="X66" s="232">
        <v>5517.61</v>
      </c>
      <c r="Y66" s="231">
        <v>5758.37</v>
      </c>
      <c r="Z66" s="232">
        <v>21013.1</v>
      </c>
      <c r="AA66" s="231">
        <v>7449.01</v>
      </c>
      <c r="AB66" s="232">
        <v>29683.13</v>
      </c>
      <c r="AC66" s="127"/>
      <c r="AD66" s="222"/>
      <c r="AE66" s="154"/>
      <c r="AF66" s="126">
        <v>2764.54</v>
      </c>
      <c r="AG66" s="223">
        <v>41.75</v>
      </c>
      <c r="AH66" s="127">
        <f t="shared" si="5"/>
        <v>66.216526946107777</v>
      </c>
      <c r="AI66" s="127">
        <f>AKFYE!W104/1000000</f>
        <v>351.407925358</v>
      </c>
      <c r="AJ66" s="127"/>
      <c r="AK66" s="127"/>
      <c r="AL66" s="155"/>
      <c r="AM66" s="127"/>
      <c r="AN66" s="155"/>
      <c r="AO66" s="127"/>
      <c r="AP66" s="127"/>
      <c r="AQ66" s="197"/>
      <c r="AR66" s="198"/>
      <c r="AS66" s="182"/>
      <c r="AT66" s="182"/>
      <c r="AU66" s="182"/>
      <c r="AV66" s="182"/>
    </row>
    <row r="67" spans="1:48" x14ac:dyDescent="0.4">
      <c r="A67" s="320"/>
      <c r="B67" s="153">
        <v>45962</v>
      </c>
      <c r="C67" s="231">
        <v>0</v>
      </c>
      <c r="D67" s="232">
        <v>560.4</v>
      </c>
      <c r="E67" s="231">
        <v>1552.56</v>
      </c>
      <c r="F67" s="232">
        <v>1641.8</v>
      </c>
      <c r="G67" s="231">
        <v>447.83</v>
      </c>
      <c r="H67" s="232">
        <v>571.74</v>
      </c>
      <c r="I67" s="231">
        <v>747.24</v>
      </c>
      <c r="J67" s="232">
        <v>215.17</v>
      </c>
      <c r="K67" s="231">
        <v>410.59</v>
      </c>
      <c r="L67" s="232">
        <v>4198.1499999999996</v>
      </c>
      <c r="M67" s="231">
        <v>1180.8</v>
      </c>
      <c r="N67" s="232">
        <v>2334.13</v>
      </c>
      <c r="O67" s="231">
        <v>554.95000000000005</v>
      </c>
      <c r="P67" s="232">
        <v>1543.78</v>
      </c>
      <c r="Q67" s="231">
        <v>1463.42</v>
      </c>
      <c r="R67" s="232">
        <v>1225.3</v>
      </c>
      <c r="S67" s="231">
        <v>1265.33</v>
      </c>
      <c r="T67" s="232">
        <v>1273.4100000000001</v>
      </c>
      <c r="U67" s="231">
        <v>873.36</v>
      </c>
      <c r="V67" s="232">
        <v>755.64</v>
      </c>
      <c r="W67" s="231">
        <v>4629.3599999999997</v>
      </c>
      <c r="X67" s="232">
        <v>3984</v>
      </c>
      <c r="Y67" s="231">
        <v>9214.5</v>
      </c>
      <c r="Z67" s="232">
        <v>30420.07</v>
      </c>
      <c r="AA67" s="231">
        <v>18833.18</v>
      </c>
      <c r="AB67" s="232">
        <v>25677.32</v>
      </c>
      <c r="AC67" s="127"/>
      <c r="AD67" s="222"/>
      <c r="AE67" s="154"/>
      <c r="AF67" s="126">
        <v>2814.97</v>
      </c>
      <c r="AG67" s="223">
        <v>42.2</v>
      </c>
      <c r="AH67" s="127">
        <f t="shared" si="5"/>
        <v>66.705450236966811</v>
      </c>
      <c r="AI67" s="127">
        <f>AKFYE!X104/1000000</f>
        <v>375.69129790864002</v>
      </c>
      <c r="AJ67" s="127"/>
      <c r="AK67" s="127"/>
      <c r="AL67" s="155"/>
      <c r="AM67" s="127"/>
      <c r="AN67" s="155"/>
      <c r="AO67" s="127"/>
      <c r="AP67" s="127"/>
      <c r="AQ67" s="197"/>
      <c r="AR67" s="198"/>
      <c r="AS67" s="182"/>
      <c r="AT67" s="182"/>
      <c r="AU67" s="182"/>
      <c r="AV67" s="182"/>
    </row>
    <row r="68" spans="1:48" x14ac:dyDescent="0.4">
      <c r="A68" s="320"/>
      <c r="B68" s="153">
        <v>45992</v>
      </c>
      <c r="C68" s="231">
        <v>0</v>
      </c>
      <c r="D68" s="232">
        <v>735.6</v>
      </c>
      <c r="E68" s="231">
        <v>2582.36</v>
      </c>
      <c r="F68" s="232">
        <v>8699.7999999999993</v>
      </c>
      <c r="G68" s="231">
        <v>1527.29</v>
      </c>
      <c r="H68" s="232">
        <v>1153.3800000000001</v>
      </c>
      <c r="I68" s="231">
        <v>2001.44</v>
      </c>
      <c r="J68" s="232">
        <v>445.23</v>
      </c>
      <c r="K68" s="231">
        <v>1380.99</v>
      </c>
      <c r="L68" s="232">
        <v>3672.38</v>
      </c>
      <c r="M68" s="231">
        <v>1258.5999999999999</v>
      </c>
      <c r="N68" s="232">
        <v>1563.67</v>
      </c>
      <c r="O68" s="231">
        <v>610.94000000000005</v>
      </c>
      <c r="P68" s="232">
        <v>949.63</v>
      </c>
      <c r="Q68" s="231">
        <v>924.58</v>
      </c>
      <c r="R68" s="232">
        <v>843.6</v>
      </c>
      <c r="S68" s="231">
        <v>801.95</v>
      </c>
      <c r="T68" s="232">
        <v>797.33</v>
      </c>
      <c r="U68" s="231">
        <v>899.74</v>
      </c>
      <c r="V68" s="232">
        <v>813.01</v>
      </c>
      <c r="W68" s="231">
        <v>10229.51</v>
      </c>
      <c r="X68" s="232">
        <v>5282.44</v>
      </c>
      <c r="Y68" s="231">
        <v>11115.61</v>
      </c>
      <c r="Z68" s="232">
        <v>24293.38</v>
      </c>
      <c r="AA68" s="231">
        <v>12663.8</v>
      </c>
      <c r="AB68" s="232">
        <v>23418.68</v>
      </c>
      <c r="AC68" s="127">
        <f>SUM(C66:AB68)</f>
        <v>339122.17</v>
      </c>
      <c r="AD68" s="127">
        <f>1645900</f>
        <v>1645900</v>
      </c>
      <c r="AE68" s="167">
        <f>((AC59+AC62+AC65+AC68)/AD68)-1</f>
        <v>-3.6565969986026015E-2</v>
      </c>
      <c r="AF68" s="126">
        <v>3005.44</v>
      </c>
      <c r="AG68" s="223">
        <v>42.61</v>
      </c>
      <c r="AH68" s="127">
        <f t="shared" si="5"/>
        <v>70.533677540483453</v>
      </c>
      <c r="AI68" s="127">
        <f>AKFYE!Y104/1000000</f>
        <v>383.68986015972001</v>
      </c>
      <c r="AJ68" s="127">
        <f>SUM(AI66:AI68)</f>
        <v>1110.7890834263601</v>
      </c>
      <c r="AK68" s="127">
        <f>_xll.RasFinancial($A$56,A66,3120,"XI_29","LOCAL",,FALSE(),"AC",,1000000)</f>
        <v>1181.3718779317896</v>
      </c>
      <c r="AL68" s="155">
        <f>(AJ68/AK68)-1</f>
        <v>-5.9746465802959392E-2</v>
      </c>
      <c r="AM68" s="127">
        <f>(_xll.RasFinancial($A$56,"2025/12M",3120,"XI_29","LOCAL",,FALSE(),"ACO",,1000000))-AM65-AM62-AM59</f>
        <v>1373.9579999999999</v>
      </c>
      <c r="AN68" s="155">
        <f>(AJ68/AM68)-1</f>
        <v>-0.19154072873671524</v>
      </c>
      <c r="AO68" s="155">
        <f>(AL59+AL62+AL65+AL68)/4</f>
        <v>-0.14556196223261567</v>
      </c>
      <c r="AP68" s="155">
        <f>(AN59+AN62+AN65+AN68)/4</f>
        <v>-0.16083333923353554</v>
      </c>
      <c r="AQ68" s="197"/>
      <c r="AR68" s="198"/>
      <c r="AS68" s="184"/>
      <c r="AT68" s="184"/>
      <c r="AU68" s="182"/>
      <c r="AV68" s="184"/>
    </row>
    <row r="69" spans="1:48" x14ac:dyDescent="0.4">
      <c r="A69" s="321" t="s">
        <v>712</v>
      </c>
      <c r="B69" s="138">
        <v>46023</v>
      </c>
      <c r="C69" s="229">
        <v>0</v>
      </c>
      <c r="D69" s="230">
        <v>1048.9000000000001</v>
      </c>
      <c r="E69" s="229">
        <v>3026.74</v>
      </c>
      <c r="F69" s="230">
        <v>19123.05</v>
      </c>
      <c r="G69" s="229">
        <v>3488.33</v>
      </c>
      <c r="H69" s="230">
        <v>2050.39</v>
      </c>
      <c r="I69" s="229">
        <v>4280.0200000000004</v>
      </c>
      <c r="J69" s="230">
        <v>370</v>
      </c>
      <c r="K69" s="229">
        <v>7912.18</v>
      </c>
      <c r="L69" s="230">
        <v>973.75</v>
      </c>
      <c r="M69" s="229">
        <v>1539.4</v>
      </c>
      <c r="N69" s="230">
        <v>1123.6400000000001</v>
      </c>
      <c r="O69" s="229">
        <v>248.53</v>
      </c>
      <c r="P69" s="230">
        <v>825.7</v>
      </c>
      <c r="Q69" s="229">
        <v>849.17</v>
      </c>
      <c r="R69" s="230">
        <v>422.2</v>
      </c>
      <c r="S69" s="229">
        <v>939.25</v>
      </c>
      <c r="T69" s="230">
        <v>889.14</v>
      </c>
      <c r="U69" s="229">
        <v>847.19</v>
      </c>
      <c r="V69" s="230">
        <v>541.04999999999995</v>
      </c>
      <c r="W69" s="229">
        <v>8433.4</v>
      </c>
      <c r="X69" s="230">
        <v>4756.84</v>
      </c>
      <c r="Y69" s="229">
        <v>17072.09</v>
      </c>
      <c r="Z69" s="230">
        <v>40891.620000000003</v>
      </c>
      <c r="AA69" s="229">
        <v>29079.88</v>
      </c>
      <c r="AB69" s="230">
        <v>39815.160000000003</v>
      </c>
      <c r="AC69" s="123"/>
      <c r="AD69" s="221"/>
      <c r="AE69" s="162"/>
      <c r="AF69" s="140">
        <v>2929.4</v>
      </c>
      <c r="AG69" s="226">
        <v>43.14</v>
      </c>
      <c r="AH69" s="123">
        <f t="shared" si="5"/>
        <v>67.904496986555401</v>
      </c>
      <c r="AI69" s="123">
        <f>AKFYE!Z104/1000000</f>
        <v>605.02323965640005</v>
      </c>
      <c r="AJ69" s="123"/>
      <c r="AK69" s="123"/>
      <c r="AL69" s="123"/>
      <c r="AM69" s="123"/>
      <c r="AN69" s="123"/>
      <c r="AO69" s="123"/>
      <c r="AP69" s="123"/>
      <c r="AQ69" s="194"/>
      <c r="AR69" s="195"/>
      <c r="AS69" s="182"/>
      <c r="AT69" s="182"/>
      <c r="AU69" s="182"/>
      <c r="AV69" s="182"/>
    </row>
    <row r="70" spans="1:48" x14ac:dyDescent="0.4">
      <c r="A70" s="321"/>
      <c r="B70" s="138">
        <v>46054</v>
      </c>
      <c r="C70" s="229">
        <v>0</v>
      </c>
      <c r="D70" s="230">
        <v>4675.5</v>
      </c>
      <c r="E70" s="229">
        <v>11880.73</v>
      </c>
      <c r="F70" s="230">
        <v>26463.279999999999</v>
      </c>
      <c r="G70" s="229">
        <v>5186.0200000000004</v>
      </c>
      <c r="H70" s="230">
        <v>2365.2600000000002</v>
      </c>
      <c r="I70" s="229">
        <v>6389.28</v>
      </c>
      <c r="J70" s="230">
        <v>482.98</v>
      </c>
      <c r="K70" s="229">
        <v>30015.67</v>
      </c>
      <c r="L70" s="230">
        <v>2181.33</v>
      </c>
      <c r="M70" s="229">
        <v>1752.1</v>
      </c>
      <c r="N70" s="230">
        <v>3366.34</v>
      </c>
      <c r="O70" s="229">
        <v>648.54</v>
      </c>
      <c r="P70" s="230">
        <v>1192.1199999999999</v>
      </c>
      <c r="Q70" s="229">
        <v>1202.6400000000001</v>
      </c>
      <c r="R70" s="230">
        <v>750.54</v>
      </c>
      <c r="S70" s="229">
        <v>1064.7</v>
      </c>
      <c r="T70" s="230">
        <v>1025.1099999999999</v>
      </c>
      <c r="U70" s="229">
        <v>1320.56</v>
      </c>
      <c r="V70" s="230">
        <v>1034.18</v>
      </c>
      <c r="W70" s="229">
        <v>10666.26</v>
      </c>
      <c r="X70" s="230">
        <v>6623.94</v>
      </c>
      <c r="Y70" s="229">
        <v>14596.77</v>
      </c>
      <c r="Z70" s="230">
        <v>31383.97</v>
      </c>
      <c r="AA70" s="229">
        <v>19717.72</v>
      </c>
      <c r="AB70" s="230">
        <v>34373.440000000002</v>
      </c>
      <c r="AC70" s="123"/>
      <c r="AD70" s="221"/>
      <c r="AE70" s="162"/>
      <c r="AF70" s="140">
        <v>2141.92</v>
      </c>
      <c r="AG70" s="226">
        <v>43.61</v>
      </c>
      <c r="AH70" s="123">
        <f t="shared" si="5"/>
        <v>49.115340518229765</v>
      </c>
      <c r="AI70" s="123">
        <f>AKFYE!AA104/1000000</f>
        <v>628.17858121308507</v>
      </c>
      <c r="AJ70" s="123"/>
      <c r="AK70" s="123"/>
      <c r="AL70" s="123"/>
      <c r="AM70" s="123"/>
      <c r="AN70" s="123"/>
      <c r="AO70" s="123"/>
      <c r="AP70" s="123"/>
      <c r="AQ70" s="194"/>
      <c r="AR70" s="195"/>
      <c r="AS70" s="182"/>
      <c r="AT70" s="182"/>
      <c r="AU70" s="182"/>
      <c r="AV70" s="182"/>
    </row>
    <row r="71" spans="1:48" x14ac:dyDescent="0.4">
      <c r="A71" s="321"/>
      <c r="B71" s="138">
        <v>46082</v>
      </c>
      <c r="C71" s="229">
        <v>536.70000000000005</v>
      </c>
      <c r="D71" s="230">
        <v>5132.6000000000004</v>
      </c>
      <c r="E71" s="229">
        <v>12929.92</v>
      </c>
      <c r="F71" s="230">
        <v>22069.09</v>
      </c>
      <c r="G71" s="229">
        <v>2724.87</v>
      </c>
      <c r="H71" s="230">
        <v>2841.38</v>
      </c>
      <c r="I71" s="229">
        <v>3875.18</v>
      </c>
      <c r="J71" s="230">
        <v>542.41999999999996</v>
      </c>
      <c r="K71" s="229">
        <v>34475.760000000002</v>
      </c>
      <c r="L71" s="230">
        <v>2729.57</v>
      </c>
      <c r="M71" s="229">
        <v>1903.76</v>
      </c>
      <c r="N71" s="230">
        <v>3083.27</v>
      </c>
      <c r="O71" s="229">
        <v>987.47</v>
      </c>
      <c r="P71" s="230">
        <v>1501.17</v>
      </c>
      <c r="Q71" s="229">
        <v>1494.92</v>
      </c>
      <c r="R71" s="230">
        <v>1496.48</v>
      </c>
      <c r="S71" s="229">
        <v>1649.33</v>
      </c>
      <c r="T71" s="230">
        <v>1639.74</v>
      </c>
      <c r="U71" s="229">
        <v>1531.83</v>
      </c>
      <c r="V71" s="230">
        <v>1451.21</v>
      </c>
      <c r="W71" s="229">
        <v>13286.1</v>
      </c>
      <c r="X71" s="230">
        <v>6341.63</v>
      </c>
      <c r="Y71" s="229">
        <v>19548.88</v>
      </c>
      <c r="Z71" s="230">
        <v>38317.1</v>
      </c>
      <c r="AA71" s="229">
        <v>21381.98</v>
      </c>
      <c r="AB71" s="230">
        <v>18571.37</v>
      </c>
      <c r="AC71" s="123">
        <f>SUM(C69:AB71)</f>
        <v>632950.32999999996</v>
      </c>
      <c r="AD71" s="221"/>
      <c r="AE71" s="162"/>
      <c r="AF71" s="140">
        <v>1726.85</v>
      </c>
      <c r="AG71" s="226">
        <v>44.1</v>
      </c>
      <c r="AH71" s="123">
        <f t="shared" si="5"/>
        <v>39.157596371882086</v>
      </c>
      <c r="AI71" s="123">
        <f>AKFYE!AB104/1000000</f>
        <v>651.43463344154998</v>
      </c>
      <c r="AJ71" s="123">
        <f>SUM(AI69:AI71)</f>
        <v>1884.6364543110351</v>
      </c>
      <c r="AK71" s="193"/>
      <c r="AL71" s="123"/>
      <c r="AM71" s="123"/>
      <c r="AN71" s="123"/>
      <c r="AO71" s="123"/>
      <c r="AP71" s="123"/>
      <c r="AQ71" s="200">
        <f>AJ71/(1+AO68)</f>
        <v>2205.7028959472846</v>
      </c>
      <c r="AR71" s="201">
        <f>AJ71/(1+AP68)</f>
        <v>2245.8428610470251</v>
      </c>
      <c r="AS71" s="184"/>
      <c r="AT71" s="184"/>
      <c r="AU71" s="184"/>
      <c r="AV71" s="184"/>
    </row>
    <row r="72" spans="1:48" x14ac:dyDescent="0.4">
      <c r="Y72" s="147"/>
      <c r="Z72" s="179"/>
      <c r="AA72" s="179"/>
      <c r="AB72" s="179"/>
      <c r="AC72" s="179"/>
      <c r="AE72" s="147"/>
      <c r="AF72" s="179"/>
      <c r="AG72" s="179"/>
      <c r="AH72" s="179"/>
      <c r="AI72" s="179"/>
      <c r="AK72" s="147"/>
      <c r="AL72" s="179"/>
      <c r="AM72" s="179"/>
      <c r="AN72" s="179"/>
      <c r="AO72" s="179"/>
    </row>
    <row r="73" spans="1:48" x14ac:dyDescent="0.4">
      <c r="C73" s="213">
        <v>1508</v>
      </c>
      <c r="D73" s="212">
        <v>2754</v>
      </c>
      <c r="E73" s="213">
        <v>1176</v>
      </c>
      <c r="Y73" s="147"/>
      <c r="Z73" s="179"/>
      <c r="AA73" s="179"/>
      <c r="AB73" s="179"/>
      <c r="AC73" s="179"/>
      <c r="AE73" s="147"/>
      <c r="AF73" s="179"/>
      <c r="AG73" s="179"/>
      <c r="AH73" s="179"/>
      <c r="AI73" s="179"/>
      <c r="AK73" s="147"/>
      <c r="AL73" s="179"/>
      <c r="AM73" s="179"/>
      <c r="AN73" s="179"/>
      <c r="AO73" s="179"/>
    </row>
    <row r="74" spans="1:48" ht="112.5" customHeight="1" x14ac:dyDescent="0.4">
      <c r="A74" s="322" t="s">
        <v>718</v>
      </c>
      <c r="B74" s="322"/>
      <c r="C74" s="202" t="s">
        <v>142</v>
      </c>
      <c r="D74" s="203" t="s">
        <v>143</v>
      </c>
      <c r="E74" s="202" t="s">
        <v>144</v>
      </c>
      <c r="F74" s="192"/>
      <c r="G74" s="133" t="s">
        <v>691</v>
      </c>
      <c r="H74" s="133" t="s">
        <v>690</v>
      </c>
      <c r="I74" s="134" t="s">
        <v>692</v>
      </c>
      <c r="J74" s="134" t="s">
        <v>693</v>
      </c>
      <c r="K74" s="134" t="s">
        <v>694</v>
      </c>
      <c r="L74" s="135" t="s">
        <v>716</v>
      </c>
      <c r="M74" s="135"/>
      <c r="N74" s="136" t="s">
        <v>695</v>
      </c>
      <c r="O74" s="136" t="s">
        <v>697</v>
      </c>
      <c r="P74" s="136" t="s">
        <v>696</v>
      </c>
      <c r="Q74" s="136" t="s">
        <v>698</v>
      </c>
      <c r="R74" s="136" t="s">
        <v>700</v>
      </c>
      <c r="S74" s="136" t="s">
        <v>701</v>
      </c>
      <c r="T74" s="136" t="s">
        <v>702</v>
      </c>
      <c r="U74" s="136" t="s">
        <v>704</v>
      </c>
      <c r="Y74" s="147"/>
      <c r="Z74" s="179"/>
      <c r="AA74" s="179"/>
      <c r="AB74" s="179"/>
      <c r="AC74" s="179"/>
      <c r="AE74" s="147"/>
      <c r="AF74" s="179"/>
      <c r="AG74" s="179"/>
      <c r="AH74" s="179"/>
      <c r="AI74" s="179"/>
      <c r="AK74" s="147"/>
      <c r="AL74" s="179"/>
      <c r="AM74" s="179"/>
      <c r="AN74" s="179"/>
      <c r="AO74" s="179"/>
    </row>
    <row r="75" spans="1:48" x14ac:dyDescent="0.4">
      <c r="A75" s="321" t="s">
        <v>711</v>
      </c>
      <c r="B75" s="138">
        <v>45658</v>
      </c>
      <c r="C75" s="233">
        <v>26321.16</v>
      </c>
      <c r="D75" s="234">
        <v>18004.95</v>
      </c>
      <c r="E75" s="233">
        <v>12969.26</v>
      </c>
      <c r="F75" s="230"/>
      <c r="G75" s="123"/>
      <c r="H75" s="139"/>
      <c r="I75" s="204">
        <v>2537.9899999999998</v>
      </c>
      <c r="J75" s="237">
        <v>35.479999999999997</v>
      </c>
      <c r="K75" s="205">
        <f>I75/J75</f>
        <v>71.532976324689969</v>
      </c>
      <c r="L75" s="221">
        <f>GWIND!G34/1000000</f>
        <v>146.501427336624</v>
      </c>
      <c r="M75" s="142"/>
      <c r="N75" s="123"/>
      <c r="O75" s="123"/>
      <c r="P75" s="123"/>
      <c r="Q75" s="123"/>
      <c r="R75" s="123"/>
      <c r="S75" s="123"/>
      <c r="T75" s="194"/>
      <c r="U75" s="195"/>
      <c r="Y75" s="147"/>
      <c r="Z75" s="179"/>
      <c r="AA75" s="179"/>
      <c r="AB75" s="179"/>
      <c r="AC75" s="179"/>
      <c r="AE75" s="147"/>
      <c r="AF75" s="179"/>
      <c r="AG75" s="179"/>
      <c r="AH75" s="179"/>
      <c r="AI75" s="179"/>
      <c r="AK75" s="147"/>
      <c r="AL75" s="179"/>
      <c r="AM75" s="179"/>
      <c r="AN75" s="179"/>
      <c r="AO75" s="179"/>
    </row>
    <row r="76" spans="1:48" x14ac:dyDescent="0.4">
      <c r="A76" s="321"/>
      <c r="B76" s="138">
        <v>45689</v>
      </c>
      <c r="C76" s="233">
        <v>22863.81</v>
      </c>
      <c r="D76" s="234">
        <v>14827.39</v>
      </c>
      <c r="E76" s="233">
        <v>18824.59</v>
      </c>
      <c r="F76" s="230"/>
      <c r="G76" s="123"/>
      <c r="H76" s="139"/>
      <c r="I76" s="204">
        <v>2506.77</v>
      </c>
      <c r="J76" s="237">
        <v>36.119999999999997</v>
      </c>
      <c r="K76" s="205">
        <f t="shared" ref="K76:K89" si="6">I76/J76</f>
        <v>69.401162790697683</v>
      </c>
      <c r="L76" s="221">
        <f>GWIND!H34/1000000</f>
        <v>143.79350046264003</v>
      </c>
      <c r="M76" s="148"/>
      <c r="N76" s="123"/>
      <c r="O76" s="123"/>
      <c r="P76" s="123"/>
      <c r="Q76" s="123"/>
      <c r="R76" s="123"/>
      <c r="S76" s="123"/>
      <c r="T76" s="194"/>
      <c r="U76" s="195"/>
      <c r="Y76" s="147"/>
      <c r="Z76" s="179"/>
      <c r="AA76" s="179"/>
      <c r="AB76" s="179"/>
      <c r="AC76" s="179"/>
      <c r="AE76" s="147"/>
      <c r="AF76" s="179"/>
      <c r="AG76" s="179"/>
      <c r="AH76" s="179"/>
      <c r="AI76" s="179"/>
      <c r="AK76" s="147"/>
      <c r="AL76" s="179"/>
      <c r="AM76" s="179"/>
      <c r="AN76" s="179"/>
      <c r="AO76" s="179"/>
    </row>
    <row r="77" spans="1:48" x14ac:dyDescent="0.4">
      <c r="A77" s="321"/>
      <c r="B77" s="138">
        <v>45717</v>
      </c>
      <c r="C77" s="233">
        <v>29890.560000000001</v>
      </c>
      <c r="D77" s="234">
        <v>25879.97</v>
      </c>
      <c r="E77" s="233">
        <v>14954.78</v>
      </c>
      <c r="F77" s="230">
        <f>SUM(C75:E77)</f>
        <v>184536.47</v>
      </c>
      <c r="G77" s="123"/>
      <c r="H77" s="139"/>
      <c r="I77" s="204">
        <v>2207.1799999999998</v>
      </c>
      <c r="J77" s="237">
        <v>37.04</v>
      </c>
      <c r="K77" s="205">
        <f t="shared" si="6"/>
        <v>59.589092872570191</v>
      </c>
      <c r="L77" s="221">
        <f>GWIND!I34/1000000</f>
        <v>169.24299496393598</v>
      </c>
      <c r="M77" s="123">
        <f>SUM(L75:L77)</f>
        <v>459.53792276320002</v>
      </c>
      <c r="N77" s="123">
        <f>_xll.RasFinancial($A$74,A75,3120,"XI_29","LOCAL",,FALSE(),"AC",,1000000)</f>
        <v>727.69757800000002</v>
      </c>
      <c r="O77" s="150">
        <f>(M77/N77)-1</f>
        <v>-0.36850425691096633</v>
      </c>
      <c r="P77" s="123">
        <f>_xll.RasFinancial($A$74,"2025/3M",3120,"XI_29","LOCAL",,FALSE(),"ACO",,1000000)</f>
        <v>556.05516699999998</v>
      </c>
      <c r="Q77" s="150">
        <f>(M77/P77)-1</f>
        <v>-0.17357494357533765</v>
      </c>
      <c r="R77" s="123"/>
      <c r="S77" s="123"/>
      <c r="T77" s="194"/>
      <c r="U77" s="196"/>
      <c r="Y77" s="147"/>
      <c r="Z77" s="179"/>
      <c r="AA77" s="179"/>
      <c r="AB77" s="179"/>
      <c r="AC77" s="179"/>
      <c r="AE77" s="147"/>
      <c r="AF77" s="179"/>
      <c r="AG77" s="179"/>
      <c r="AH77" s="179"/>
      <c r="AI77" s="179"/>
      <c r="AK77" s="147"/>
      <c r="AL77" s="179"/>
      <c r="AM77" s="179"/>
      <c r="AN77" s="179"/>
      <c r="AO77" s="179"/>
    </row>
    <row r="78" spans="1:48" x14ac:dyDescent="0.4">
      <c r="A78" s="320" t="s">
        <v>710</v>
      </c>
      <c r="B78" s="153">
        <v>45748</v>
      </c>
      <c r="C78" s="235">
        <v>21646.639999999999</v>
      </c>
      <c r="D78" s="236">
        <v>17229.740000000002</v>
      </c>
      <c r="E78" s="235">
        <v>17488.689999999999</v>
      </c>
      <c r="F78" s="232"/>
      <c r="G78" s="222"/>
      <c r="H78" s="154"/>
      <c r="I78" s="206">
        <v>2489.25</v>
      </c>
      <c r="J78" s="238">
        <v>38.049999999999997</v>
      </c>
      <c r="K78" s="207">
        <f t="shared" si="6"/>
        <v>65.420499342969777</v>
      </c>
      <c r="L78" s="222">
        <f>GWIND!J34/1000000</f>
        <v>159.22117960601003</v>
      </c>
      <c r="M78" s="127"/>
      <c r="N78" s="127"/>
      <c r="O78" s="155"/>
      <c r="P78" s="126"/>
      <c r="Q78" s="199"/>
      <c r="R78" s="127"/>
      <c r="S78" s="127"/>
      <c r="T78" s="197"/>
      <c r="U78" s="198"/>
      <c r="Y78" s="147"/>
      <c r="Z78" s="179"/>
      <c r="AA78" s="179"/>
      <c r="AB78" s="179"/>
      <c r="AC78" s="179"/>
      <c r="AE78" s="147"/>
      <c r="AF78" s="179"/>
      <c r="AG78" s="179"/>
      <c r="AH78" s="179"/>
      <c r="AI78" s="179"/>
      <c r="AK78" s="147"/>
      <c r="AL78" s="179"/>
      <c r="AM78" s="179"/>
      <c r="AN78" s="179"/>
      <c r="AO78" s="179"/>
    </row>
    <row r="79" spans="1:48" x14ac:dyDescent="0.4">
      <c r="A79" s="320"/>
      <c r="B79" s="153">
        <v>45778</v>
      </c>
      <c r="C79" s="235">
        <v>17754.52</v>
      </c>
      <c r="D79" s="236">
        <v>18098.8</v>
      </c>
      <c r="E79" s="235">
        <v>16193.22</v>
      </c>
      <c r="F79" s="232"/>
      <c r="G79" s="222"/>
      <c r="H79" s="154"/>
      <c r="I79" s="206">
        <v>2474.98</v>
      </c>
      <c r="J79" s="238">
        <v>38.72</v>
      </c>
      <c r="K79" s="207">
        <f t="shared" si="6"/>
        <v>63.919938016528931</v>
      </c>
      <c r="L79" s="222">
        <f>GWIND!K34/1000000</f>
        <v>150.038489617984</v>
      </c>
      <c r="M79" s="127"/>
      <c r="N79" s="127"/>
      <c r="O79" s="155"/>
      <c r="P79" s="126"/>
      <c r="Q79" s="199"/>
      <c r="R79" s="127"/>
      <c r="S79" s="127"/>
      <c r="T79" s="197"/>
      <c r="U79" s="198"/>
      <c r="Y79" s="147"/>
      <c r="Z79" s="179"/>
      <c r="AA79" s="179"/>
      <c r="AB79" s="179"/>
      <c r="AC79" s="179"/>
      <c r="AE79" s="147"/>
      <c r="AF79" s="179"/>
      <c r="AG79" s="179"/>
      <c r="AH79" s="179"/>
      <c r="AI79" s="179"/>
      <c r="AK79" s="147"/>
      <c r="AL79" s="179"/>
      <c r="AM79" s="179"/>
      <c r="AN79" s="179"/>
      <c r="AO79" s="179"/>
    </row>
    <row r="80" spans="1:48" x14ac:dyDescent="0.4">
      <c r="A80" s="320"/>
      <c r="B80" s="153">
        <v>45809</v>
      </c>
      <c r="C80" s="235">
        <v>28923.81</v>
      </c>
      <c r="D80" s="236">
        <v>23602.33</v>
      </c>
      <c r="E80" s="235">
        <v>41587.050000000003</v>
      </c>
      <c r="F80" s="232">
        <f>SUM(C78:E80)</f>
        <v>202524.79999999999</v>
      </c>
      <c r="G80" s="222"/>
      <c r="H80" s="154"/>
      <c r="I80" s="206">
        <v>2240.61</v>
      </c>
      <c r="J80" s="238">
        <v>39.369999999999997</v>
      </c>
      <c r="K80" s="207">
        <f t="shared" si="6"/>
        <v>56.911607823215654</v>
      </c>
      <c r="L80" s="222">
        <f>GWIND!L34/1000000</f>
        <v>245.44094600688999</v>
      </c>
      <c r="M80" s="127">
        <f>SUM(L78:L80)</f>
        <v>554.70061523088407</v>
      </c>
      <c r="N80" s="127">
        <f>_xll.RasFinancial($A$74,A78,3120,"XI_29","LOCAL",,FALSE(),"AC",,1000000)</f>
        <v>605.00925600000005</v>
      </c>
      <c r="O80" s="155">
        <f>(M80/N80)-1</f>
        <v>-8.3153505950851025E-2</v>
      </c>
      <c r="P80" s="127">
        <f>_xll.RasFinancial($A$74,"2025/6M",3120,"XI_29","LOCAL",,FALSE(),"ACO",,1000000)-P77</f>
        <v>638.40994100000012</v>
      </c>
      <c r="Q80" s="155">
        <f>(M80/P80)-1</f>
        <v>-0.13112158879918823</v>
      </c>
      <c r="R80" s="127"/>
      <c r="S80" s="127"/>
      <c r="T80" s="197"/>
      <c r="U80" s="198"/>
      <c r="Y80" s="147"/>
      <c r="Z80" s="179"/>
      <c r="AA80" s="179"/>
      <c r="AB80" s="179"/>
      <c r="AC80" s="179"/>
      <c r="AE80" s="147"/>
      <c r="AF80" s="179"/>
      <c r="AG80" s="179"/>
      <c r="AH80" s="179"/>
      <c r="AI80" s="179"/>
      <c r="AK80" s="147"/>
      <c r="AL80" s="179"/>
      <c r="AM80" s="179"/>
      <c r="AN80" s="179"/>
      <c r="AO80" s="179"/>
    </row>
    <row r="81" spans="1:44" x14ac:dyDescent="0.4">
      <c r="A81" s="321" t="s">
        <v>709</v>
      </c>
      <c r="B81" s="138">
        <v>45839</v>
      </c>
      <c r="C81" s="233">
        <v>31017.24</v>
      </c>
      <c r="D81" s="234">
        <v>22153.23</v>
      </c>
      <c r="E81" s="233">
        <v>28531.91</v>
      </c>
      <c r="F81" s="230"/>
      <c r="G81" s="221"/>
      <c r="H81" s="162"/>
      <c r="I81" s="204">
        <v>2981.73</v>
      </c>
      <c r="J81" s="237">
        <v>40.14</v>
      </c>
      <c r="K81" s="205">
        <f t="shared" si="6"/>
        <v>74.283258594917783</v>
      </c>
      <c r="L81" s="221">
        <f>GWIND!M34/1000000</f>
        <v>242.65675984176002</v>
      </c>
      <c r="M81" s="123"/>
      <c r="N81" s="123"/>
      <c r="O81" s="150"/>
      <c r="P81" s="123"/>
      <c r="Q81" s="150"/>
      <c r="R81" s="123"/>
      <c r="S81" s="123"/>
      <c r="T81" s="194"/>
      <c r="U81" s="196"/>
      <c r="Y81" s="147"/>
      <c r="Z81" s="147"/>
      <c r="AA81" s="147"/>
      <c r="AB81" s="147"/>
      <c r="AC81" s="147"/>
      <c r="AE81" s="147"/>
      <c r="AF81" s="179"/>
      <c r="AG81" s="179"/>
      <c r="AH81" s="179"/>
      <c r="AI81" s="179"/>
      <c r="AK81" s="147"/>
      <c r="AL81" s="179"/>
      <c r="AM81" s="179"/>
      <c r="AN81" s="179"/>
      <c r="AO81" s="179"/>
    </row>
    <row r="82" spans="1:44" x14ac:dyDescent="0.4">
      <c r="A82" s="321"/>
      <c r="B82" s="138">
        <v>45870</v>
      </c>
      <c r="C82" s="233">
        <v>48262.22</v>
      </c>
      <c r="D82" s="234">
        <v>25923.82</v>
      </c>
      <c r="E82" s="233">
        <v>28933.54</v>
      </c>
      <c r="F82" s="230"/>
      <c r="G82" s="221"/>
      <c r="H82" s="162"/>
      <c r="I82" s="204">
        <v>2952.26</v>
      </c>
      <c r="J82" s="237">
        <v>40.75</v>
      </c>
      <c r="K82" s="205">
        <f t="shared" si="6"/>
        <v>72.448098159509215</v>
      </c>
      <c r="L82" s="221">
        <f>GWIND!N34/1000000</f>
        <v>305.27647881159999</v>
      </c>
      <c r="M82" s="123"/>
      <c r="N82" s="123"/>
      <c r="O82" s="150"/>
      <c r="P82" s="123"/>
      <c r="Q82" s="150"/>
      <c r="R82" s="123"/>
      <c r="S82" s="123"/>
      <c r="T82" s="194"/>
      <c r="U82" s="196"/>
      <c r="Y82" s="147"/>
      <c r="Z82" s="147"/>
      <c r="AA82" s="147"/>
      <c r="AB82" s="147"/>
      <c r="AC82" s="147"/>
      <c r="AE82" s="147"/>
      <c r="AF82" s="147"/>
      <c r="AG82" s="147"/>
      <c r="AH82" s="147"/>
      <c r="AI82" s="147"/>
      <c r="AK82" s="147"/>
      <c r="AL82" s="179"/>
      <c r="AM82" s="179"/>
      <c r="AN82" s="179"/>
      <c r="AO82" s="179"/>
    </row>
    <row r="83" spans="1:44" x14ac:dyDescent="0.4">
      <c r="A83" s="321"/>
      <c r="B83" s="138">
        <v>45901</v>
      </c>
      <c r="C83" s="233">
        <v>30114.69</v>
      </c>
      <c r="D83" s="234">
        <v>20214.11</v>
      </c>
      <c r="E83" s="233">
        <v>35124.14</v>
      </c>
      <c r="F83" s="230">
        <f>SUM(C81:E83)</f>
        <v>270274.90000000002</v>
      </c>
      <c r="G83" s="221"/>
      <c r="H83" s="162"/>
      <c r="I83" s="204">
        <v>2765.58</v>
      </c>
      <c r="J83" s="237">
        <v>41.24</v>
      </c>
      <c r="K83" s="205">
        <f t="shared" si="6"/>
        <v>67.060620756547038</v>
      </c>
      <c r="L83" s="221">
        <f>GWIND!O34/1000000</f>
        <v>241.46484724899599</v>
      </c>
      <c r="M83" s="123">
        <f>SUM(L81:L83)</f>
        <v>789.398085902356</v>
      </c>
      <c r="N83" s="123">
        <f>_xll.RasFinancial($A$74,A81,3120,"XI_29","LOCAL",,FALSE(),"AC",,1000000)</f>
        <v>947.48092599999995</v>
      </c>
      <c r="O83" s="150">
        <f>(M83/N83)-1</f>
        <v>-0.16684540633976197</v>
      </c>
      <c r="P83" s="123">
        <f>_xll.RasFinancial($A$74,"2025/9M",3120,"XI_29","LOCAL",,FALSE(),"ACO",,1000000)-P80-P77</f>
        <v>1037.11815</v>
      </c>
      <c r="Q83" s="150">
        <f>(M83/P83)-1</f>
        <v>-0.23885423671125994</v>
      </c>
      <c r="R83" s="123"/>
      <c r="S83" s="123"/>
      <c r="T83" s="194"/>
      <c r="U83" s="195"/>
      <c r="Y83" s="147"/>
      <c r="Z83" s="147"/>
      <c r="AA83" s="147"/>
      <c r="AB83" s="147"/>
      <c r="AC83" s="147"/>
      <c r="AE83" s="147"/>
      <c r="AF83" s="147"/>
      <c r="AG83" s="147"/>
      <c r="AH83" s="147"/>
      <c r="AI83" s="147"/>
      <c r="AK83" s="147"/>
      <c r="AL83" s="147"/>
      <c r="AM83" s="147"/>
      <c r="AN83" s="147"/>
      <c r="AO83" s="147"/>
    </row>
    <row r="84" spans="1:44" x14ac:dyDescent="0.4">
      <c r="A84" s="320" t="s">
        <v>708</v>
      </c>
      <c r="B84" s="153">
        <v>45931</v>
      </c>
      <c r="C84" s="235">
        <v>14742.05</v>
      </c>
      <c r="D84" s="236">
        <v>16820.03</v>
      </c>
      <c r="E84" s="235">
        <v>20190.93</v>
      </c>
      <c r="F84" s="232"/>
      <c r="G84" s="222"/>
      <c r="H84" s="154"/>
      <c r="I84" s="206">
        <v>2764.54</v>
      </c>
      <c r="J84" s="238">
        <v>41.75</v>
      </c>
      <c r="K84" s="207">
        <f t="shared" si="6"/>
        <v>66.216526946107777</v>
      </c>
      <c r="L84" s="222">
        <f>GWIND!P34/1000000</f>
        <v>147.92943935869999</v>
      </c>
      <c r="M84" s="127"/>
      <c r="N84" s="127"/>
      <c r="O84" s="155"/>
      <c r="P84" s="127"/>
      <c r="Q84" s="155"/>
      <c r="R84" s="127"/>
      <c r="S84" s="127"/>
      <c r="T84" s="197"/>
      <c r="U84" s="198"/>
      <c r="Y84" s="147"/>
      <c r="Z84" s="147"/>
      <c r="AA84" s="147"/>
      <c r="AB84" s="147"/>
      <c r="AC84" s="147"/>
      <c r="AE84" s="147"/>
      <c r="AF84" s="147"/>
      <c r="AG84" s="147"/>
      <c r="AH84" s="147"/>
      <c r="AI84" s="147"/>
      <c r="AK84" s="147"/>
      <c r="AL84" s="147"/>
      <c r="AM84" s="147"/>
      <c r="AN84" s="147"/>
      <c r="AO84" s="147"/>
    </row>
    <row r="85" spans="1:44" x14ac:dyDescent="0.4">
      <c r="A85" s="320"/>
      <c r="B85" s="153">
        <v>45962</v>
      </c>
      <c r="C85" s="235">
        <v>24511.34</v>
      </c>
      <c r="D85" s="236">
        <v>20370.400000000001</v>
      </c>
      <c r="E85" s="235">
        <v>14804.55</v>
      </c>
      <c r="F85" s="232"/>
      <c r="G85" s="222"/>
      <c r="H85" s="154"/>
      <c r="I85" s="206">
        <v>2814.97</v>
      </c>
      <c r="J85" s="238">
        <v>42.2</v>
      </c>
      <c r="K85" s="207">
        <f t="shared" si="6"/>
        <v>66.705450236966811</v>
      </c>
      <c r="L85" s="222">
        <f>GWIND!Q34/1000000</f>
        <v>173.56638420882001</v>
      </c>
      <c r="M85" s="127"/>
      <c r="N85" s="127"/>
      <c r="O85" s="155"/>
      <c r="P85" s="127"/>
      <c r="Q85" s="155"/>
      <c r="R85" s="127"/>
      <c r="S85" s="127"/>
      <c r="T85" s="197"/>
      <c r="U85" s="198"/>
      <c r="Y85" s="147"/>
      <c r="Z85" s="147"/>
      <c r="AA85" s="147"/>
      <c r="AB85" s="147"/>
      <c r="AC85" s="147"/>
      <c r="AE85" s="147"/>
      <c r="AF85" s="147"/>
      <c r="AG85" s="147"/>
      <c r="AH85" s="147"/>
      <c r="AI85" s="147"/>
      <c r="AK85" s="147"/>
      <c r="AL85" s="147"/>
      <c r="AM85" s="147"/>
      <c r="AN85" s="147"/>
      <c r="AO85" s="147"/>
    </row>
    <row r="86" spans="1:44" x14ac:dyDescent="0.4">
      <c r="A86" s="320"/>
      <c r="B86" s="153">
        <v>45992</v>
      </c>
      <c r="C86" s="235">
        <v>17195.91</v>
      </c>
      <c r="D86" s="236">
        <v>16257.11</v>
      </c>
      <c r="E86" s="235">
        <v>34315.11</v>
      </c>
      <c r="F86" s="232">
        <f>SUM(C84:E86)</f>
        <v>179207.43</v>
      </c>
      <c r="G86" s="127">
        <v>880970.8</v>
      </c>
      <c r="H86" s="167">
        <f>((F77+F80+F83+F86)/G86)-1</f>
        <v>-5.042982128352036E-2</v>
      </c>
      <c r="I86" s="206">
        <v>3005.44</v>
      </c>
      <c r="J86" s="238">
        <v>42.61</v>
      </c>
      <c r="K86" s="207">
        <f t="shared" si="6"/>
        <v>70.533677540483453</v>
      </c>
      <c r="L86" s="222">
        <f>GWIND!R34/1000000</f>
        <v>205.52707845961999</v>
      </c>
      <c r="M86" s="127">
        <f>SUM(L84:L86)</f>
        <v>527.02290202713993</v>
      </c>
      <c r="N86" s="127">
        <f>_xll.RasFinancial($A$74,A84,3120,"XI_29","LOCAL",,FALSE(),"AC",,1000000)</f>
        <v>610.91804467004067</v>
      </c>
      <c r="O86" s="155">
        <f>(M86/N86)-1</f>
        <v>-0.13732634577558245</v>
      </c>
      <c r="P86" s="127">
        <f>_xll.RasFinancial($A$74,"2025/12M",3120,"XI_29","LOCAL",,FALSE(),"ACO",,1000000)-P83-P80-P77</f>
        <v>708.10851099999991</v>
      </c>
      <c r="Q86" s="155">
        <f>(M86/P86)-1</f>
        <v>-0.25573143968729961</v>
      </c>
      <c r="R86" s="155">
        <f>(O77+O80+O83+O86)/4</f>
        <v>-0.18895737874429044</v>
      </c>
      <c r="S86" s="155">
        <f>(Q77+Q80+Q83+Q86)/4</f>
        <v>-0.19982055219327136</v>
      </c>
      <c r="T86" s="197"/>
      <c r="U86" s="198"/>
      <c r="Y86" s="147"/>
      <c r="Z86" s="147"/>
      <c r="AA86" s="147"/>
      <c r="AB86" s="147"/>
      <c r="AC86" s="147"/>
      <c r="AE86" s="147"/>
      <c r="AF86" s="147"/>
      <c r="AG86" s="147"/>
      <c r="AH86" s="147"/>
      <c r="AI86" s="147"/>
      <c r="AK86" s="147"/>
      <c r="AL86" s="147"/>
      <c r="AM86" s="147"/>
      <c r="AN86" s="147"/>
      <c r="AO86" s="147"/>
    </row>
    <row r="87" spans="1:44" x14ac:dyDescent="0.4">
      <c r="A87" s="321" t="s">
        <v>712</v>
      </c>
      <c r="B87" s="138">
        <v>46023</v>
      </c>
      <c r="C87" s="233">
        <v>39372.44</v>
      </c>
      <c r="D87" s="234">
        <v>32827.14</v>
      </c>
      <c r="E87" s="233">
        <v>32529.21</v>
      </c>
      <c r="F87" s="230"/>
      <c r="G87" s="221"/>
      <c r="H87" s="162"/>
      <c r="I87" s="204">
        <v>2929.4</v>
      </c>
      <c r="J87" s="237">
        <v>43.14</v>
      </c>
      <c r="K87" s="205">
        <f t="shared" si="6"/>
        <v>67.904496986555401</v>
      </c>
      <c r="L87" s="221">
        <f>GWIND!S34/1000000</f>
        <v>314.30481413879994</v>
      </c>
      <c r="M87" s="123"/>
      <c r="N87" s="123"/>
      <c r="O87" s="123"/>
      <c r="P87" s="123"/>
      <c r="Q87" s="123"/>
      <c r="R87" s="123"/>
      <c r="S87" s="123"/>
      <c r="T87" s="194"/>
      <c r="U87" s="195"/>
      <c r="Y87" s="147"/>
      <c r="Z87" s="147"/>
      <c r="AA87" s="147"/>
      <c r="AB87" s="147"/>
      <c r="AC87" s="147"/>
      <c r="AE87" s="147"/>
      <c r="AF87" s="147"/>
      <c r="AG87" s="147"/>
      <c r="AH87" s="147"/>
      <c r="AI87" s="147"/>
      <c r="AK87" s="147"/>
      <c r="AL87" s="147"/>
      <c r="AM87" s="147"/>
      <c r="AN87" s="147"/>
      <c r="AO87" s="147"/>
    </row>
    <row r="88" spans="1:44" x14ac:dyDescent="0.4">
      <c r="A88" s="321"/>
      <c r="B88" s="138">
        <v>46054</v>
      </c>
      <c r="C88" s="233">
        <v>28841.47</v>
      </c>
      <c r="D88" s="234">
        <v>23077.31</v>
      </c>
      <c r="E88" s="233">
        <v>29148.61</v>
      </c>
      <c r="F88" s="230"/>
      <c r="G88" s="221"/>
      <c r="H88" s="162"/>
      <c r="I88" s="204">
        <v>2141.92</v>
      </c>
      <c r="J88" s="237">
        <v>43.61</v>
      </c>
      <c r="K88" s="205">
        <f t="shared" si="6"/>
        <v>49.115340518229765</v>
      </c>
      <c r="L88" s="221">
        <f>GWIND!T34/1000000</f>
        <v>197.866230759372</v>
      </c>
      <c r="M88" s="123"/>
      <c r="N88" s="123"/>
      <c r="O88" s="123"/>
      <c r="P88" s="123"/>
      <c r="Q88" s="123"/>
      <c r="R88" s="123"/>
      <c r="S88" s="123"/>
      <c r="T88" s="194"/>
      <c r="U88" s="195"/>
      <c r="Y88" s="147"/>
      <c r="Z88" s="147"/>
      <c r="AA88" s="147"/>
      <c r="AB88" s="147"/>
      <c r="AC88" s="147"/>
      <c r="AE88" s="147"/>
      <c r="AF88" s="147"/>
      <c r="AG88" s="147"/>
      <c r="AH88" s="147"/>
      <c r="AI88" s="147"/>
      <c r="AK88" s="147"/>
      <c r="AL88" s="147"/>
      <c r="AM88" s="147"/>
      <c r="AN88" s="147"/>
      <c r="AO88" s="147"/>
    </row>
    <row r="89" spans="1:44" x14ac:dyDescent="0.4">
      <c r="A89" s="321"/>
      <c r="B89" s="138">
        <v>46082</v>
      </c>
      <c r="C89" s="233">
        <v>28666.09</v>
      </c>
      <c r="D89" s="234">
        <v>17952.939999999999</v>
      </c>
      <c r="E89" s="233">
        <v>25523.49</v>
      </c>
      <c r="F89" s="230">
        <f>SUM(C87:E89)</f>
        <v>257938.69999999998</v>
      </c>
      <c r="G89" s="221"/>
      <c r="H89" s="162"/>
      <c r="I89" s="204">
        <v>1726.85</v>
      </c>
      <c r="J89" s="237">
        <v>44.1</v>
      </c>
      <c r="K89" s="205">
        <f t="shared" si="6"/>
        <v>39.157596371882086</v>
      </c>
      <c r="L89" s="221">
        <f>GWIND!U34/1000000</f>
        <v>151.54620329394001</v>
      </c>
      <c r="M89" s="123">
        <f>SUM(L87:L89)</f>
        <v>663.71724819211192</v>
      </c>
      <c r="N89" s="193"/>
      <c r="O89" s="123"/>
      <c r="P89" s="123"/>
      <c r="Q89" s="123"/>
      <c r="R89" s="123"/>
      <c r="S89" s="123"/>
      <c r="T89" s="200">
        <f>M89/(1+R86)</f>
        <v>818.3506400249363</v>
      </c>
      <c r="U89" s="201">
        <f>M89/(1+S86)</f>
        <v>829.4605041548416</v>
      </c>
      <c r="Y89" s="147"/>
      <c r="Z89" s="147"/>
      <c r="AA89" s="147"/>
      <c r="AB89" s="147"/>
      <c r="AC89" s="147"/>
      <c r="AE89" s="147"/>
      <c r="AF89" s="147"/>
      <c r="AG89" s="147"/>
      <c r="AH89" s="147"/>
      <c r="AI89" s="147"/>
      <c r="AK89" s="147"/>
      <c r="AL89" s="147"/>
      <c r="AM89" s="147"/>
      <c r="AN89" s="147"/>
      <c r="AO89" s="147"/>
    </row>
    <row r="90" spans="1:44" x14ac:dyDescent="0.4">
      <c r="Y90" s="147"/>
      <c r="Z90" s="147"/>
      <c r="AA90" s="147"/>
      <c r="AB90" s="147"/>
      <c r="AC90" s="147"/>
      <c r="AE90" s="147"/>
      <c r="AF90" s="147"/>
      <c r="AG90" s="147"/>
      <c r="AH90" s="147"/>
      <c r="AI90" s="147"/>
      <c r="AK90" s="147"/>
      <c r="AL90" s="147"/>
      <c r="AM90" s="147"/>
      <c r="AN90" s="147"/>
      <c r="AO90" s="147"/>
    </row>
    <row r="91" spans="1:44" x14ac:dyDescent="0.4">
      <c r="C91" s="208">
        <v>951</v>
      </c>
      <c r="D91" s="208">
        <v>2075</v>
      </c>
      <c r="E91" s="208">
        <v>1589</v>
      </c>
      <c r="F91" s="208">
        <v>1262</v>
      </c>
      <c r="G91" s="208">
        <v>2766</v>
      </c>
      <c r="H91" s="208">
        <v>1650</v>
      </c>
      <c r="I91" s="208">
        <v>1720</v>
      </c>
      <c r="J91" s="208">
        <v>1481</v>
      </c>
      <c r="K91" s="208">
        <v>2149</v>
      </c>
      <c r="L91" s="208">
        <v>2768</v>
      </c>
      <c r="M91" s="208">
        <v>716</v>
      </c>
      <c r="N91" s="208">
        <v>988</v>
      </c>
      <c r="O91" s="208">
        <v>1091</v>
      </c>
      <c r="P91" s="208">
        <v>1977</v>
      </c>
      <c r="Q91" s="208">
        <v>2341</v>
      </c>
      <c r="R91" s="208">
        <v>1548</v>
      </c>
      <c r="S91" s="208">
        <v>1712</v>
      </c>
      <c r="T91" s="208">
        <v>2066</v>
      </c>
      <c r="Y91" s="147"/>
      <c r="Z91" s="147"/>
      <c r="AA91" s="147"/>
      <c r="AB91" s="147"/>
      <c r="AC91" s="147"/>
      <c r="AE91" s="147"/>
      <c r="AF91" s="147"/>
      <c r="AG91" s="147"/>
      <c r="AH91" s="147"/>
      <c r="AI91" s="147"/>
      <c r="AK91" s="147"/>
      <c r="AL91" s="147"/>
      <c r="AM91" s="147"/>
      <c r="AN91" s="147"/>
      <c r="AO91" s="147"/>
    </row>
    <row r="92" spans="1:44" ht="75" x14ac:dyDescent="0.4">
      <c r="A92" s="322" t="s">
        <v>719</v>
      </c>
      <c r="B92" s="322"/>
      <c r="C92" s="202" t="s">
        <v>251</v>
      </c>
      <c r="D92" s="203" t="s">
        <v>720</v>
      </c>
      <c r="E92" s="202" t="s">
        <v>721</v>
      </c>
      <c r="F92" s="203" t="s">
        <v>256</v>
      </c>
      <c r="G92" s="202" t="s">
        <v>722</v>
      </c>
      <c r="H92" s="203" t="s">
        <v>265</v>
      </c>
      <c r="I92" s="202" t="s">
        <v>723</v>
      </c>
      <c r="J92" s="203" t="s">
        <v>724</v>
      </c>
      <c r="K92" s="202" t="s">
        <v>725</v>
      </c>
      <c r="L92" s="203" t="s">
        <v>252</v>
      </c>
      <c r="M92" s="202" t="s">
        <v>249</v>
      </c>
      <c r="N92" s="203" t="s">
        <v>726</v>
      </c>
      <c r="O92" s="202" t="s">
        <v>257</v>
      </c>
      <c r="P92" s="203" t="s">
        <v>261</v>
      </c>
      <c r="Q92" s="202" t="s">
        <v>727</v>
      </c>
      <c r="R92" s="203" t="s">
        <v>258</v>
      </c>
      <c r="S92" s="202" t="s">
        <v>728</v>
      </c>
      <c r="T92" s="203" t="s">
        <v>729</v>
      </c>
      <c r="U92" s="192"/>
      <c r="V92" s="133" t="s">
        <v>691</v>
      </c>
      <c r="W92" s="133" t="s">
        <v>690</v>
      </c>
      <c r="X92" s="134" t="s">
        <v>692</v>
      </c>
      <c r="Y92" s="134" t="s">
        <v>693</v>
      </c>
      <c r="Z92" s="134" t="s">
        <v>694</v>
      </c>
      <c r="AA92" s="135" t="s">
        <v>716</v>
      </c>
      <c r="AB92" s="135"/>
      <c r="AC92" s="136" t="s">
        <v>695</v>
      </c>
      <c r="AD92" s="136" t="s">
        <v>697</v>
      </c>
      <c r="AE92" s="136" t="s">
        <v>696</v>
      </c>
      <c r="AF92" s="136" t="s">
        <v>698</v>
      </c>
      <c r="AG92" s="136" t="s">
        <v>700</v>
      </c>
      <c r="AH92" s="136" t="s">
        <v>701</v>
      </c>
      <c r="AI92" s="136" t="s">
        <v>702</v>
      </c>
      <c r="AJ92" s="136" t="s">
        <v>704</v>
      </c>
      <c r="AK92" s="137"/>
      <c r="AL92" s="137"/>
      <c r="AM92" s="137"/>
      <c r="AN92" s="137"/>
      <c r="AO92" s="137"/>
      <c r="AP92" s="137"/>
      <c r="AQ92" s="137"/>
      <c r="AR92" s="137"/>
    </row>
    <row r="93" spans="1:44" x14ac:dyDescent="0.4">
      <c r="A93" s="321" t="s">
        <v>711</v>
      </c>
      <c r="B93" s="138">
        <v>45658</v>
      </c>
      <c r="C93" s="239" t="s">
        <v>543</v>
      </c>
      <c r="D93" s="239" t="s">
        <v>543</v>
      </c>
      <c r="E93" s="239">
        <v>1225.3499999999999</v>
      </c>
      <c r="F93" s="204">
        <v>2935</v>
      </c>
      <c r="G93" s="239">
        <v>5562.25</v>
      </c>
      <c r="H93" s="204">
        <v>2529.17</v>
      </c>
      <c r="I93" s="239">
        <v>10032.98</v>
      </c>
      <c r="J93" s="204">
        <v>1412.6</v>
      </c>
      <c r="K93" s="239">
        <v>11477</v>
      </c>
      <c r="L93" s="204">
        <v>3609.8</v>
      </c>
      <c r="M93" s="239">
        <v>0</v>
      </c>
      <c r="N93" s="204">
        <v>12906.61</v>
      </c>
      <c r="O93" s="239">
        <v>2043</v>
      </c>
      <c r="P93" s="204">
        <v>12597.32</v>
      </c>
      <c r="Q93" s="239">
        <v>20649.02</v>
      </c>
      <c r="R93" s="204">
        <v>4611.01</v>
      </c>
      <c r="S93" s="239">
        <v>20508.349999999999</v>
      </c>
      <c r="T93" s="204">
        <v>13450.38</v>
      </c>
      <c r="U93" s="240"/>
      <c r="V93" s="123"/>
      <c r="W93" s="139"/>
      <c r="X93" s="140">
        <v>2537.9899999999998</v>
      </c>
      <c r="Y93" s="226">
        <v>35.479999999999997</v>
      </c>
      <c r="Z93" s="123">
        <f>X93/Y93</f>
        <v>71.532976324689969</v>
      </c>
      <c r="AA93" s="123">
        <f>AYDEM!M77/1000000</f>
        <v>321.27900265440002</v>
      </c>
      <c r="AB93" s="123"/>
      <c r="AC93" s="123"/>
      <c r="AD93" s="123"/>
      <c r="AE93" s="123"/>
      <c r="AF93" s="123"/>
      <c r="AG93" s="123"/>
      <c r="AH93" s="123"/>
      <c r="AI93" s="194"/>
      <c r="AJ93" s="195"/>
      <c r="AK93" s="180"/>
      <c r="AL93" s="180"/>
      <c r="AM93" s="180"/>
      <c r="AN93" s="180"/>
      <c r="AO93" s="180"/>
      <c r="AP93" s="180"/>
      <c r="AQ93" s="145"/>
      <c r="AR93" s="181"/>
    </row>
    <row r="94" spans="1:44" x14ac:dyDescent="0.4">
      <c r="A94" s="321"/>
      <c r="B94" s="138">
        <v>45689</v>
      </c>
      <c r="C94" s="239" t="s">
        <v>543</v>
      </c>
      <c r="D94" s="239" t="s">
        <v>543</v>
      </c>
      <c r="E94" s="239">
        <v>1067.79</v>
      </c>
      <c r="F94" s="204">
        <v>2911</v>
      </c>
      <c r="G94" s="239">
        <v>3468.18</v>
      </c>
      <c r="H94" s="204">
        <v>1374.34</v>
      </c>
      <c r="I94" s="239">
        <v>5192.28</v>
      </c>
      <c r="J94" s="204">
        <v>1109.0999999999999</v>
      </c>
      <c r="K94" s="239">
        <v>5818</v>
      </c>
      <c r="L94" s="204">
        <v>1724.98</v>
      </c>
      <c r="M94" s="239">
        <v>0</v>
      </c>
      <c r="N94" s="204">
        <v>14564.93</v>
      </c>
      <c r="O94" s="239">
        <v>3465</v>
      </c>
      <c r="P94" s="204">
        <v>16414.099999999999</v>
      </c>
      <c r="Q94" s="239">
        <v>22711.74</v>
      </c>
      <c r="R94" s="204">
        <v>3163.36</v>
      </c>
      <c r="S94" s="239">
        <v>33355.75</v>
      </c>
      <c r="T94" s="204">
        <v>8559.85</v>
      </c>
      <c r="U94" s="240"/>
      <c r="V94" s="123"/>
      <c r="W94" s="139"/>
      <c r="X94" s="140">
        <v>2506.77</v>
      </c>
      <c r="Y94" s="226">
        <v>36.119999999999997</v>
      </c>
      <c r="Z94" s="123">
        <f t="shared" ref="Z94:Z107" si="7">X94/Y94</f>
        <v>69.401162790697683</v>
      </c>
      <c r="AA94" s="123">
        <f>AYDEM!N77/1000000</f>
        <v>319.31091131721598</v>
      </c>
      <c r="AB94" s="123"/>
      <c r="AC94" s="123"/>
      <c r="AD94" s="123"/>
      <c r="AE94" s="123"/>
      <c r="AF94" s="123"/>
      <c r="AG94" s="123"/>
      <c r="AH94" s="123"/>
      <c r="AI94" s="194"/>
      <c r="AJ94" s="195"/>
      <c r="AK94" s="180"/>
      <c r="AL94" s="180"/>
      <c r="AM94" s="180"/>
      <c r="AN94" s="180"/>
      <c r="AO94" s="180"/>
      <c r="AP94" s="180"/>
      <c r="AQ94" s="145"/>
      <c r="AR94" s="181"/>
    </row>
    <row r="95" spans="1:44" x14ac:dyDescent="0.4">
      <c r="A95" s="321"/>
      <c r="B95" s="138">
        <v>45717</v>
      </c>
      <c r="C95" s="239" t="s">
        <v>543</v>
      </c>
      <c r="D95" s="239" t="s">
        <v>543</v>
      </c>
      <c r="E95" s="239">
        <v>591.03</v>
      </c>
      <c r="F95" s="204">
        <v>23747</v>
      </c>
      <c r="G95" s="239">
        <v>2803.14</v>
      </c>
      <c r="H95" s="204">
        <v>14804.46</v>
      </c>
      <c r="I95" s="239">
        <v>17142.87</v>
      </c>
      <c r="J95" s="204">
        <v>324</v>
      </c>
      <c r="K95" s="239">
        <v>5850</v>
      </c>
      <c r="L95" s="204">
        <v>1507.81</v>
      </c>
      <c r="M95" s="239">
        <v>0</v>
      </c>
      <c r="N95" s="204">
        <v>13305.93</v>
      </c>
      <c r="O95" s="239">
        <v>5954</v>
      </c>
      <c r="P95" s="204">
        <v>19421.990000000002</v>
      </c>
      <c r="Q95" s="239">
        <v>26370.22</v>
      </c>
      <c r="R95" s="204">
        <v>5548.48</v>
      </c>
      <c r="S95" s="239">
        <v>38775.599999999999</v>
      </c>
      <c r="T95" s="204">
        <v>13178.69</v>
      </c>
      <c r="U95" s="240">
        <f>SUM(C93:T95)</f>
        <v>439775.46</v>
      </c>
      <c r="V95" s="123"/>
      <c r="W95" s="139"/>
      <c r="X95" s="140">
        <v>2207.1799999999998</v>
      </c>
      <c r="Y95" s="226">
        <v>37.04</v>
      </c>
      <c r="Z95" s="123">
        <f t="shared" si="7"/>
        <v>59.589092872570191</v>
      </c>
      <c r="AA95" s="123">
        <f>AYDEM!O77/1000000</f>
        <v>444.39917900150397</v>
      </c>
      <c r="AB95" s="123">
        <f>SUM(AA93:AA95)</f>
        <v>1084.98909297312</v>
      </c>
      <c r="AC95" s="123">
        <f>_xll.RasFinancial($A$92,A93,3120,"XI_29","LOCAL",,FALSE(),"AC",,1000000)</f>
        <v>4565.762772</v>
      </c>
      <c r="AD95" s="150">
        <f>(AB95/AC95)-1</f>
        <v>-0.76236411150686045</v>
      </c>
      <c r="AE95" s="123">
        <f>_xll.RasFinancial($A$92,"2025/3M",3120,"XI_29","LOCAL",,FALSE(),"ACO",,1000000)</f>
        <v>3488.8339030000002</v>
      </c>
      <c r="AF95" s="150">
        <f>(AB95/AE95)-1</f>
        <v>-0.68901096379505122</v>
      </c>
      <c r="AG95" s="123"/>
      <c r="AH95" s="123"/>
      <c r="AI95" s="194"/>
      <c r="AJ95" s="196"/>
      <c r="AK95" s="180"/>
      <c r="AL95" s="214"/>
      <c r="AM95" s="180"/>
      <c r="AN95" s="214"/>
      <c r="AO95" s="180"/>
      <c r="AP95" s="180"/>
      <c r="AQ95" s="145"/>
      <c r="AR95" s="183"/>
    </row>
    <row r="96" spans="1:44" x14ac:dyDescent="0.4">
      <c r="A96" s="320" t="s">
        <v>710</v>
      </c>
      <c r="B96" s="153">
        <v>45748</v>
      </c>
      <c r="C96" s="241" t="s">
        <v>543</v>
      </c>
      <c r="D96" s="241" t="s">
        <v>543</v>
      </c>
      <c r="E96" s="241">
        <v>544.95000000000005</v>
      </c>
      <c r="F96" s="206">
        <v>30024</v>
      </c>
      <c r="G96" s="241">
        <v>5867.25</v>
      </c>
      <c r="H96" s="206">
        <v>18567.849999999999</v>
      </c>
      <c r="I96" s="241">
        <v>13995.84</v>
      </c>
      <c r="J96" s="206">
        <v>452.8</v>
      </c>
      <c r="K96" s="241">
        <v>13605</v>
      </c>
      <c r="L96" s="206">
        <v>2219.34</v>
      </c>
      <c r="M96" s="241">
        <v>0</v>
      </c>
      <c r="N96" s="206">
        <v>19258.8</v>
      </c>
      <c r="O96" s="241">
        <v>6312</v>
      </c>
      <c r="P96" s="206">
        <v>11989.56</v>
      </c>
      <c r="Q96" s="241">
        <v>34634.61</v>
      </c>
      <c r="R96" s="206">
        <v>9661.1200000000008</v>
      </c>
      <c r="S96" s="241">
        <v>30777.35</v>
      </c>
      <c r="T96" s="206">
        <v>8396.73</v>
      </c>
      <c r="U96" s="242"/>
      <c r="V96" s="222"/>
      <c r="W96" s="154"/>
      <c r="X96" s="126">
        <v>2489.25</v>
      </c>
      <c r="Y96" s="223">
        <v>38.049999999999997</v>
      </c>
      <c r="Z96" s="127">
        <f t="shared" si="7"/>
        <v>65.420499342969777</v>
      </c>
      <c r="AA96" s="127">
        <f>AYDEM!P77/1000000</f>
        <v>531.5845070304099</v>
      </c>
      <c r="AB96" s="127"/>
      <c r="AC96" s="127"/>
      <c r="AD96" s="155"/>
      <c r="AE96" s="126"/>
      <c r="AF96" s="199"/>
      <c r="AG96" s="127"/>
      <c r="AH96" s="127"/>
      <c r="AI96" s="197"/>
      <c r="AJ96" s="198"/>
      <c r="AK96" s="180"/>
      <c r="AL96" s="214"/>
      <c r="AM96" s="215"/>
      <c r="AN96" s="216"/>
      <c r="AO96" s="180"/>
      <c r="AP96" s="180"/>
      <c r="AQ96" s="145"/>
      <c r="AR96" s="181"/>
    </row>
    <row r="97" spans="1:44" x14ac:dyDescent="0.4">
      <c r="A97" s="320"/>
      <c r="B97" s="153">
        <v>45778</v>
      </c>
      <c r="C97" s="241" t="s">
        <v>543</v>
      </c>
      <c r="D97" s="241" t="s">
        <v>543</v>
      </c>
      <c r="E97" s="241">
        <v>484.36</v>
      </c>
      <c r="F97" s="206">
        <v>23543</v>
      </c>
      <c r="G97" s="241">
        <v>8035.68</v>
      </c>
      <c r="H97" s="206">
        <v>17964.259999999998</v>
      </c>
      <c r="I97" s="241">
        <v>3670.79</v>
      </c>
      <c r="J97" s="206">
        <v>322.89999999999998</v>
      </c>
      <c r="K97" s="241">
        <v>12973</v>
      </c>
      <c r="L97" s="206">
        <v>1486.51</v>
      </c>
      <c r="M97" s="241">
        <v>0</v>
      </c>
      <c r="N97" s="206">
        <v>26564.1</v>
      </c>
      <c r="O97" s="241">
        <v>9023</v>
      </c>
      <c r="P97" s="206">
        <v>19397.07</v>
      </c>
      <c r="Q97" s="241">
        <v>44548.84</v>
      </c>
      <c r="R97" s="206">
        <v>21047.9</v>
      </c>
      <c r="S97" s="241">
        <v>35368.839999999997</v>
      </c>
      <c r="T97" s="206">
        <v>7790.38</v>
      </c>
      <c r="U97" s="242"/>
      <c r="V97" s="222"/>
      <c r="W97" s="154"/>
      <c r="X97" s="126">
        <v>2474.98</v>
      </c>
      <c r="Y97" s="223">
        <v>38.72</v>
      </c>
      <c r="Z97" s="127">
        <f t="shared" si="7"/>
        <v>63.919938016528931</v>
      </c>
      <c r="AA97" s="127">
        <f>AYDEM!Q77/1000000</f>
        <v>602.44639902515189</v>
      </c>
      <c r="AB97" s="127"/>
      <c r="AC97" s="127"/>
      <c r="AD97" s="155"/>
      <c r="AE97" s="126"/>
      <c r="AF97" s="199"/>
      <c r="AG97" s="127"/>
      <c r="AH97" s="127"/>
      <c r="AI97" s="197"/>
      <c r="AJ97" s="198"/>
      <c r="AK97" s="180"/>
      <c r="AL97" s="214"/>
      <c r="AM97" s="215"/>
      <c r="AN97" s="216"/>
      <c r="AO97" s="180"/>
      <c r="AP97" s="180"/>
      <c r="AQ97" s="145"/>
      <c r="AR97" s="181"/>
    </row>
    <row r="98" spans="1:44" x14ac:dyDescent="0.4">
      <c r="A98" s="320"/>
      <c r="B98" s="153">
        <v>45809</v>
      </c>
      <c r="C98" s="241" t="s">
        <v>543</v>
      </c>
      <c r="D98" s="241" t="s">
        <v>543</v>
      </c>
      <c r="E98" s="241">
        <v>214.22</v>
      </c>
      <c r="F98" s="206">
        <v>8796</v>
      </c>
      <c r="G98" s="241">
        <v>10367.31</v>
      </c>
      <c r="H98" s="206">
        <v>8945.9599999999991</v>
      </c>
      <c r="I98" s="241">
        <v>624.54</v>
      </c>
      <c r="J98" s="206">
        <v>0</v>
      </c>
      <c r="K98" s="241">
        <v>14704</v>
      </c>
      <c r="L98" s="206">
        <v>972.84</v>
      </c>
      <c r="M98" s="241">
        <v>12574.7</v>
      </c>
      <c r="N98" s="206">
        <v>24733.599999999999</v>
      </c>
      <c r="O98" s="241">
        <v>6404</v>
      </c>
      <c r="P98" s="206">
        <v>21624.75</v>
      </c>
      <c r="Q98" s="241">
        <v>38067.919999999998</v>
      </c>
      <c r="R98" s="206">
        <v>8495.4699999999993</v>
      </c>
      <c r="S98" s="241">
        <v>37839.879999999997</v>
      </c>
      <c r="T98" s="206">
        <v>12199.04</v>
      </c>
      <c r="U98" s="242">
        <f>SUM(C96:T98)</f>
        <v>645092.06000000006</v>
      </c>
      <c r="V98" s="222"/>
      <c r="W98" s="154"/>
      <c r="X98" s="126">
        <v>2240.61</v>
      </c>
      <c r="Y98" s="223">
        <v>39.369999999999997</v>
      </c>
      <c r="Z98" s="127">
        <f t="shared" si="7"/>
        <v>56.911607823215654</v>
      </c>
      <c r="AA98" s="127">
        <f>AYDEM!R77/1000000</f>
        <v>510.1525014252399</v>
      </c>
      <c r="AB98" s="127">
        <f>SUM(AA96:AA98)</f>
        <v>1644.1834074808019</v>
      </c>
      <c r="AC98" s="127">
        <f>_xll.RasFinancial($A$92,A96,3120,"XI_29","LOCAL",,FALSE(),"AC",,1000000)</f>
        <v>2146.030992</v>
      </c>
      <c r="AD98" s="155">
        <f>(AB98/AC98)-1</f>
        <v>-0.23384917850207732</v>
      </c>
      <c r="AE98" s="127">
        <f>_xll.RasFinancial($A$92,"2025/6M",3120,"XI_29","LOCAL",,FALSE(),"ACO",,1000000)-AE95</f>
        <v>2355.5955289999997</v>
      </c>
      <c r="AF98" s="155">
        <f>(AB98/AE98)-1</f>
        <v>-0.30200945483251418</v>
      </c>
      <c r="AG98" s="127"/>
      <c r="AH98" s="127"/>
      <c r="AI98" s="197"/>
      <c r="AJ98" s="198"/>
      <c r="AK98" s="180"/>
      <c r="AL98" s="214"/>
      <c r="AM98" s="180"/>
      <c r="AN98" s="214"/>
      <c r="AO98" s="180"/>
      <c r="AP98" s="180"/>
      <c r="AQ98" s="145"/>
      <c r="AR98" s="181"/>
    </row>
    <row r="99" spans="1:44" x14ac:dyDescent="0.4">
      <c r="A99" s="321" t="s">
        <v>709</v>
      </c>
      <c r="B99" s="138">
        <v>45839</v>
      </c>
      <c r="C99" s="239" t="s">
        <v>543</v>
      </c>
      <c r="D99" s="239" t="s">
        <v>543</v>
      </c>
      <c r="E99" s="239">
        <v>161.26</v>
      </c>
      <c r="F99" s="204">
        <v>2962.55</v>
      </c>
      <c r="G99" s="239">
        <v>13272.95</v>
      </c>
      <c r="H99" s="204">
        <v>2738.8</v>
      </c>
      <c r="I99" s="239">
        <v>83.36</v>
      </c>
      <c r="J99" s="204">
        <v>317.10000000000002</v>
      </c>
      <c r="K99" s="239">
        <v>11066</v>
      </c>
      <c r="L99" s="204">
        <v>793.17</v>
      </c>
      <c r="M99" s="239">
        <v>23515.18</v>
      </c>
      <c r="N99" s="204">
        <v>24696.29</v>
      </c>
      <c r="O99" s="239">
        <v>3620</v>
      </c>
      <c r="P99" s="204">
        <v>16515.28</v>
      </c>
      <c r="Q99" s="239">
        <v>38415.31</v>
      </c>
      <c r="R99" s="204">
        <v>3034.34</v>
      </c>
      <c r="S99" s="239">
        <v>39875.629999999997</v>
      </c>
      <c r="T99" s="204">
        <v>13585.86</v>
      </c>
      <c r="U99" s="240"/>
      <c r="V99" s="221"/>
      <c r="W99" s="162"/>
      <c r="X99" s="140">
        <v>2981.73</v>
      </c>
      <c r="Y99" s="226">
        <v>40.14</v>
      </c>
      <c r="Z99" s="123">
        <f t="shared" si="7"/>
        <v>74.283258594917783</v>
      </c>
      <c r="AA99" s="123">
        <f>AYDEM!S77/1000000</f>
        <v>577.39975732929611</v>
      </c>
      <c r="AB99" s="123"/>
      <c r="AC99" s="123"/>
      <c r="AD99" s="150"/>
      <c r="AE99" s="123"/>
      <c r="AF99" s="150"/>
      <c r="AG99" s="123"/>
      <c r="AH99" s="123"/>
      <c r="AI99" s="194"/>
      <c r="AJ99" s="196"/>
      <c r="AK99" s="180"/>
      <c r="AL99" s="214"/>
      <c r="AM99" s="180"/>
      <c r="AN99" s="214"/>
      <c r="AO99" s="180"/>
      <c r="AP99" s="180"/>
      <c r="AQ99" s="145"/>
      <c r="AR99" s="183"/>
    </row>
    <row r="100" spans="1:44" x14ac:dyDescent="0.4">
      <c r="A100" s="321"/>
      <c r="B100" s="138">
        <v>45870</v>
      </c>
      <c r="C100" s="243" t="s">
        <v>543</v>
      </c>
      <c r="D100" s="243" t="s">
        <v>543</v>
      </c>
      <c r="E100" s="239">
        <v>151.94999999999999</v>
      </c>
      <c r="F100" s="204">
        <v>1565.15</v>
      </c>
      <c r="G100" s="239">
        <v>5957.67</v>
      </c>
      <c r="H100" s="204">
        <v>1190.8499999999999</v>
      </c>
      <c r="I100" s="239">
        <v>0</v>
      </c>
      <c r="J100" s="204">
        <v>387.6</v>
      </c>
      <c r="K100" s="239">
        <v>12631</v>
      </c>
      <c r="L100" s="204">
        <v>730.82</v>
      </c>
      <c r="M100" s="239">
        <v>0</v>
      </c>
      <c r="N100" s="204">
        <v>21763.25</v>
      </c>
      <c r="O100" s="239">
        <v>3574</v>
      </c>
      <c r="P100" s="204">
        <v>19249.14</v>
      </c>
      <c r="Q100" s="239">
        <v>32557.32</v>
      </c>
      <c r="R100" s="204">
        <v>1389.35</v>
      </c>
      <c r="S100" s="239">
        <v>44382.57</v>
      </c>
      <c r="T100" s="204">
        <v>19739.59</v>
      </c>
      <c r="U100" s="240"/>
      <c r="V100" s="221"/>
      <c r="W100" s="162"/>
      <c r="X100" s="140">
        <v>2952.26</v>
      </c>
      <c r="Y100" s="226">
        <v>40.75</v>
      </c>
      <c r="Z100" s="123">
        <f t="shared" si="7"/>
        <v>72.448098159509215</v>
      </c>
      <c r="AA100" s="123">
        <f>AYDEM!T77/1000000</f>
        <v>489.70650573299997</v>
      </c>
      <c r="AB100" s="123"/>
      <c r="AC100" s="123"/>
      <c r="AD100" s="150"/>
      <c r="AE100" s="123"/>
      <c r="AF100" s="150"/>
      <c r="AG100" s="123"/>
      <c r="AH100" s="123"/>
      <c r="AI100" s="194"/>
      <c r="AJ100" s="196"/>
      <c r="AK100" s="180"/>
      <c r="AL100" s="214"/>
      <c r="AM100" s="180"/>
      <c r="AN100" s="214"/>
      <c r="AO100" s="180"/>
      <c r="AP100" s="180"/>
      <c r="AQ100" s="145"/>
      <c r="AR100" s="183"/>
    </row>
    <row r="101" spans="1:44" x14ac:dyDescent="0.4">
      <c r="A101" s="321"/>
      <c r="B101" s="138">
        <v>45901</v>
      </c>
      <c r="C101" s="239" t="s">
        <v>543</v>
      </c>
      <c r="D101" s="239" t="s">
        <v>543</v>
      </c>
      <c r="E101" s="239">
        <v>175.44</v>
      </c>
      <c r="F101" s="204">
        <v>2854</v>
      </c>
      <c r="G101" s="239">
        <v>4080.84</v>
      </c>
      <c r="H101" s="204">
        <v>2313.8000000000002</v>
      </c>
      <c r="I101" s="239">
        <v>0</v>
      </c>
      <c r="J101" s="204">
        <v>0</v>
      </c>
      <c r="K101" s="239">
        <v>10448</v>
      </c>
      <c r="L101" s="204">
        <v>598.48</v>
      </c>
      <c r="M101" s="239">
        <v>0</v>
      </c>
      <c r="N101" s="204">
        <v>16928.060000000001</v>
      </c>
      <c r="O101" s="239">
        <v>3588</v>
      </c>
      <c r="P101" s="204">
        <v>19021.41</v>
      </c>
      <c r="Q101" s="239">
        <v>25291.58</v>
      </c>
      <c r="R101" s="204">
        <v>923.91</v>
      </c>
      <c r="S101" s="239">
        <v>38101.94</v>
      </c>
      <c r="T101" s="204">
        <v>12529.5</v>
      </c>
      <c r="U101" s="240">
        <f>SUM(C99:T101)</f>
        <v>496778.30000000005</v>
      </c>
      <c r="V101" s="221"/>
      <c r="W101" s="162"/>
      <c r="X101" s="140">
        <v>2765.58</v>
      </c>
      <c r="Y101" s="226">
        <v>41.24</v>
      </c>
      <c r="Z101" s="123">
        <f t="shared" si="7"/>
        <v>67.060620756547038</v>
      </c>
      <c r="AA101" s="123">
        <f>AYDEM!U77/1000000</f>
        <v>392.13138443436401</v>
      </c>
      <c r="AB101" s="123">
        <f>SUM(AA99:AA101)</f>
        <v>1459.23764749666</v>
      </c>
      <c r="AC101" s="123">
        <f>_xll.RasFinancial($A$92,A99,3120,"XI_29","LOCAL",,FALSE(),"AC",,1000000)</f>
        <v>3340.26595</v>
      </c>
      <c r="AD101" s="150">
        <f>(AB101/AC101)-1</f>
        <v>-0.56313728627007675</v>
      </c>
      <c r="AE101" s="123">
        <f>_xll.RasFinancial($A$92,"2025/9M",3120,"XI_29","LOCAL",,FALSE(),"ACO",,1000000)-AE98-AE95</f>
        <v>3778.8542569999995</v>
      </c>
      <c r="AF101" s="150">
        <f>(AB101/AE101)-1</f>
        <v>-0.61384124704107101</v>
      </c>
      <c r="AG101" s="123"/>
      <c r="AH101" s="123"/>
      <c r="AI101" s="194"/>
      <c r="AJ101" s="195"/>
      <c r="AK101" s="180"/>
      <c r="AL101" s="214"/>
      <c r="AM101" s="180"/>
      <c r="AN101" s="214"/>
      <c r="AO101" s="180"/>
      <c r="AP101" s="180"/>
      <c r="AQ101" s="145"/>
      <c r="AR101" s="181"/>
    </row>
    <row r="102" spans="1:44" x14ac:dyDescent="0.4">
      <c r="A102" s="320" t="s">
        <v>708</v>
      </c>
      <c r="B102" s="153">
        <v>45931</v>
      </c>
      <c r="C102" s="241" t="s">
        <v>543</v>
      </c>
      <c r="D102" s="241" t="s">
        <v>543</v>
      </c>
      <c r="E102" s="241">
        <v>640.37</v>
      </c>
      <c r="F102" s="206">
        <v>4092</v>
      </c>
      <c r="G102" s="241">
        <v>1289.1600000000001</v>
      </c>
      <c r="H102" s="206">
        <v>3860.94</v>
      </c>
      <c r="I102" s="241">
        <v>0</v>
      </c>
      <c r="J102" s="206">
        <v>607.9</v>
      </c>
      <c r="K102" s="241">
        <v>6545</v>
      </c>
      <c r="L102" s="206">
        <v>1158.92</v>
      </c>
      <c r="M102" s="241">
        <v>0</v>
      </c>
      <c r="N102" s="206">
        <v>8981.67</v>
      </c>
      <c r="O102" s="241">
        <v>3507</v>
      </c>
      <c r="P102" s="206">
        <v>13260.29</v>
      </c>
      <c r="Q102" s="241">
        <v>14116.68</v>
      </c>
      <c r="R102" s="206">
        <v>900.83</v>
      </c>
      <c r="S102" s="241">
        <v>33274.1</v>
      </c>
      <c r="T102" s="206">
        <v>9284.27</v>
      </c>
      <c r="U102" s="242"/>
      <c r="V102" s="222"/>
      <c r="W102" s="154"/>
      <c r="X102" s="126">
        <v>2764.54</v>
      </c>
      <c r="Y102" s="223">
        <v>41.75</v>
      </c>
      <c r="Z102" s="127">
        <f t="shared" si="7"/>
        <v>66.216526946107777</v>
      </c>
      <c r="AA102" s="127">
        <f>AYDEM!V77/1000000</f>
        <v>290.43986924789999</v>
      </c>
      <c r="AB102" s="127"/>
      <c r="AC102" s="127"/>
      <c r="AD102" s="155"/>
      <c r="AE102" s="127"/>
      <c r="AF102" s="155"/>
      <c r="AG102" s="127"/>
      <c r="AH102" s="127"/>
      <c r="AI102" s="197"/>
      <c r="AJ102" s="198"/>
      <c r="AK102" s="180"/>
      <c r="AL102" s="214"/>
      <c r="AM102" s="180"/>
      <c r="AN102" s="214"/>
      <c r="AO102" s="180"/>
      <c r="AP102" s="180"/>
      <c r="AQ102" s="145"/>
      <c r="AR102" s="181"/>
    </row>
    <row r="103" spans="1:44" x14ac:dyDescent="0.4">
      <c r="A103" s="320"/>
      <c r="B103" s="153">
        <v>45962</v>
      </c>
      <c r="C103" s="241" t="s">
        <v>543</v>
      </c>
      <c r="D103" s="241" t="s">
        <v>543</v>
      </c>
      <c r="E103" s="241">
        <v>950.04</v>
      </c>
      <c r="F103" s="206">
        <v>8543.48</v>
      </c>
      <c r="G103" s="241">
        <v>621.23</v>
      </c>
      <c r="H103" s="206">
        <v>9257.9599999999991</v>
      </c>
      <c r="I103" s="241">
        <v>1.1200000000000001</v>
      </c>
      <c r="J103" s="206">
        <v>625.1</v>
      </c>
      <c r="K103" s="241">
        <v>5729</v>
      </c>
      <c r="L103" s="206">
        <v>1071</v>
      </c>
      <c r="M103" s="241">
        <v>0</v>
      </c>
      <c r="N103" s="206">
        <v>14533.21</v>
      </c>
      <c r="O103" s="241">
        <v>1442</v>
      </c>
      <c r="P103" s="206">
        <v>16395.990000000002</v>
      </c>
      <c r="Q103" s="241">
        <v>24538.13</v>
      </c>
      <c r="R103" s="206">
        <v>1007.36</v>
      </c>
      <c r="S103" s="241">
        <v>18182.41</v>
      </c>
      <c r="T103" s="206">
        <v>9935.7199999999993</v>
      </c>
      <c r="U103" s="242"/>
      <c r="V103" s="222"/>
      <c r="W103" s="154"/>
      <c r="X103" s="126">
        <v>2814.97</v>
      </c>
      <c r="Y103" s="223">
        <v>42.2</v>
      </c>
      <c r="Z103" s="127">
        <f t="shared" si="7"/>
        <v>66.705450236966811</v>
      </c>
      <c r="AA103" s="127">
        <f>AYDEM!W77/1000000</f>
        <v>330.25484261094005</v>
      </c>
      <c r="AB103" s="127"/>
      <c r="AC103" s="127"/>
      <c r="AD103" s="155"/>
      <c r="AE103" s="127"/>
      <c r="AF103" s="155"/>
      <c r="AG103" s="127"/>
      <c r="AH103" s="127"/>
      <c r="AI103" s="197"/>
      <c r="AJ103" s="198"/>
      <c r="AK103" s="180"/>
      <c r="AL103" s="214"/>
      <c r="AM103" s="180"/>
      <c r="AN103" s="214"/>
      <c r="AO103" s="180"/>
      <c r="AP103" s="180"/>
      <c r="AQ103" s="145"/>
      <c r="AR103" s="181"/>
    </row>
    <row r="104" spans="1:44" x14ac:dyDescent="0.4">
      <c r="A104" s="320"/>
      <c r="B104" s="153">
        <v>45992</v>
      </c>
      <c r="C104" s="241" t="s">
        <v>543</v>
      </c>
      <c r="D104" s="241" t="s">
        <v>543</v>
      </c>
      <c r="E104" s="241">
        <v>1082.6600000000001</v>
      </c>
      <c r="F104" s="206">
        <v>6287.1</v>
      </c>
      <c r="G104" s="241">
        <v>750.56</v>
      </c>
      <c r="H104" s="206">
        <v>7091.36</v>
      </c>
      <c r="I104" s="241">
        <v>6508.66</v>
      </c>
      <c r="J104" s="206">
        <v>1044.2</v>
      </c>
      <c r="K104" s="241">
        <v>8120</v>
      </c>
      <c r="L104" s="206">
        <v>1661.77</v>
      </c>
      <c r="M104" s="241">
        <v>0</v>
      </c>
      <c r="N104" s="206">
        <v>20778.54</v>
      </c>
      <c r="O104" s="241">
        <v>332</v>
      </c>
      <c r="P104" s="206">
        <v>14704.94</v>
      </c>
      <c r="Q104" s="241">
        <v>32932.5</v>
      </c>
      <c r="R104" s="206">
        <v>2318.64</v>
      </c>
      <c r="S104" s="241">
        <v>21944.99</v>
      </c>
      <c r="T104" s="206">
        <v>6758.49</v>
      </c>
      <c r="U104" s="242">
        <f>SUM(C102:T104)</f>
        <v>346669.29</v>
      </c>
      <c r="V104" s="127">
        <v>2088364</v>
      </c>
      <c r="W104" s="167">
        <f>((U95+U98+U101+U104)/V104)-1</f>
        <v>-7.6638406906075707E-2</v>
      </c>
      <c r="X104" s="126">
        <v>3005.44</v>
      </c>
      <c r="Y104" s="223">
        <v>42.61</v>
      </c>
      <c r="Z104" s="127">
        <f t="shared" si="7"/>
        <v>70.533677540483453</v>
      </c>
      <c r="AA104" s="127">
        <f>AYDEM!X77/1000000</f>
        <v>403.74493628921999</v>
      </c>
      <c r="AB104" s="127">
        <f>SUM(AA102:AA104)</f>
        <v>1024.4396481480601</v>
      </c>
      <c r="AC104" s="127">
        <f>_xll.RasFinancial($A$92,A102,3120,"XI_29","LOCAL",,FALSE(),"AC",,1000000)</f>
        <v>2878.0643941834878</v>
      </c>
      <c r="AD104" s="155">
        <f>(AB104/AC104)-1</f>
        <v>-0.64405256177782788</v>
      </c>
      <c r="AE104" s="127">
        <f>_xll.RasFinancial($A$92,"2025/12M",3120,"XI_29","LOCAL",,FALSE(),"ACO",,1000000)-AE101-AE98-AE95</f>
        <v>3297.180026999999</v>
      </c>
      <c r="AF104" s="155">
        <f>(AB104/AE104)-1</f>
        <v>-0.68929823674803536</v>
      </c>
      <c r="AG104" s="155">
        <f>(AD95+AD98+AD101+AD104)/4</f>
        <v>-0.55085078451421055</v>
      </c>
      <c r="AH104" s="155">
        <f>(AF95+AF98+AF101+AF104)/4</f>
        <v>-0.57353997560416792</v>
      </c>
      <c r="AI104" s="197"/>
      <c r="AJ104" s="198"/>
      <c r="AK104" s="180"/>
      <c r="AL104" s="214"/>
      <c r="AM104" s="180"/>
      <c r="AN104" s="214"/>
      <c r="AO104" s="214"/>
      <c r="AP104" s="214"/>
      <c r="AQ104" s="145"/>
      <c r="AR104" s="181"/>
    </row>
    <row r="105" spans="1:44" x14ac:dyDescent="0.4">
      <c r="A105" s="321" t="s">
        <v>712</v>
      </c>
      <c r="B105" s="138">
        <v>46023</v>
      </c>
      <c r="C105" s="239" t="s">
        <v>543</v>
      </c>
      <c r="D105" s="239" t="s">
        <v>543</v>
      </c>
      <c r="E105" s="239">
        <v>1096.22</v>
      </c>
      <c r="F105" s="204">
        <v>5883.47</v>
      </c>
      <c r="G105" s="239">
        <v>1423.36</v>
      </c>
      <c r="H105" s="204">
        <v>5382.23</v>
      </c>
      <c r="I105" s="239">
        <v>14768.16</v>
      </c>
      <c r="J105" s="204">
        <v>1388.8</v>
      </c>
      <c r="K105" s="239">
        <v>8575</v>
      </c>
      <c r="L105" s="204">
        <v>3374.14</v>
      </c>
      <c r="M105" s="239">
        <v>0</v>
      </c>
      <c r="N105" s="204">
        <v>20592.54</v>
      </c>
      <c r="O105" s="239">
        <v>2906</v>
      </c>
      <c r="P105" s="204">
        <v>23556.74</v>
      </c>
      <c r="Q105" s="239">
        <v>33186.44</v>
      </c>
      <c r="R105" s="204">
        <v>5717.71</v>
      </c>
      <c r="S105" s="239">
        <v>41026.5</v>
      </c>
      <c r="T105" s="204">
        <v>17716.62</v>
      </c>
      <c r="U105" s="240"/>
      <c r="V105" s="221"/>
      <c r="W105" s="162"/>
      <c r="X105" s="140">
        <v>2929.4</v>
      </c>
      <c r="Y105" s="226">
        <v>43.14</v>
      </c>
      <c r="Z105" s="123">
        <f t="shared" si="7"/>
        <v>67.904496986555401</v>
      </c>
      <c r="AA105" s="123">
        <f>AYDEM!Y77/1000000</f>
        <v>559.61652945959997</v>
      </c>
      <c r="AB105" s="123"/>
      <c r="AC105" s="123"/>
      <c r="AD105" s="123"/>
      <c r="AE105" s="123"/>
      <c r="AF105" s="123"/>
      <c r="AG105" s="123"/>
      <c r="AH105" s="123"/>
      <c r="AI105" s="194"/>
      <c r="AJ105" s="195"/>
      <c r="AK105" s="180"/>
      <c r="AL105" s="180"/>
      <c r="AM105" s="180"/>
      <c r="AN105" s="180"/>
      <c r="AO105" s="180"/>
      <c r="AP105" s="180"/>
      <c r="AQ105" s="145"/>
      <c r="AR105" s="181"/>
    </row>
    <row r="106" spans="1:44" x14ac:dyDescent="0.4">
      <c r="A106" s="321"/>
      <c r="B106" s="138">
        <v>46054</v>
      </c>
      <c r="C106" s="239" t="s">
        <v>543</v>
      </c>
      <c r="D106" s="239" t="s">
        <v>543</v>
      </c>
      <c r="E106" s="239">
        <v>1009.39</v>
      </c>
      <c r="F106" s="204">
        <v>15989.24</v>
      </c>
      <c r="G106" s="239">
        <v>19623.41</v>
      </c>
      <c r="H106" s="204">
        <v>16066.5</v>
      </c>
      <c r="I106" s="239">
        <v>22052.02</v>
      </c>
      <c r="J106" s="204">
        <v>1890.7</v>
      </c>
      <c r="K106" s="239">
        <v>41397</v>
      </c>
      <c r="L106" s="204">
        <v>5141.6899999999996</v>
      </c>
      <c r="M106" s="239">
        <v>0</v>
      </c>
      <c r="N106" s="204">
        <v>16404.98</v>
      </c>
      <c r="O106" s="239">
        <v>17095.810000000001</v>
      </c>
      <c r="P106" s="204">
        <v>17913.22</v>
      </c>
      <c r="Q106" s="239">
        <v>33512.01</v>
      </c>
      <c r="R106" s="204">
        <v>23294.799999999999</v>
      </c>
      <c r="S106" s="239">
        <v>36058.99</v>
      </c>
      <c r="T106" s="204">
        <v>13114.15</v>
      </c>
      <c r="U106" s="240"/>
      <c r="V106" s="221"/>
      <c r="W106" s="162"/>
      <c r="X106" s="140">
        <v>2141.92</v>
      </c>
      <c r="Y106" s="226">
        <v>43.61</v>
      </c>
      <c r="Z106" s="123">
        <f t="shared" si="7"/>
        <v>49.115340518229765</v>
      </c>
      <c r="AA106" s="123">
        <f>AYDEM!Z77/1000000</f>
        <v>655.25653655571216</v>
      </c>
      <c r="AB106" s="123"/>
      <c r="AC106" s="123"/>
      <c r="AD106" s="123"/>
      <c r="AE106" s="123"/>
      <c r="AF106" s="123"/>
      <c r="AG106" s="123"/>
      <c r="AH106" s="123"/>
      <c r="AI106" s="194"/>
      <c r="AJ106" s="195"/>
      <c r="AK106" s="180"/>
      <c r="AL106" s="180"/>
      <c r="AM106" s="180"/>
      <c r="AN106" s="180"/>
      <c r="AO106" s="180"/>
      <c r="AP106" s="180"/>
      <c r="AQ106" s="145"/>
      <c r="AR106" s="181"/>
    </row>
    <row r="107" spans="1:44" x14ac:dyDescent="0.4">
      <c r="A107" s="321"/>
      <c r="B107" s="138">
        <v>46082</v>
      </c>
      <c r="C107" s="239" t="s">
        <v>543</v>
      </c>
      <c r="D107" s="239" t="s">
        <v>543</v>
      </c>
      <c r="E107" s="239">
        <v>928.61</v>
      </c>
      <c r="F107" s="204">
        <v>15980.01</v>
      </c>
      <c r="G107" s="239">
        <v>15022.75</v>
      </c>
      <c r="H107" s="204">
        <v>13782.41</v>
      </c>
      <c r="I107" s="239">
        <v>13065.54</v>
      </c>
      <c r="J107" s="204">
        <v>1211.8</v>
      </c>
      <c r="K107" s="239">
        <v>36786</v>
      </c>
      <c r="L107" s="204">
        <v>3381.47</v>
      </c>
      <c r="M107" s="239">
        <v>4867.21</v>
      </c>
      <c r="N107" s="204">
        <v>24619.8</v>
      </c>
      <c r="O107" s="239">
        <v>14492.92</v>
      </c>
      <c r="P107" s="204">
        <v>15855.87</v>
      </c>
      <c r="Q107" s="239">
        <v>48035.75</v>
      </c>
      <c r="R107" s="204">
        <v>22027.61</v>
      </c>
      <c r="S107" s="239">
        <v>28591.29</v>
      </c>
      <c r="T107" s="204">
        <v>9486.67</v>
      </c>
      <c r="U107" s="240">
        <f>SUM(C105:T107)</f>
        <v>735293.55000000016</v>
      </c>
      <c r="V107" s="221"/>
      <c r="W107" s="162"/>
      <c r="X107" s="140">
        <v>1726.85</v>
      </c>
      <c r="Y107" s="226">
        <v>44.1</v>
      </c>
      <c r="Z107" s="123">
        <f t="shared" si="7"/>
        <v>39.157596371882086</v>
      </c>
      <c r="AA107" s="123">
        <f>AYDEM!AA77/1000000</f>
        <v>559.03735046187012</v>
      </c>
      <c r="AB107" s="123">
        <f>SUM(AA105:AA107)</f>
        <v>1773.9104164771823</v>
      </c>
      <c r="AC107" s="193"/>
      <c r="AD107" s="123"/>
      <c r="AE107" s="123"/>
      <c r="AF107" s="123"/>
      <c r="AG107" s="123"/>
      <c r="AH107" s="123"/>
      <c r="AI107" s="200">
        <f>AB107/(1+AG104)</f>
        <v>3949.4901812498138</v>
      </c>
      <c r="AJ107" s="201">
        <f>AB107/(1+AH104)</f>
        <v>4159.617115321159</v>
      </c>
      <c r="AK107" s="217"/>
      <c r="AL107" s="180"/>
      <c r="AM107" s="180"/>
      <c r="AN107" s="180"/>
      <c r="AO107" s="180"/>
      <c r="AP107" s="180"/>
      <c r="AQ107" s="218"/>
      <c r="AR107" s="219"/>
    </row>
    <row r="108" spans="1:44" x14ac:dyDescent="0.4">
      <c r="C108" s="220"/>
      <c r="Y108" s="147"/>
      <c r="Z108" s="147"/>
      <c r="AA108" s="147"/>
      <c r="AB108" s="147"/>
      <c r="AC108" s="147"/>
      <c r="AE108" s="147"/>
      <c r="AF108" s="147"/>
      <c r="AG108" s="147"/>
      <c r="AH108" s="147"/>
      <c r="AI108" s="147"/>
      <c r="AK108" s="147"/>
      <c r="AL108" s="147"/>
      <c r="AM108" s="147"/>
      <c r="AN108" s="147"/>
      <c r="AO108" s="147"/>
    </row>
    <row r="109" spans="1:44" x14ac:dyDescent="0.4">
      <c r="Y109" s="147"/>
      <c r="Z109" s="147"/>
      <c r="AA109" s="147"/>
      <c r="AB109" s="147"/>
      <c r="AC109" s="147"/>
      <c r="AE109" s="147"/>
      <c r="AF109" s="147"/>
      <c r="AG109" s="147"/>
      <c r="AH109" s="147"/>
      <c r="AI109" s="147"/>
      <c r="AK109" s="147"/>
      <c r="AL109" s="147"/>
      <c r="AM109" s="147"/>
      <c r="AN109" s="147"/>
      <c r="AO109" s="147"/>
    </row>
    <row r="110" spans="1:44" ht="93.75" x14ac:dyDescent="0.4">
      <c r="A110" s="322" t="s">
        <v>730</v>
      </c>
      <c r="B110" s="322"/>
      <c r="C110" s="202" t="s">
        <v>195</v>
      </c>
      <c r="D110" s="203" t="s">
        <v>668</v>
      </c>
      <c r="E110" s="203" t="s">
        <v>197</v>
      </c>
      <c r="F110" s="202" t="s">
        <v>198</v>
      </c>
      <c r="G110" s="203" t="s">
        <v>199</v>
      </c>
      <c r="H110" s="202" t="s">
        <v>200</v>
      </c>
      <c r="I110" s="203" t="s">
        <v>201</v>
      </c>
      <c r="J110" s="202" t="s">
        <v>202</v>
      </c>
      <c r="K110" s="203" t="s">
        <v>203</v>
      </c>
      <c r="L110" s="202" t="s">
        <v>204</v>
      </c>
      <c r="M110" s="203" t="s">
        <v>205</v>
      </c>
      <c r="N110" s="202" t="s">
        <v>206</v>
      </c>
      <c r="O110" s="203" t="s">
        <v>207</v>
      </c>
      <c r="P110" s="202" t="s">
        <v>208</v>
      </c>
      <c r="Q110" s="203" t="s">
        <v>209</v>
      </c>
      <c r="R110" s="202" t="s">
        <v>210</v>
      </c>
      <c r="S110" s="203" t="s">
        <v>211</v>
      </c>
      <c r="T110" s="203"/>
      <c r="U110" s="133" t="s">
        <v>691</v>
      </c>
      <c r="V110" s="133" t="s">
        <v>690</v>
      </c>
      <c r="W110" s="134" t="s">
        <v>692</v>
      </c>
      <c r="X110" s="134" t="s">
        <v>693</v>
      </c>
      <c r="Y110" s="134" t="s">
        <v>694</v>
      </c>
      <c r="Z110" s="135" t="s">
        <v>716</v>
      </c>
      <c r="AA110" s="135"/>
      <c r="AB110" s="136" t="s">
        <v>695</v>
      </c>
      <c r="AC110" s="136" t="s">
        <v>697</v>
      </c>
      <c r="AD110" s="136" t="s">
        <v>696</v>
      </c>
      <c r="AE110" s="136" t="s">
        <v>698</v>
      </c>
      <c r="AF110" s="136" t="s">
        <v>700</v>
      </c>
      <c r="AG110" s="136" t="s">
        <v>701</v>
      </c>
      <c r="AH110" s="136" t="s">
        <v>702</v>
      </c>
      <c r="AI110" s="136" t="s">
        <v>704</v>
      </c>
      <c r="AJ110" s="147"/>
      <c r="AK110" s="147"/>
      <c r="AL110" s="147"/>
      <c r="AM110" s="147"/>
      <c r="AN110" s="147"/>
    </row>
    <row r="111" spans="1:44" x14ac:dyDescent="0.4">
      <c r="A111" s="321" t="s">
        <v>711</v>
      </c>
      <c r="B111" s="138">
        <v>45658</v>
      </c>
      <c r="C111" s="128">
        <v>20669.669999999998</v>
      </c>
      <c r="D111" s="129">
        <v>19551.45</v>
      </c>
      <c r="E111" s="129">
        <v>20671.34</v>
      </c>
      <c r="F111" s="128">
        <v>44144.46</v>
      </c>
      <c r="G111" s="129">
        <v>303.18</v>
      </c>
      <c r="H111" s="128">
        <v>1656.57</v>
      </c>
      <c r="I111" s="129">
        <v>2608.4699999999998</v>
      </c>
      <c r="J111" s="128">
        <v>1756.48</v>
      </c>
      <c r="K111" s="129">
        <v>6816.45</v>
      </c>
      <c r="L111" s="128">
        <v>2115.64</v>
      </c>
      <c r="M111" s="129">
        <v>22694.78</v>
      </c>
      <c r="N111" s="128">
        <v>15651.1</v>
      </c>
      <c r="O111" s="129">
        <v>5973.02</v>
      </c>
      <c r="P111" s="128">
        <v>15400.71</v>
      </c>
      <c r="Q111" s="129">
        <v>17947.32</v>
      </c>
      <c r="R111" s="128">
        <v>29470.84</v>
      </c>
      <c r="S111" s="129">
        <v>2678.91</v>
      </c>
      <c r="T111" s="204"/>
      <c r="U111" s="123"/>
      <c r="V111" s="139"/>
      <c r="W111" s="140">
        <v>2537.9899999999998</v>
      </c>
      <c r="X111" s="226">
        <v>35.479999999999997</v>
      </c>
      <c r="Y111" s="123">
        <f>W111/X111</f>
        <v>71.532976324689969</v>
      </c>
      <c r="Z111" s="123">
        <f>MOGAN!G80/1000000</f>
        <v>713.28929758145591</v>
      </c>
      <c r="AA111" s="123"/>
      <c r="AB111" s="123"/>
      <c r="AC111" s="123"/>
      <c r="AD111" s="123"/>
      <c r="AE111" s="123"/>
      <c r="AF111" s="123"/>
      <c r="AG111" s="123"/>
      <c r="AH111" s="194"/>
      <c r="AI111" s="195"/>
      <c r="AJ111" s="147"/>
      <c r="AK111" s="147"/>
      <c r="AL111" s="147"/>
      <c r="AM111" s="147"/>
      <c r="AN111" s="147"/>
    </row>
    <row r="112" spans="1:44" x14ac:dyDescent="0.4">
      <c r="A112" s="321"/>
      <c r="B112" s="138">
        <v>45689</v>
      </c>
      <c r="C112" s="128">
        <v>18656.599999999999</v>
      </c>
      <c r="D112" s="129">
        <v>17551.28</v>
      </c>
      <c r="E112" s="129">
        <v>18362.560000000001</v>
      </c>
      <c r="F112" s="128">
        <v>39490.639999999999</v>
      </c>
      <c r="G112" s="129">
        <v>263.07</v>
      </c>
      <c r="H112" s="128">
        <v>841.85</v>
      </c>
      <c r="I112" s="129">
        <v>2440.5500000000002</v>
      </c>
      <c r="J112" s="128">
        <v>1629.1</v>
      </c>
      <c r="K112" s="129">
        <v>5859.19</v>
      </c>
      <c r="L112" s="128">
        <v>1611.53</v>
      </c>
      <c r="M112" s="129">
        <v>49397.54</v>
      </c>
      <c r="N112" s="128">
        <v>15142.84</v>
      </c>
      <c r="O112" s="129">
        <v>5519.89</v>
      </c>
      <c r="P112" s="128">
        <v>21730.61</v>
      </c>
      <c r="Q112" s="129">
        <v>20231.97</v>
      </c>
      <c r="R112" s="128">
        <v>20352.11</v>
      </c>
      <c r="S112" s="129">
        <v>2547.4899999999998</v>
      </c>
      <c r="T112" s="204"/>
      <c r="U112" s="123"/>
      <c r="V112" s="139"/>
      <c r="W112" s="140">
        <v>2506.77</v>
      </c>
      <c r="X112" s="226">
        <v>36.119999999999997</v>
      </c>
      <c r="Y112" s="123">
        <f t="shared" ref="Y112:Y125" si="8">W112/X112</f>
        <v>69.401162790697683</v>
      </c>
      <c r="Z112" s="123">
        <f>MOGAN!H80/1000000</f>
        <v>737.74124794675197</v>
      </c>
      <c r="AA112" s="123"/>
      <c r="AB112" s="123"/>
      <c r="AC112" s="123"/>
      <c r="AD112" s="123"/>
      <c r="AE112" s="123"/>
      <c r="AF112" s="123"/>
      <c r="AG112" s="123"/>
      <c r="AH112" s="194"/>
      <c r="AI112" s="195"/>
      <c r="AJ112" s="147"/>
      <c r="AK112" s="147"/>
      <c r="AL112" s="147"/>
      <c r="AM112" s="147"/>
      <c r="AN112" s="147"/>
    </row>
    <row r="113" spans="1:40" x14ac:dyDescent="0.4">
      <c r="A113" s="321"/>
      <c r="B113" s="138">
        <v>45717</v>
      </c>
      <c r="C113" s="128">
        <v>20023.04</v>
      </c>
      <c r="D113" s="129">
        <v>19524.5</v>
      </c>
      <c r="E113" s="129">
        <v>20367.75</v>
      </c>
      <c r="F113" s="128">
        <v>43635.38</v>
      </c>
      <c r="G113" s="129">
        <v>199.26</v>
      </c>
      <c r="H113" s="128">
        <v>7235.92</v>
      </c>
      <c r="I113" s="129">
        <v>6059.21</v>
      </c>
      <c r="J113" s="128">
        <v>4996.4799999999996</v>
      </c>
      <c r="K113" s="129">
        <v>5535.37</v>
      </c>
      <c r="L113" s="128">
        <v>5210.1899999999996</v>
      </c>
      <c r="M113" s="129">
        <v>44200.44</v>
      </c>
      <c r="N113" s="128">
        <v>19296.009999999998</v>
      </c>
      <c r="O113" s="129">
        <v>6457.84</v>
      </c>
      <c r="P113" s="128">
        <v>18547.23</v>
      </c>
      <c r="Q113" s="129">
        <v>29295.35</v>
      </c>
      <c r="R113" s="128">
        <v>33876.29</v>
      </c>
      <c r="S113" s="129">
        <v>3619.67</v>
      </c>
      <c r="T113" s="204">
        <f>SUM(C111:S113)</f>
        <v>759819.14</v>
      </c>
      <c r="U113" s="123"/>
      <c r="V113" s="139"/>
      <c r="W113" s="140">
        <v>2207.1799999999998</v>
      </c>
      <c r="X113" s="226">
        <v>37.04</v>
      </c>
      <c r="Y113" s="123">
        <f t="shared" si="8"/>
        <v>59.589092872570191</v>
      </c>
      <c r="Z113" s="123">
        <f>MOGAN!I80/1000000</f>
        <v>863.89235550441595</v>
      </c>
      <c r="AA113" s="123">
        <f>SUM(Z111:Z113)</f>
        <v>2314.9229010326235</v>
      </c>
      <c r="AB113" s="123">
        <f>_xll.RasFinancial($A$110,A111,3120,"XI_29","LOCAL",,FALSE(),"AC",,1000000)</f>
        <v>3769.3448049999993</v>
      </c>
      <c r="AC113" s="150">
        <f>(AA113/AB113)-1</f>
        <v>-0.38585536192870951</v>
      </c>
      <c r="AD113" s="123">
        <f>_xll.RasFinancial($A$110,"2025/3M",3120,"XI_29","LOCAL",,FALSE(),"ACO",,1000000)</f>
        <v>2880.2674609999999</v>
      </c>
      <c r="AE113" s="150">
        <f>(AA113/AD113)-1</f>
        <v>-0.19628196604043657</v>
      </c>
      <c r="AF113" s="123"/>
      <c r="AG113" s="123"/>
      <c r="AH113" s="194"/>
      <c r="AI113" s="196"/>
      <c r="AJ113" s="147"/>
      <c r="AK113" s="147"/>
      <c r="AL113" s="147"/>
      <c r="AM113" s="147"/>
      <c r="AN113" s="147"/>
    </row>
    <row r="114" spans="1:40" x14ac:dyDescent="0.4">
      <c r="A114" s="320" t="s">
        <v>710</v>
      </c>
      <c r="B114" s="153">
        <v>45748</v>
      </c>
      <c r="C114" s="130">
        <v>18833.37</v>
      </c>
      <c r="D114" s="131">
        <v>18841.580000000002</v>
      </c>
      <c r="E114" s="131">
        <v>19548.349999999999</v>
      </c>
      <c r="F114" s="130">
        <v>42403.839999999997</v>
      </c>
      <c r="G114" s="131">
        <v>291.76</v>
      </c>
      <c r="H114" s="130">
        <v>12976.38</v>
      </c>
      <c r="I114" s="131">
        <v>7841.56</v>
      </c>
      <c r="J114" s="130">
        <v>11728.47</v>
      </c>
      <c r="K114" s="131">
        <v>6503.19</v>
      </c>
      <c r="L114" s="130">
        <v>5681.22</v>
      </c>
      <c r="M114" s="131">
        <v>35740.629999999997</v>
      </c>
      <c r="N114" s="130">
        <v>13068.71</v>
      </c>
      <c r="O114" s="131">
        <v>4776.41</v>
      </c>
      <c r="P114" s="130">
        <v>14644.41</v>
      </c>
      <c r="Q114" s="131">
        <v>22324.39</v>
      </c>
      <c r="R114" s="130">
        <v>25643.3</v>
      </c>
      <c r="S114" s="131">
        <v>2119.1999999999998</v>
      </c>
      <c r="T114" s="206"/>
      <c r="U114" s="222"/>
      <c r="V114" s="154"/>
      <c r="W114" s="126">
        <v>2489.25</v>
      </c>
      <c r="X114" s="223">
        <v>38.049999999999997</v>
      </c>
      <c r="Y114" s="127">
        <f t="shared" si="8"/>
        <v>65.420499342969777</v>
      </c>
      <c r="Z114" s="127">
        <f>MOGAN!J80/1000000</f>
        <v>828.20923362876988</v>
      </c>
      <c r="AA114" s="127"/>
      <c r="AB114" s="127"/>
      <c r="AC114" s="155"/>
      <c r="AD114" s="126"/>
      <c r="AE114" s="199"/>
      <c r="AF114" s="127"/>
      <c r="AG114" s="127"/>
      <c r="AH114" s="197"/>
      <c r="AI114" s="198"/>
    </row>
    <row r="115" spans="1:40" x14ac:dyDescent="0.4">
      <c r="A115" s="320"/>
      <c r="B115" s="153">
        <v>45778</v>
      </c>
      <c r="C115" s="130">
        <v>18638.8</v>
      </c>
      <c r="D115" s="131">
        <v>18634.419999999998</v>
      </c>
      <c r="E115" s="131">
        <v>19268.36</v>
      </c>
      <c r="F115" s="130">
        <v>41890.29</v>
      </c>
      <c r="G115" s="131">
        <v>2407.21</v>
      </c>
      <c r="H115" s="130">
        <v>16274.83</v>
      </c>
      <c r="I115" s="131">
        <v>5883.18</v>
      </c>
      <c r="J115" s="130">
        <v>8723.9599999999991</v>
      </c>
      <c r="K115" s="131">
        <v>10564.95</v>
      </c>
      <c r="L115" s="130">
        <v>7098.07</v>
      </c>
      <c r="M115" s="131">
        <v>38048</v>
      </c>
      <c r="N115" s="130">
        <v>14587.72</v>
      </c>
      <c r="O115" s="131">
        <v>4798.93</v>
      </c>
      <c r="P115" s="130">
        <v>17397.759999999998</v>
      </c>
      <c r="Q115" s="131">
        <v>22450.06</v>
      </c>
      <c r="R115" s="130">
        <v>34134.75</v>
      </c>
      <c r="S115" s="131">
        <v>2504.2800000000002</v>
      </c>
      <c r="T115" s="206"/>
      <c r="U115" s="222"/>
      <c r="V115" s="154"/>
      <c r="W115" s="126">
        <v>2474.98</v>
      </c>
      <c r="X115" s="223">
        <v>38.72</v>
      </c>
      <c r="Y115" s="127">
        <f t="shared" si="8"/>
        <v>63.919938016528931</v>
      </c>
      <c r="Z115" s="127">
        <f>MOGAN!K80/1000000</f>
        <v>890.96002655756809</v>
      </c>
      <c r="AA115" s="127"/>
      <c r="AB115" s="127"/>
      <c r="AC115" s="155"/>
      <c r="AD115" s="126"/>
      <c r="AE115" s="199"/>
      <c r="AF115" s="127"/>
      <c r="AG115" s="127"/>
      <c r="AH115" s="197"/>
      <c r="AI115" s="198"/>
    </row>
    <row r="116" spans="1:40" x14ac:dyDescent="0.4">
      <c r="A116" s="320"/>
      <c r="B116" s="153">
        <v>45809</v>
      </c>
      <c r="C116" s="130">
        <v>18245.5</v>
      </c>
      <c r="D116" s="131">
        <v>16224.6</v>
      </c>
      <c r="E116" s="131">
        <v>16679.98</v>
      </c>
      <c r="F116" s="130">
        <v>36328.46</v>
      </c>
      <c r="G116" s="131">
        <v>2216.8200000000002</v>
      </c>
      <c r="H116" s="130">
        <v>4989.78</v>
      </c>
      <c r="I116" s="131">
        <v>2444.58</v>
      </c>
      <c r="J116" s="130">
        <v>2928.25</v>
      </c>
      <c r="K116" s="131">
        <v>15714.31</v>
      </c>
      <c r="L116" s="130">
        <v>6654.92</v>
      </c>
      <c r="M116" s="131">
        <v>43864.6</v>
      </c>
      <c r="N116" s="130">
        <v>9437.7099999999991</v>
      </c>
      <c r="O116" s="131">
        <v>4209.04</v>
      </c>
      <c r="P116" s="130">
        <v>18069.580000000002</v>
      </c>
      <c r="Q116" s="131">
        <v>20190</v>
      </c>
      <c r="R116" s="130">
        <v>50047.78</v>
      </c>
      <c r="S116" s="131">
        <v>3133.36</v>
      </c>
      <c r="T116" s="206">
        <f>SUM(C114:S116)</f>
        <v>817651.60999999987</v>
      </c>
      <c r="U116" s="222"/>
      <c r="V116" s="154"/>
      <c r="W116" s="126">
        <v>2240.61</v>
      </c>
      <c r="X116" s="223">
        <v>39.369999999999997</v>
      </c>
      <c r="Y116" s="127">
        <f t="shared" si="8"/>
        <v>56.911607823215654</v>
      </c>
      <c r="Z116" s="127">
        <f>MOGAN!L80/1000000</f>
        <v>838.37457281443005</v>
      </c>
      <c r="AA116" s="127">
        <f>SUM(Z114:Z116)</f>
        <v>2557.5438330007678</v>
      </c>
      <c r="AB116" s="127">
        <f>_xll.RasFinancial($A110,A114,3120,"XI_29","LOCAL",,FALSE(),"AC",,1000000)</f>
        <v>3086.9318119999998</v>
      </c>
      <c r="AC116" s="155">
        <f>(AA116/AB116)-1</f>
        <v>-0.17149325324949294</v>
      </c>
      <c r="AD116" s="127">
        <f>_xll.RasFinancial($A$110,"2025/6M",3120,"XI_29","LOCAL",,FALSE(),"ACO",,1000000)-AD113</f>
        <v>3259.9414570000004</v>
      </c>
      <c r="AE116" s="155">
        <f>(AA116/AD116)-1</f>
        <v>-0.21546326314878739</v>
      </c>
      <c r="AF116" s="127"/>
      <c r="AG116" s="127"/>
      <c r="AH116" s="197"/>
      <c r="AI116" s="198"/>
    </row>
    <row r="117" spans="1:40" x14ac:dyDescent="0.4">
      <c r="A117" s="321" t="s">
        <v>709</v>
      </c>
      <c r="B117" s="138">
        <v>45839</v>
      </c>
      <c r="C117" s="128">
        <v>20678.419999999998</v>
      </c>
      <c r="D117" s="129">
        <v>15898.37</v>
      </c>
      <c r="E117" s="129">
        <v>16817.939999999999</v>
      </c>
      <c r="F117" s="128">
        <v>36750.910000000003</v>
      </c>
      <c r="G117" s="129">
        <v>2686.41</v>
      </c>
      <c r="H117" s="128">
        <v>1870.96</v>
      </c>
      <c r="I117" s="129">
        <v>1027.1500000000001</v>
      </c>
      <c r="J117" s="128">
        <v>1068.96</v>
      </c>
      <c r="K117" s="129">
        <v>24691.57</v>
      </c>
      <c r="L117" s="128">
        <v>8412.11</v>
      </c>
      <c r="M117" s="129">
        <v>37921.35</v>
      </c>
      <c r="N117" s="128">
        <v>13543.6</v>
      </c>
      <c r="O117" s="129">
        <v>4819.09</v>
      </c>
      <c r="P117" s="128">
        <v>13270.64</v>
      </c>
      <c r="Q117" s="129">
        <v>20655.37</v>
      </c>
      <c r="R117" s="128">
        <v>33129.99</v>
      </c>
      <c r="S117" s="129">
        <v>2591.94</v>
      </c>
      <c r="T117" s="204"/>
      <c r="U117" s="221"/>
      <c r="V117" s="162"/>
      <c r="W117" s="140">
        <v>2981.73</v>
      </c>
      <c r="X117" s="226">
        <v>40.14</v>
      </c>
      <c r="Y117" s="123">
        <f t="shared" si="8"/>
        <v>74.283258594917783</v>
      </c>
      <c r="Z117" s="123">
        <f>MOGAN!M80/1000000</f>
        <v>869.82445669248</v>
      </c>
      <c r="AA117" s="123"/>
      <c r="AB117" s="123"/>
      <c r="AC117" s="150"/>
      <c r="AD117" s="123"/>
      <c r="AE117" s="150"/>
      <c r="AF117" s="123"/>
      <c r="AG117" s="123"/>
      <c r="AH117" s="194"/>
      <c r="AI117" s="196"/>
    </row>
    <row r="118" spans="1:40" x14ac:dyDescent="0.4">
      <c r="A118" s="321"/>
      <c r="B118" s="138">
        <v>45870</v>
      </c>
      <c r="C118" s="128">
        <v>22874.11</v>
      </c>
      <c r="D118" s="129">
        <v>16488.23</v>
      </c>
      <c r="E118" s="129">
        <v>16974.900000000001</v>
      </c>
      <c r="F118" s="128">
        <v>37220.050000000003</v>
      </c>
      <c r="G118" s="129">
        <v>2061.2399999999998</v>
      </c>
      <c r="H118" s="128">
        <v>724.03</v>
      </c>
      <c r="I118" s="129">
        <v>870.05</v>
      </c>
      <c r="J118" s="128">
        <v>68.599999999999994</v>
      </c>
      <c r="K118" s="129">
        <v>20797.68</v>
      </c>
      <c r="L118" s="128">
        <v>7866.43</v>
      </c>
      <c r="M118" s="129">
        <v>38491.51</v>
      </c>
      <c r="N118" s="128">
        <v>21320.68</v>
      </c>
      <c r="O118" s="129">
        <v>7706.64</v>
      </c>
      <c r="P118" s="128">
        <v>11300.9</v>
      </c>
      <c r="Q118" s="129">
        <v>23883.71</v>
      </c>
      <c r="R118" s="128">
        <v>34393.03</v>
      </c>
      <c r="S118" s="129">
        <v>4020.42</v>
      </c>
      <c r="T118" s="204"/>
      <c r="U118" s="221"/>
      <c r="V118" s="162"/>
      <c r="W118" s="140">
        <v>2952.26</v>
      </c>
      <c r="X118" s="226">
        <v>40.75</v>
      </c>
      <c r="Y118" s="123">
        <f t="shared" si="8"/>
        <v>72.448098159509215</v>
      </c>
      <c r="Z118" s="123">
        <f>MOGAN!N80/1000000</f>
        <v>915.0074938736002</v>
      </c>
      <c r="AA118" s="123"/>
      <c r="AB118" s="123"/>
      <c r="AC118" s="150"/>
      <c r="AD118" s="123"/>
      <c r="AE118" s="150"/>
      <c r="AF118" s="123"/>
      <c r="AG118" s="123"/>
      <c r="AH118" s="194"/>
      <c r="AI118" s="196"/>
    </row>
    <row r="119" spans="1:40" x14ac:dyDescent="0.4">
      <c r="A119" s="321"/>
      <c r="B119" s="138">
        <v>45901</v>
      </c>
      <c r="C119" s="128">
        <v>21656.49</v>
      </c>
      <c r="D119" s="129">
        <v>17320.400000000001</v>
      </c>
      <c r="E119" s="129">
        <v>17163.89</v>
      </c>
      <c r="F119" s="128">
        <v>33728.33</v>
      </c>
      <c r="G119" s="129">
        <v>951.75</v>
      </c>
      <c r="H119" s="128">
        <v>1619.81</v>
      </c>
      <c r="I119" s="129">
        <v>1539.14</v>
      </c>
      <c r="J119" s="128">
        <v>417.71</v>
      </c>
      <c r="K119" s="129">
        <v>13261.96</v>
      </c>
      <c r="L119" s="128">
        <v>6500.98</v>
      </c>
      <c r="M119" s="129">
        <v>34899.870000000003</v>
      </c>
      <c r="N119" s="128">
        <v>15075.41</v>
      </c>
      <c r="O119" s="129">
        <v>6203.35</v>
      </c>
      <c r="P119" s="128">
        <v>13504.26</v>
      </c>
      <c r="Q119" s="129">
        <v>17861.810000000001</v>
      </c>
      <c r="R119" s="128">
        <v>31888.9</v>
      </c>
      <c r="S119" s="129">
        <v>3222.31</v>
      </c>
      <c r="T119" s="204">
        <f>SUM(C117:S119)</f>
        <v>759713.3600000001</v>
      </c>
      <c r="U119" s="221"/>
      <c r="V119" s="162"/>
      <c r="W119" s="140">
        <v>2765.58</v>
      </c>
      <c r="X119" s="226">
        <v>41.24</v>
      </c>
      <c r="Y119" s="123">
        <f t="shared" si="8"/>
        <v>67.060620756547038</v>
      </c>
      <c r="Z119" s="123">
        <f>MOGAN!O80/1000000</f>
        <v>816.42989285103602</v>
      </c>
      <c r="AA119" s="123">
        <f>SUM(Z117:Z119)</f>
        <v>2601.2618434171163</v>
      </c>
      <c r="AB119" s="123">
        <f>_xll.RasFinancial($A$110,A117,3120,"XI_29","LOCAL",,FALSE(),"AC",,1000000)</f>
        <v>3008.2777689999998</v>
      </c>
      <c r="AC119" s="150">
        <f>(AA119/AB119)-1</f>
        <v>-0.13529865153316012</v>
      </c>
      <c r="AD119" s="123">
        <f>_xll.RasFinancial($A$110,"2025/9M",3120,"XI_29","LOCAL",,FALSE(),"ACO",,1000000)-AD116-AD113</f>
        <v>3469.0624979999989</v>
      </c>
      <c r="AE119" s="150">
        <f>(AA119/AD119)-1</f>
        <v>-0.25015422901236029</v>
      </c>
      <c r="AF119" s="123"/>
      <c r="AG119" s="123"/>
      <c r="AH119" s="194"/>
      <c r="AI119" s="195"/>
    </row>
    <row r="120" spans="1:40" x14ac:dyDescent="0.4">
      <c r="A120" s="320" t="s">
        <v>708</v>
      </c>
      <c r="B120" s="153">
        <v>45931</v>
      </c>
      <c r="C120" s="130">
        <v>22513.599999999999</v>
      </c>
      <c r="D120" s="131">
        <v>19393.61</v>
      </c>
      <c r="E120" s="131">
        <v>19539.91</v>
      </c>
      <c r="F120" s="130">
        <v>42148.51</v>
      </c>
      <c r="G120" s="131">
        <v>194.63</v>
      </c>
      <c r="H120" s="130">
        <v>2784.08</v>
      </c>
      <c r="I120" s="131">
        <v>2315.59</v>
      </c>
      <c r="J120" s="130">
        <v>872.01</v>
      </c>
      <c r="K120" s="131">
        <v>4241.6899999999996</v>
      </c>
      <c r="L120" s="130">
        <v>4784.01</v>
      </c>
      <c r="M120" s="131">
        <v>34528.239999999998</v>
      </c>
      <c r="N120" s="130">
        <v>12458.04</v>
      </c>
      <c r="O120" s="131">
        <v>4369.79</v>
      </c>
      <c r="P120" s="130">
        <v>16930.54</v>
      </c>
      <c r="Q120" s="131">
        <v>24928.080000000002</v>
      </c>
      <c r="R120" s="130">
        <v>34430.44</v>
      </c>
      <c r="S120" s="131">
        <v>1612.6</v>
      </c>
      <c r="T120" s="206"/>
      <c r="U120" s="222"/>
      <c r="V120" s="154"/>
      <c r="W120" s="126">
        <v>2764.54</v>
      </c>
      <c r="X120" s="223">
        <v>41.75</v>
      </c>
      <c r="Y120" s="127">
        <f t="shared" si="8"/>
        <v>66.216526946107777</v>
      </c>
      <c r="Z120" s="127">
        <f>MOGAN!P80/1000000</f>
        <v>879.98209370149993</v>
      </c>
      <c r="AA120" s="127"/>
      <c r="AB120" s="127"/>
      <c r="AC120" s="155"/>
      <c r="AD120" s="127"/>
      <c r="AE120" s="155"/>
      <c r="AF120" s="127"/>
      <c r="AG120" s="127"/>
      <c r="AH120" s="197"/>
      <c r="AI120" s="198"/>
    </row>
    <row r="121" spans="1:40" x14ac:dyDescent="0.4">
      <c r="A121" s="320"/>
      <c r="B121" s="153">
        <v>45962</v>
      </c>
      <c r="C121" s="130">
        <v>22666.66</v>
      </c>
      <c r="D121" s="131">
        <v>18933.57</v>
      </c>
      <c r="E121" s="131">
        <v>19283.38</v>
      </c>
      <c r="F121" s="130">
        <v>41517.980000000003</v>
      </c>
      <c r="G121" s="131">
        <v>305.85000000000002</v>
      </c>
      <c r="H121" s="130">
        <v>1120.73</v>
      </c>
      <c r="I121" s="131">
        <v>2675.11</v>
      </c>
      <c r="J121" s="130">
        <v>1790.69</v>
      </c>
      <c r="K121" s="131">
        <v>6388.21</v>
      </c>
      <c r="L121" s="130">
        <v>1169.5</v>
      </c>
      <c r="M121" s="131">
        <v>26344.13</v>
      </c>
      <c r="N121" s="130">
        <v>17415.8</v>
      </c>
      <c r="O121" s="131">
        <v>6095.17</v>
      </c>
      <c r="P121" s="130">
        <v>14469.32</v>
      </c>
      <c r="Q121" s="131">
        <v>20680.88</v>
      </c>
      <c r="R121" s="130">
        <v>32140.51</v>
      </c>
      <c r="S121" s="131">
        <v>3049.64</v>
      </c>
      <c r="T121" s="206"/>
      <c r="U121" s="222"/>
      <c r="V121" s="154"/>
      <c r="W121" s="126">
        <v>2814.97</v>
      </c>
      <c r="X121" s="223">
        <v>42.2</v>
      </c>
      <c r="Y121" s="127">
        <f t="shared" si="8"/>
        <v>66.705450236966811</v>
      </c>
      <c r="Z121" s="127">
        <f>MOGAN!Q80/1000000</f>
        <v>854.22214817468023</v>
      </c>
      <c r="AA121" s="127"/>
      <c r="AB121" s="127"/>
      <c r="AC121" s="155"/>
      <c r="AD121" s="127"/>
      <c r="AE121" s="155"/>
      <c r="AF121" s="127"/>
      <c r="AG121" s="127"/>
      <c r="AH121" s="197"/>
      <c r="AI121" s="198"/>
    </row>
    <row r="122" spans="1:40" x14ac:dyDescent="0.4">
      <c r="A122" s="320"/>
      <c r="B122" s="153">
        <v>45992</v>
      </c>
      <c r="C122" s="130">
        <v>24483</v>
      </c>
      <c r="D122" s="131">
        <v>19694.490000000002</v>
      </c>
      <c r="E122" s="131">
        <v>20415.77</v>
      </c>
      <c r="F122" s="130">
        <v>44087.75</v>
      </c>
      <c r="G122" s="131">
        <v>312.13</v>
      </c>
      <c r="H122" s="130">
        <v>1062.26</v>
      </c>
      <c r="I122" s="131">
        <v>3214.98</v>
      </c>
      <c r="J122" s="130">
        <v>2681.08</v>
      </c>
      <c r="K122" s="131">
        <v>8367.7000000000007</v>
      </c>
      <c r="L122" s="130">
        <v>3910.8</v>
      </c>
      <c r="M122" s="131">
        <v>37410.49</v>
      </c>
      <c r="N122" s="130">
        <v>13375.9</v>
      </c>
      <c r="O122" s="131">
        <v>6397.69</v>
      </c>
      <c r="P122" s="130">
        <v>18233.259999999998</v>
      </c>
      <c r="Q122" s="131">
        <v>19105.62</v>
      </c>
      <c r="R122" s="130">
        <v>21594.06</v>
      </c>
      <c r="S122" s="131">
        <v>1908.71</v>
      </c>
      <c r="T122" s="206">
        <f>SUM(C120:S122)</f>
        <v>730348.19</v>
      </c>
      <c r="U122" s="127">
        <v>3555350</v>
      </c>
      <c r="V122" s="167">
        <f>((T113+T116+T119+T122)/U122)-1</f>
        <v>-0.13720666038505347</v>
      </c>
      <c r="W122" s="126">
        <v>3005.44</v>
      </c>
      <c r="X122" s="223">
        <v>42.61</v>
      </c>
      <c r="Y122" s="127">
        <f t="shared" si="8"/>
        <v>70.533677540483453</v>
      </c>
      <c r="Z122" s="127">
        <f>MOGAN!R80/1000000</f>
        <v>908.15434967929991</v>
      </c>
      <c r="AA122" s="127">
        <f>SUM(Z120:Z122)</f>
        <v>2642.3585915554804</v>
      </c>
      <c r="AB122" s="127">
        <f>_xll.RasFinancial($A$110,A120,3120,"XI_29","LOCAL",,FALSE(),"AC",,1000000)</f>
        <v>3077.12603016498</v>
      </c>
      <c r="AC122" s="155">
        <f>(AA122/AB122)-1</f>
        <v>-0.14129009808096471</v>
      </c>
      <c r="AD122" s="127">
        <f>_xll.RasFinancial($A$110,"2025/12M",3120,"XI_29","LOCAL",,FALSE(),"ACO",,1000000)-AD119-AD116-AD113</f>
        <v>3495.6313970000024</v>
      </c>
      <c r="AE122" s="155">
        <f>(AA122/AD122)-1</f>
        <v>-0.24409690511900428</v>
      </c>
      <c r="AF122" s="155">
        <f>(AC113+AC116+AC119+AC122)/4</f>
        <v>-0.20848434119808182</v>
      </c>
      <c r="AG122" s="155">
        <f>(AE113+AE116+AE119+AE122)/4</f>
        <v>-0.22649909083014713</v>
      </c>
      <c r="AH122" s="197"/>
      <c r="AI122" s="198"/>
    </row>
    <row r="123" spans="1:40" x14ac:dyDescent="0.4">
      <c r="A123" s="321" t="s">
        <v>712</v>
      </c>
      <c r="B123" s="138">
        <v>46023</v>
      </c>
      <c r="C123" s="128">
        <v>24168.22</v>
      </c>
      <c r="D123" s="129">
        <v>19608.419999999998</v>
      </c>
      <c r="E123" s="129">
        <v>20226.47</v>
      </c>
      <c r="F123" s="128">
        <v>43696.09</v>
      </c>
      <c r="G123" s="129">
        <v>258.89</v>
      </c>
      <c r="H123" s="128">
        <v>1130.72</v>
      </c>
      <c r="I123" s="129">
        <v>4430.18</v>
      </c>
      <c r="J123" s="128">
        <v>2875.82</v>
      </c>
      <c r="K123" s="129">
        <v>13178.55</v>
      </c>
      <c r="L123" s="128">
        <v>826.85</v>
      </c>
      <c r="M123" s="129">
        <v>69073.77</v>
      </c>
      <c r="N123" s="128">
        <v>26946.54</v>
      </c>
      <c r="O123" s="129">
        <v>10758.4</v>
      </c>
      <c r="P123" s="128">
        <v>35082.839999999997</v>
      </c>
      <c r="Q123" s="129">
        <v>36012.29</v>
      </c>
      <c r="R123" s="128">
        <v>48407.31</v>
      </c>
      <c r="S123" s="129">
        <v>4087.58</v>
      </c>
      <c r="T123" s="204"/>
      <c r="U123" s="221"/>
      <c r="V123" s="162"/>
      <c r="W123" s="140">
        <v>2929.4</v>
      </c>
      <c r="X123" s="226">
        <v>43.14</v>
      </c>
      <c r="Y123" s="123">
        <f t="shared" si="8"/>
        <v>67.904496986555401</v>
      </c>
      <c r="Z123" s="123">
        <f>MOGAN!S80/1000000</f>
        <v>1219.7506437132001</v>
      </c>
      <c r="AA123" s="123"/>
      <c r="AB123" s="123"/>
      <c r="AC123" s="123"/>
      <c r="AD123" s="123"/>
      <c r="AE123" s="123"/>
      <c r="AF123" s="123"/>
      <c r="AG123" s="123"/>
      <c r="AH123" s="194"/>
      <c r="AI123" s="195"/>
    </row>
    <row r="124" spans="1:40" x14ac:dyDescent="0.4">
      <c r="A124" s="321"/>
      <c r="B124" s="138">
        <v>46054</v>
      </c>
      <c r="C124" s="128">
        <v>21638.45</v>
      </c>
      <c r="D124" s="129">
        <v>17743</v>
      </c>
      <c r="E124" s="129">
        <v>18547.32</v>
      </c>
      <c r="F124" s="128">
        <v>39365.11</v>
      </c>
      <c r="G124" s="129">
        <v>365.31</v>
      </c>
      <c r="H124" s="128">
        <v>2905.85</v>
      </c>
      <c r="I124" s="129">
        <v>6307.34</v>
      </c>
      <c r="J124" s="128">
        <v>13195.95</v>
      </c>
      <c r="K124" s="129">
        <v>8874.15</v>
      </c>
      <c r="L124" s="128">
        <v>0.96</v>
      </c>
      <c r="M124" s="129">
        <v>58800.05</v>
      </c>
      <c r="N124" s="128">
        <v>17199.45</v>
      </c>
      <c r="O124" s="129">
        <v>7897.93</v>
      </c>
      <c r="P124" s="128">
        <v>27138.43</v>
      </c>
      <c r="Q124" s="129">
        <v>29076</v>
      </c>
      <c r="R124" s="128">
        <v>38630.480000000003</v>
      </c>
      <c r="S124" s="129">
        <v>2881.7</v>
      </c>
      <c r="T124" s="204"/>
      <c r="U124" s="221"/>
      <c r="V124" s="162"/>
      <c r="W124" s="140">
        <v>2141.92</v>
      </c>
      <c r="X124" s="226">
        <v>43.61</v>
      </c>
      <c r="Y124" s="123">
        <f t="shared" si="8"/>
        <v>49.115340518229765</v>
      </c>
      <c r="Z124" s="123">
        <f>MOGAN!T80/1000000</f>
        <v>957.0411141807391</v>
      </c>
      <c r="AA124" s="123"/>
      <c r="AB124" s="123"/>
      <c r="AC124" s="123"/>
      <c r="AD124" s="123"/>
      <c r="AE124" s="123"/>
      <c r="AF124" s="123"/>
      <c r="AG124" s="123"/>
      <c r="AH124" s="194"/>
      <c r="AI124" s="195"/>
    </row>
    <row r="125" spans="1:40" x14ac:dyDescent="0.4">
      <c r="A125" s="321"/>
      <c r="B125" s="138">
        <v>46082</v>
      </c>
      <c r="C125" s="128">
        <v>23531.86</v>
      </c>
      <c r="D125" s="129">
        <v>19704</v>
      </c>
      <c r="E125" s="129">
        <v>20476.95</v>
      </c>
      <c r="F125" s="128">
        <v>43533.93</v>
      </c>
      <c r="G125" s="129">
        <v>326.10000000000002</v>
      </c>
      <c r="H125" s="128">
        <v>2855.12</v>
      </c>
      <c r="I125" s="129">
        <v>6575.44</v>
      </c>
      <c r="J125" s="128">
        <v>14173.52</v>
      </c>
      <c r="K125" s="129">
        <v>7622.83</v>
      </c>
      <c r="L125" s="128">
        <v>0</v>
      </c>
      <c r="M125" s="129">
        <v>44642.5</v>
      </c>
      <c r="N125" s="128">
        <v>14287.66</v>
      </c>
      <c r="O125" s="129">
        <v>6559.68</v>
      </c>
      <c r="P125" s="128">
        <v>14597.16</v>
      </c>
      <c r="Q125" s="129">
        <v>22468.55</v>
      </c>
      <c r="R125" s="128">
        <v>24755.51</v>
      </c>
      <c r="S125" s="129">
        <v>2352.7600000000002</v>
      </c>
      <c r="T125" s="204">
        <f>SUM(C123:S125)</f>
        <v>939799.99000000011</v>
      </c>
      <c r="U125" s="221"/>
      <c r="V125" s="162"/>
      <c r="W125" s="140">
        <v>1726.85</v>
      </c>
      <c r="X125" s="226">
        <v>44.1</v>
      </c>
      <c r="Y125" s="123">
        <f t="shared" si="8"/>
        <v>39.157596371882086</v>
      </c>
      <c r="Z125" s="123">
        <f>MOGAN!U80/1000000</f>
        <v>809.10166372496997</v>
      </c>
      <c r="AA125" s="123">
        <f>SUM(Z123:Z125)</f>
        <v>2985.8934216189091</v>
      </c>
      <c r="AB125" s="193"/>
      <c r="AC125" s="123"/>
      <c r="AD125" s="123"/>
      <c r="AE125" s="123"/>
      <c r="AF125" s="123"/>
      <c r="AG125" s="123"/>
      <c r="AH125" s="200">
        <f>AA125/(1+AF122)</f>
        <v>3772.3744166205406</v>
      </c>
      <c r="AI125" s="201">
        <f>AA125/(1+AG122)</f>
        <v>3860.2325947146855</v>
      </c>
    </row>
    <row r="131" spans="26:26" x14ac:dyDescent="0.4">
      <c r="Z131" s="132">
        <v>0</v>
      </c>
    </row>
  </sheetData>
  <mergeCells count="58">
    <mergeCell ref="A120:A122"/>
    <mergeCell ref="A123:A125"/>
    <mergeCell ref="A105:A107"/>
    <mergeCell ref="A110:B110"/>
    <mergeCell ref="A111:A113"/>
    <mergeCell ref="A114:A116"/>
    <mergeCell ref="A117:A119"/>
    <mergeCell ref="A92:B92"/>
    <mergeCell ref="A93:A95"/>
    <mergeCell ref="A96:A98"/>
    <mergeCell ref="A99:A101"/>
    <mergeCell ref="A102:A104"/>
    <mergeCell ref="AK17:AO17"/>
    <mergeCell ref="Y20:AC20"/>
    <mergeCell ref="A51:A53"/>
    <mergeCell ref="A38:B38"/>
    <mergeCell ref="A39:A41"/>
    <mergeCell ref="A42:A44"/>
    <mergeCell ref="A45:A47"/>
    <mergeCell ref="A48:A50"/>
    <mergeCell ref="A30:A32"/>
    <mergeCell ref="A33:A35"/>
    <mergeCell ref="Y19:AC19"/>
    <mergeCell ref="Y17:AC17"/>
    <mergeCell ref="Y18:Z18"/>
    <mergeCell ref="Y10:AC10"/>
    <mergeCell ref="Y15:AC15"/>
    <mergeCell ref="AE11:AI11"/>
    <mergeCell ref="AE16:AI16"/>
    <mergeCell ref="AK11:AO11"/>
    <mergeCell ref="AK16:AO16"/>
    <mergeCell ref="AK12:AO12"/>
    <mergeCell ref="Y11:AC11"/>
    <mergeCell ref="Y16:AC16"/>
    <mergeCell ref="Y12:AC12"/>
    <mergeCell ref="Y13:Z13"/>
    <mergeCell ref="A2:B2"/>
    <mergeCell ref="A20:B20"/>
    <mergeCell ref="A21:A23"/>
    <mergeCell ref="A24:A26"/>
    <mergeCell ref="A27:A29"/>
    <mergeCell ref="A3:A5"/>
    <mergeCell ref="A6:A8"/>
    <mergeCell ref="A9:A11"/>
    <mergeCell ref="A12:A14"/>
    <mergeCell ref="A15:A17"/>
    <mergeCell ref="A56:B56"/>
    <mergeCell ref="A57:A59"/>
    <mergeCell ref="A60:A62"/>
    <mergeCell ref="A63:A65"/>
    <mergeCell ref="A66:A68"/>
    <mergeCell ref="A84:A86"/>
    <mergeCell ref="A87:A89"/>
    <mergeCell ref="A69:A71"/>
    <mergeCell ref="A74:B74"/>
    <mergeCell ref="A75:A77"/>
    <mergeCell ref="A78:A80"/>
    <mergeCell ref="A81:A83"/>
  </mergeCells>
  <pageMargins left="0.7" right="0.7" top="0.75" bottom="0.75" header="0.3" footer="0.3"/>
  <pageSetup paperSize="9" orientation="portrait" r:id="rId1"/>
  <ignoredErrors>
    <ignoredError sqref="D8 D11 D14 D17 D23 D26 D29 D32 D35" formulaRange="1"/>
    <ignoredError sqref="H4:H17" numberStoredAsText="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7F48C-3B8B-4FD3-B77F-154F6340CD4B}">
  <dimension ref="A1:S320"/>
  <sheetViews>
    <sheetView zoomScale="85" zoomScaleNormal="85" workbookViewId="0">
      <selection activeCell="N5" sqref="N5:P5"/>
    </sheetView>
  </sheetViews>
  <sheetFormatPr defaultColWidth="9.140625" defaultRowHeight="15" x14ac:dyDescent="0.25"/>
  <cols>
    <col min="1" max="1" width="10.140625" style="25" bestFit="1" customWidth="1"/>
    <col min="2" max="2" width="10.28515625" style="25" bestFit="1" customWidth="1"/>
    <col min="3" max="3" width="11.85546875" style="25" bestFit="1" customWidth="1"/>
    <col min="4" max="16384" width="9.140625" style="25"/>
  </cols>
  <sheetData>
    <row r="1" spans="1:19" x14ac:dyDescent="0.25">
      <c r="A1" s="2" t="s">
        <v>575</v>
      </c>
      <c r="B1" s="2" t="s">
        <v>484</v>
      </c>
      <c r="C1" s="2" t="s">
        <v>485</v>
      </c>
      <c r="D1" s="2" t="s">
        <v>486</v>
      </c>
      <c r="E1" s="2" t="s">
        <v>487</v>
      </c>
      <c r="F1" s="2" t="s">
        <v>488</v>
      </c>
      <c r="G1" s="2" t="s">
        <v>489</v>
      </c>
      <c r="H1" s="2" t="s">
        <v>490</v>
      </c>
      <c r="I1" s="2" t="s">
        <v>491</v>
      </c>
      <c r="J1" s="2" t="s">
        <v>492</v>
      </c>
      <c r="K1" s="2" t="s">
        <v>493</v>
      </c>
      <c r="L1" s="2" t="s">
        <v>494</v>
      </c>
      <c r="M1" s="2" t="s">
        <v>495</v>
      </c>
      <c r="N1" s="2" t="s">
        <v>496</v>
      </c>
      <c r="O1" s="2" t="s">
        <v>497</v>
      </c>
      <c r="P1" s="2" t="s">
        <v>574</v>
      </c>
      <c r="Q1" s="25" t="s">
        <v>731</v>
      </c>
      <c r="R1" s="25" t="s">
        <v>732</v>
      </c>
      <c r="S1" s="25" t="s">
        <v>733</v>
      </c>
    </row>
    <row r="2" spans="1:19" x14ac:dyDescent="0.25">
      <c r="A2" s="2" t="s">
        <v>573</v>
      </c>
      <c r="B2" s="109">
        <v>2537.9899999999998</v>
      </c>
      <c r="C2" s="109">
        <v>2506.77</v>
      </c>
      <c r="D2" s="109">
        <v>2207.1799999999998</v>
      </c>
      <c r="E2" s="109">
        <v>2489.25</v>
      </c>
      <c r="F2" s="109">
        <v>2474.98</v>
      </c>
      <c r="G2" s="109">
        <v>2240.61</v>
      </c>
      <c r="H2" s="109">
        <v>2981.73</v>
      </c>
      <c r="I2" s="109">
        <v>2952.26</v>
      </c>
      <c r="J2" s="109">
        <v>2765.58</v>
      </c>
      <c r="K2" s="109">
        <v>2764.54</v>
      </c>
      <c r="L2" s="109">
        <v>2814.97</v>
      </c>
      <c r="M2" s="109">
        <v>3005.44</v>
      </c>
      <c r="N2" s="109">
        <v>2929.4</v>
      </c>
      <c r="O2" s="109">
        <v>2141.92</v>
      </c>
      <c r="P2" s="109">
        <v>1726.85</v>
      </c>
      <c r="Q2" s="25">
        <v>1068.43</v>
      </c>
      <c r="R2" s="25">
        <v>795.7</v>
      </c>
      <c r="S2" s="25">
        <v>1341.48</v>
      </c>
    </row>
    <row r="3" spans="1:19" x14ac:dyDescent="0.25">
      <c r="A3" s="2"/>
      <c r="B3" s="2"/>
      <c r="C3" s="2"/>
      <c r="D3" s="2"/>
      <c r="E3" s="2"/>
      <c r="F3" s="2"/>
      <c r="G3" s="2"/>
      <c r="H3" s="2"/>
      <c r="I3" s="2"/>
      <c r="J3" s="2"/>
      <c r="K3" s="2"/>
      <c r="L3" s="2"/>
      <c r="M3" s="2"/>
      <c r="N3" s="2"/>
      <c r="O3" s="2"/>
      <c r="P3" s="2"/>
    </row>
    <row r="4" spans="1:19" x14ac:dyDescent="0.25">
      <c r="A4" s="2" t="s">
        <v>578</v>
      </c>
      <c r="B4" s="2" t="s">
        <v>484</v>
      </c>
      <c r="C4" s="2" t="s">
        <v>485</v>
      </c>
      <c r="D4" s="2" t="s">
        <v>486</v>
      </c>
      <c r="E4" s="2" t="s">
        <v>487</v>
      </c>
      <c r="F4" s="2" t="s">
        <v>488</v>
      </c>
      <c r="G4" s="2" t="s">
        <v>489</v>
      </c>
      <c r="H4" s="2" t="s">
        <v>490</v>
      </c>
      <c r="I4" s="2" t="s">
        <v>491</v>
      </c>
      <c r="J4" s="2" t="s">
        <v>492</v>
      </c>
      <c r="K4" s="2" t="s">
        <v>493</v>
      </c>
      <c r="L4" s="2" t="s">
        <v>494</v>
      </c>
      <c r="M4" s="2" t="s">
        <v>495</v>
      </c>
      <c r="N4" s="2" t="s">
        <v>496</v>
      </c>
      <c r="O4" s="2" t="s">
        <v>497</v>
      </c>
      <c r="P4" s="2" t="s">
        <v>574</v>
      </c>
      <c r="Q4" s="25" t="s">
        <v>731</v>
      </c>
      <c r="R4" s="25" t="s">
        <v>732</v>
      </c>
      <c r="S4" s="25" t="s">
        <v>733</v>
      </c>
    </row>
    <row r="5" spans="1:19" x14ac:dyDescent="0.25">
      <c r="A5" s="2" t="s">
        <v>576</v>
      </c>
      <c r="B5" s="109" t="s">
        <v>577</v>
      </c>
      <c r="C5" s="109">
        <v>36.119999999999997</v>
      </c>
      <c r="D5" s="109">
        <v>37.04</v>
      </c>
      <c r="E5" s="109">
        <v>38.049999999999997</v>
      </c>
      <c r="F5" s="109">
        <v>38.72</v>
      </c>
      <c r="G5" s="109">
        <v>39.369999999999997</v>
      </c>
      <c r="H5" s="109">
        <v>40.14</v>
      </c>
      <c r="I5" s="109">
        <v>40.75</v>
      </c>
      <c r="J5" s="109">
        <v>41.24</v>
      </c>
      <c r="K5" s="109">
        <v>41.75</v>
      </c>
      <c r="L5" s="109">
        <v>42.2</v>
      </c>
      <c r="M5" s="109">
        <v>42.61</v>
      </c>
      <c r="N5" s="109">
        <v>43.14</v>
      </c>
      <c r="O5" s="109">
        <v>43.61</v>
      </c>
      <c r="P5" s="109">
        <v>44.1</v>
      </c>
      <c r="Q5" s="25">
        <v>44.68</v>
      </c>
      <c r="R5" s="25">
        <v>45.36</v>
      </c>
      <c r="S5" s="25">
        <v>46.17</v>
      </c>
    </row>
    <row r="6" spans="1:19" x14ac:dyDescent="0.25">
      <c r="A6" s="2"/>
      <c r="B6" s="1"/>
      <c r="C6" s="32"/>
      <c r="D6" s="2"/>
      <c r="E6" s="2"/>
      <c r="F6" s="2"/>
      <c r="G6" s="2"/>
      <c r="H6" s="2"/>
      <c r="I6" s="2"/>
      <c r="J6" s="2"/>
      <c r="K6" s="2"/>
      <c r="L6" s="2"/>
      <c r="M6" s="2"/>
      <c r="N6" s="2"/>
      <c r="O6" s="2"/>
      <c r="P6" s="2"/>
    </row>
    <row r="7" spans="1:19" x14ac:dyDescent="0.25">
      <c r="A7" s="2" t="s">
        <v>576</v>
      </c>
      <c r="B7" s="2" t="s">
        <v>484</v>
      </c>
      <c r="C7" s="2" t="s">
        <v>485</v>
      </c>
      <c r="D7" s="2" t="s">
        <v>486</v>
      </c>
      <c r="E7" s="2" t="s">
        <v>487</v>
      </c>
      <c r="F7" s="2" t="s">
        <v>488</v>
      </c>
      <c r="G7" s="2" t="s">
        <v>489</v>
      </c>
      <c r="H7" s="2" t="s">
        <v>490</v>
      </c>
      <c r="I7" s="2" t="s">
        <v>491</v>
      </c>
      <c r="J7" s="2" t="s">
        <v>492</v>
      </c>
      <c r="K7" s="2" t="s">
        <v>493</v>
      </c>
      <c r="L7" s="2" t="s">
        <v>494</v>
      </c>
      <c r="M7" s="2" t="s">
        <v>495</v>
      </c>
      <c r="N7" s="2" t="s">
        <v>496</v>
      </c>
      <c r="O7" s="2" t="s">
        <v>497</v>
      </c>
      <c r="P7" s="2" t="s">
        <v>574</v>
      </c>
      <c r="Q7" s="25" t="s">
        <v>731</v>
      </c>
      <c r="R7" s="25" t="s">
        <v>732</v>
      </c>
      <c r="S7" s="25" t="s">
        <v>733</v>
      </c>
    </row>
    <row r="8" spans="1:19" x14ac:dyDescent="0.25">
      <c r="A8" s="4" t="s">
        <v>573</v>
      </c>
      <c r="B8" s="109">
        <v>71.64</v>
      </c>
      <c r="C8" s="109">
        <v>69.53</v>
      </c>
      <c r="D8" s="109">
        <v>59.76</v>
      </c>
      <c r="E8" s="109">
        <v>65.540000000000006</v>
      </c>
      <c r="F8" s="109">
        <v>64.03</v>
      </c>
      <c r="G8" s="109">
        <v>56.95</v>
      </c>
      <c r="H8" s="109">
        <v>74.36</v>
      </c>
      <c r="I8" s="109">
        <v>72.53</v>
      </c>
      <c r="J8" s="109">
        <v>67.13</v>
      </c>
      <c r="K8" s="109">
        <v>66.28</v>
      </c>
      <c r="L8" s="109">
        <v>66.790000000000006</v>
      </c>
      <c r="M8" s="109">
        <v>70.599999999999994</v>
      </c>
      <c r="N8" s="109">
        <v>68</v>
      </c>
      <c r="O8" s="109">
        <v>49.19</v>
      </c>
      <c r="P8" s="109">
        <v>39.229999999999997</v>
      </c>
      <c r="Q8" s="109">
        <v>23.96</v>
      </c>
      <c r="R8" s="109">
        <v>17.57</v>
      </c>
      <c r="S8" s="109">
        <v>29.08</v>
      </c>
    </row>
    <row r="9" spans="1:19" x14ac:dyDescent="0.25">
      <c r="A9" s="1"/>
      <c r="B9" s="32"/>
      <c r="C9" s="32"/>
    </row>
    <row r="10" spans="1:19" x14ac:dyDescent="0.25">
      <c r="A10" s="1"/>
      <c r="B10" s="32"/>
      <c r="C10" s="32"/>
    </row>
    <row r="11" spans="1:19" x14ac:dyDescent="0.25">
      <c r="A11" s="1"/>
      <c r="B11" s="4"/>
      <c r="C11" s="2"/>
    </row>
    <row r="12" spans="1:19" x14ac:dyDescent="0.25">
      <c r="A12" s="1"/>
      <c r="B12" s="1"/>
      <c r="C12" s="250"/>
    </row>
    <row r="13" spans="1:19" x14ac:dyDescent="0.25">
      <c r="A13" s="1"/>
      <c r="B13" s="1"/>
      <c r="C13" s="250"/>
    </row>
    <row r="14" spans="1:19" x14ac:dyDescent="0.25">
      <c r="A14" s="1"/>
      <c r="B14" s="1"/>
      <c r="C14" s="250"/>
    </row>
    <row r="15" spans="1:19" x14ac:dyDescent="0.25">
      <c r="A15" s="1"/>
      <c r="B15" s="1"/>
      <c r="C15" s="250"/>
    </row>
    <row r="16" spans="1:19" x14ac:dyDescent="0.25">
      <c r="A16" s="1"/>
      <c r="B16" s="1"/>
      <c r="C16" s="250"/>
    </row>
    <row r="17" spans="1:3" x14ac:dyDescent="0.25">
      <c r="A17" s="1"/>
      <c r="B17" s="1"/>
      <c r="C17" s="250"/>
    </row>
    <row r="18" spans="1:3" x14ac:dyDescent="0.25">
      <c r="A18" s="1"/>
      <c r="B18" s="1"/>
      <c r="C18" s="250"/>
    </row>
    <row r="19" spans="1:3" x14ac:dyDescent="0.25">
      <c r="A19" s="1"/>
      <c r="B19" s="1"/>
      <c r="C19" s="250"/>
    </row>
    <row r="20" spans="1:3" x14ac:dyDescent="0.25">
      <c r="A20" s="1"/>
      <c r="B20" s="1"/>
      <c r="C20" s="250"/>
    </row>
    <row r="21" spans="1:3" x14ac:dyDescent="0.25">
      <c r="A21" s="1"/>
      <c r="B21" s="1"/>
      <c r="C21" s="250"/>
    </row>
    <row r="22" spans="1:3" x14ac:dyDescent="0.25">
      <c r="A22" s="1"/>
      <c r="B22" s="1"/>
      <c r="C22" s="250"/>
    </row>
    <row r="23" spans="1:3" x14ac:dyDescent="0.25">
      <c r="A23" s="1"/>
      <c r="B23" s="1"/>
      <c r="C23" s="250"/>
    </row>
    <row r="24" spans="1:3" x14ac:dyDescent="0.25">
      <c r="A24" s="1"/>
      <c r="B24" s="1"/>
      <c r="C24" s="250"/>
    </row>
    <row r="25" spans="1:3" x14ac:dyDescent="0.25">
      <c r="A25" s="1"/>
      <c r="B25" s="1"/>
      <c r="C25" s="250"/>
    </row>
    <row r="26" spans="1:3" x14ac:dyDescent="0.25">
      <c r="A26" s="1"/>
      <c r="B26" s="1"/>
      <c r="C26" s="250"/>
    </row>
    <row r="27" spans="1:3" x14ac:dyDescent="0.25">
      <c r="A27" s="1"/>
      <c r="B27" s="1"/>
      <c r="C27" s="250"/>
    </row>
    <row r="28" spans="1:3" x14ac:dyDescent="0.25">
      <c r="A28" s="1"/>
      <c r="B28" s="2"/>
      <c r="C28" s="2"/>
    </row>
    <row r="29" spans="1:3" x14ac:dyDescent="0.25">
      <c r="A29" s="1"/>
      <c r="B29" s="2"/>
      <c r="C29" s="2"/>
    </row>
    <row r="30" spans="1:3" x14ac:dyDescent="0.25">
      <c r="A30" s="1"/>
      <c r="B30" s="2"/>
      <c r="C30" s="2"/>
    </row>
    <row r="31" spans="1:3" x14ac:dyDescent="0.25">
      <c r="A31" s="1"/>
      <c r="B31" s="2"/>
      <c r="C31" s="2"/>
    </row>
    <row r="32" spans="1:3" x14ac:dyDescent="0.25">
      <c r="A32" s="1"/>
      <c r="B32" s="32"/>
      <c r="C32" s="32"/>
    </row>
    <row r="33" spans="1:3" x14ac:dyDescent="0.25">
      <c r="A33" s="1"/>
      <c r="B33" s="32"/>
      <c r="C33" s="32"/>
    </row>
    <row r="34" spans="1:3" x14ac:dyDescent="0.25">
      <c r="A34" s="1"/>
      <c r="B34" s="32"/>
      <c r="C34" s="32"/>
    </row>
    <row r="35" spans="1:3" x14ac:dyDescent="0.25">
      <c r="A35" s="1"/>
      <c r="B35" s="32"/>
      <c r="C35" s="32"/>
    </row>
    <row r="36" spans="1:3" x14ac:dyDescent="0.25">
      <c r="A36" s="1"/>
      <c r="B36" s="32"/>
      <c r="C36" s="32"/>
    </row>
    <row r="37" spans="1:3" x14ac:dyDescent="0.25">
      <c r="A37" s="1"/>
      <c r="B37" s="32"/>
      <c r="C37" s="32"/>
    </row>
    <row r="38" spans="1:3" x14ac:dyDescent="0.25">
      <c r="A38" s="1"/>
      <c r="B38" s="32"/>
      <c r="C38" s="32"/>
    </row>
    <row r="39" spans="1:3" x14ac:dyDescent="0.25">
      <c r="A39" s="1"/>
      <c r="B39" s="32"/>
      <c r="C39" s="32"/>
    </row>
    <row r="40" spans="1:3" x14ac:dyDescent="0.25">
      <c r="A40" s="1"/>
      <c r="B40" s="32"/>
      <c r="C40" s="32"/>
    </row>
    <row r="41" spans="1:3" x14ac:dyDescent="0.25">
      <c r="A41" s="1"/>
      <c r="B41" s="32"/>
      <c r="C41" s="32"/>
    </row>
    <row r="42" spans="1:3" x14ac:dyDescent="0.25">
      <c r="A42" s="1"/>
      <c r="B42" s="32"/>
      <c r="C42" s="32"/>
    </row>
    <row r="43" spans="1:3" x14ac:dyDescent="0.25">
      <c r="A43" s="1"/>
      <c r="B43" s="32"/>
      <c r="C43" s="32"/>
    </row>
    <row r="44" spans="1:3" x14ac:dyDescent="0.25">
      <c r="A44" s="1"/>
      <c r="B44" s="32"/>
      <c r="C44" s="32"/>
    </row>
    <row r="45" spans="1:3" x14ac:dyDescent="0.25">
      <c r="A45" s="1"/>
      <c r="B45" s="32"/>
      <c r="C45" s="32"/>
    </row>
    <row r="46" spans="1:3" x14ac:dyDescent="0.25">
      <c r="A46" s="1"/>
      <c r="B46" s="32"/>
      <c r="C46" s="32"/>
    </row>
    <row r="47" spans="1:3" x14ac:dyDescent="0.25">
      <c r="A47" s="1"/>
      <c r="B47" s="32"/>
      <c r="C47" s="32"/>
    </row>
    <row r="48" spans="1:3" x14ac:dyDescent="0.25">
      <c r="A48" s="1"/>
      <c r="B48" s="32"/>
      <c r="C48" s="32"/>
    </row>
    <row r="49" spans="1:3" x14ac:dyDescent="0.25">
      <c r="A49" s="1"/>
      <c r="B49" s="32"/>
      <c r="C49" s="32"/>
    </row>
    <row r="50" spans="1:3" x14ac:dyDescent="0.25">
      <c r="A50" s="1"/>
      <c r="B50" s="32"/>
      <c r="C50" s="32"/>
    </row>
    <row r="51" spans="1:3" x14ac:dyDescent="0.25">
      <c r="A51" s="1"/>
      <c r="B51" s="32"/>
      <c r="C51" s="32"/>
    </row>
    <row r="52" spans="1:3" x14ac:dyDescent="0.25">
      <c r="A52" s="1"/>
      <c r="B52" s="32"/>
      <c r="C52" s="32"/>
    </row>
    <row r="53" spans="1:3" x14ac:dyDescent="0.25">
      <c r="A53" s="1"/>
      <c r="B53" s="32"/>
      <c r="C53" s="32"/>
    </row>
    <row r="54" spans="1:3" x14ac:dyDescent="0.25">
      <c r="A54" s="1"/>
      <c r="B54" s="32"/>
      <c r="C54" s="32"/>
    </row>
    <row r="55" spans="1:3" x14ac:dyDescent="0.25">
      <c r="A55" s="1"/>
      <c r="B55" s="32"/>
      <c r="C55" s="32"/>
    </row>
    <row r="56" spans="1:3" x14ac:dyDescent="0.25">
      <c r="A56" s="1"/>
      <c r="B56" s="32"/>
      <c r="C56" s="32"/>
    </row>
    <row r="57" spans="1:3" x14ac:dyDescent="0.25">
      <c r="A57" s="1"/>
      <c r="B57" s="32"/>
      <c r="C57" s="32"/>
    </row>
    <row r="58" spans="1:3" x14ac:dyDescent="0.25">
      <c r="A58" s="1"/>
      <c r="B58" s="32"/>
      <c r="C58" s="32"/>
    </row>
    <row r="59" spans="1:3" x14ac:dyDescent="0.25">
      <c r="A59" s="1"/>
      <c r="B59" s="32"/>
      <c r="C59" s="32"/>
    </row>
    <row r="60" spans="1:3" x14ac:dyDescent="0.25">
      <c r="A60" s="1"/>
      <c r="B60" s="32"/>
      <c r="C60" s="32"/>
    </row>
    <row r="61" spans="1:3" x14ac:dyDescent="0.25">
      <c r="A61" s="1"/>
      <c r="B61" s="32"/>
      <c r="C61" s="32"/>
    </row>
    <row r="62" spans="1:3" x14ac:dyDescent="0.25">
      <c r="A62" s="1"/>
      <c r="B62" s="32"/>
      <c r="C62" s="32"/>
    </row>
    <row r="63" spans="1:3" x14ac:dyDescent="0.25">
      <c r="A63" s="1"/>
      <c r="B63" s="32"/>
      <c r="C63" s="32"/>
    </row>
    <row r="64" spans="1:3" x14ac:dyDescent="0.25">
      <c r="A64" s="1"/>
      <c r="B64" s="32"/>
      <c r="C64" s="32"/>
    </row>
    <row r="65" spans="1:3" x14ac:dyDescent="0.25">
      <c r="A65" s="1"/>
      <c r="B65" s="32"/>
      <c r="C65" s="32"/>
    </row>
    <row r="66" spans="1:3" x14ac:dyDescent="0.25">
      <c r="A66" s="1"/>
      <c r="B66" s="32"/>
      <c r="C66" s="32"/>
    </row>
    <row r="67" spans="1:3" x14ac:dyDescent="0.25">
      <c r="A67" s="1"/>
      <c r="B67" s="32"/>
      <c r="C67" s="32"/>
    </row>
    <row r="68" spans="1:3" x14ac:dyDescent="0.25">
      <c r="A68" s="1"/>
      <c r="B68" s="32"/>
      <c r="C68" s="32"/>
    </row>
    <row r="69" spans="1:3" x14ac:dyDescent="0.25">
      <c r="A69" s="1"/>
      <c r="B69" s="32"/>
      <c r="C69" s="32"/>
    </row>
    <row r="70" spans="1:3" x14ac:dyDescent="0.25">
      <c r="A70" s="1"/>
      <c r="B70" s="32"/>
      <c r="C70" s="32"/>
    </row>
    <row r="71" spans="1:3" x14ac:dyDescent="0.25">
      <c r="A71" s="1"/>
      <c r="B71" s="32"/>
      <c r="C71" s="32"/>
    </row>
    <row r="72" spans="1:3" x14ac:dyDescent="0.25">
      <c r="A72" s="1"/>
      <c r="B72" s="32"/>
      <c r="C72" s="32"/>
    </row>
    <row r="73" spans="1:3" x14ac:dyDescent="0.25">
      <c r="A73" s="1"/>
      <c r="B73" s="32"/>
      <c r="C73" s="32"/>
    </row>
    <row r="74" spans="1:3" x14ac:dyDescent="0.25">
      <c r="A74" s="1"/>
      <c r="B74" s="32"/>
      <c r="C74" s="32"/>
    </row>
    <row r="75" spans="1:3" x14ac:dyDescent="0.25">
      <c r="A75" s="1"/>
      <c r="B75" s="32"/>
      <c r="C75" s="32"/>
    </row>
    <row r="76" spans="1:3" x14ac:dyDescent="0.25">
      <c r="A76" s="1"/>
      <c r="B76" s="32"/>
      <c r="C76" s="32"/>
    </row>
    <row r="77" spans="1:3" x14ac:dyDescent="0.25">
      <c r="A77" s="1"/>
      <c r="B77" s="32"/>
      <c r="C77" s="32"/>
    </row>
    <row r="78" spans="1:3" x14ac:dyDescent="0.25">
      <c r="A78" s="1"/>
      <c r="B78" s="32"/>
      <c r="C78" s="32"/>
    </row>
    <row r="79" spans="1:3" x14ac:dyDescent="0.25">
      <c r="A79" s="1"/>
      <c r="B79" s="32"/>
      <c r="C79" s="32"/>
    </row>
    <row r="80" spans="1:3" x14ac:dyDescent="0.25">
      <c r="A80" s="1"/>
      <c r="B80" s="32"/>
      <c r="C80" s="32"/>
    </row>
    <row r="81" spans="1:3" x14ac:dyDescent="0.25">
      <c r="A81" s="1"/>
      <c r="B81" s="32"/>
      <c r="C81" s="32"/>
    </row>
    <row r="82" spans="1:3" x14ac:dyDescent="0.25">
      <c r="A82" s="1"/>
      <c r="B82" s="32"/>
      <c r="C82" s="32"/>
    </row>
    <row r="83" spans="1:3" x14ac:dyDescent="0.25">
      <c r="A83" s="1"/>
      <c r="B83" s="32"/>
      <c r="C83" s="32"/>
    </row>
    <row r="84" spans="1:3" x14ac:dyDescent="0.25">
      <c r="A84" s="1"/>
      <c r="B84" s="32"/>
      <c r="C84" s="32"/>
    </row>
    <row r="85" spans="1:3" x14ac:dyDescent="0.25">
      <c r="A85" s="1"/>
      <c r="B85" s="32"/>
      <c r="C85" s="32"/>
    </row>
    <row r="86" spans="1:3" x14ac:dyDescent="0.25">
      <c r="A86" s="1"/>
      <c r="B86" s="32"/>
      <c r="C86" s="32"/>
    </row>
    <row r="87" spans="1:3" x14ac:dyDescent="0.25">
      <c r="A87" s="1"/>
      <c r="B87" s="32"/>
      <c r="C87" s="32"/>
    </row>
    <row r="88" spans="1:3" x14ac:dyDescent="0.25">
      <c r="A88" s="1"/>
      <c r="B88" s="32"/>
      <c r="C88" s="32"/>
    </row>
    <row r="89" spans="1:3" x14ac:dyDescent="0.25">
      <c r="A89" s="1"/>
      <c r="B89" s="32"/>
      <c r="C89" s="32"/>
    </row>
    <row r="90" spans="1:3" x14ac:dyDescent="0.25">
      <c r="A90" s="1"/>
      <c r="B90" s="32"/>
      <c r="C90" s="32"/>
    </row>
    <row r="91" spans="1:3" x14ac:dyDescent="0.25">
      <c r="A91" s="1"/>
      <c r="B91" s="32"/>
      <c r="C91" s="32"/>
    </row>
    <row r="92" spans="1:3" x14ac:dyDescent="0.25">
      <c r="A92" s="1"/>
      <c r="B92" s="32"/>
      <c r="C92" s="32"/>
    </row>
    <row r="93" spans="1:3" x14ac:dyDescent="0.25">
      <c r="A93" s="1"/>
      <c r="B93" s="32"/>
      <c r="C93" s="32"/>
    </row>
    <row r="94" spans="1:3" x14ac:dyDescent="0.25">
      <c r="A94" s="1"/>
      <c r="B94" s="32"/>
      <c r="C94" s="32"/>
    </row>
    <row r="95" spans="1:3" x14ac:dyDescent="0.25">
      <c r="A95" s="1"/>
      <c r="B95" s="32"/>
      <c r="C95" s="32"/>
    </row>
    <row r="96" spans="1:3" x14ac:dyDescent="0.25">
      <c r="A96" s="1"/>
      <c r="B96" s="32"/>
      <c r="C96" s="32"/>
    </row>
    <row r="97" spans="1:3" x14ac:dyDescent="0.25">
      <c r="A97" s="1"/>
      <c r="B97" s="32"/>
      <c r="C97" s="32"/>
    </row>
    <row r="98" spans="1:3" x14ac:dyDescent="0.25">
      <c r="A98" s="1"/>
      <c r="B98" s="32"/>
      <c r="C98" s="32"/>
    </row>
    <row r="99" spans="1:3" x14ac:dyDescent="0.25">
      <c r="A99" s="1"/>
      <c r="B99" s="32"/>
      <c r="C99" s="32"/>
    </row>
    <row r="100" spans="1:3" x14ac:dyDescent="0.25">
      <c r="A100" s="1"/>
      <c r="B100" s="32"/>
      <c r="C100" s="32"/>
    </row>
    <row r="101" spans="1:3" x14ac:dyDescent="0.25">
      <c r="A101" s="1"/>
      <c r="B101" s="32"/>
      <c r="C101" s="32"/>
    </row>
    <row r="102" spans="1:3" x14ac:dyDescent="0.25">
      <c r="A102" s="1"/>
      <c r="B102" s="32"/>
      <c r="C102" s="32"/>
    </row>
    <row r="103" spans="1:3" x14ac:dyDescent="0.25">
      <c r="A103" s="1"/>
      <c r="B103" s="32"/>
      <c r="C103" s="32"/>
    </row>
    <row r="104" spans="1:3" x14ac:dyDescent="0.25">
      <c r="A104" s="1"/>
      <c r="B104" s="32"/>
      <c r="C104" s="32"/>
    </row>
    <row r="105" spans="1:3" x14ac:dyDescent="0.25">
      <c r="A105" s="1"/>
      <c r="B105" s="32"/>
      <c r="C105" s="32"/>
    </row>
    <row r="106" spans="1:3" x14ac:dyDescent="0.25">
      <c r="A106" s="1"/>
      <c r="B106" s="32"/>
      <c r="C106" s="32"/>
    </row>
    <row r="107" spans="1:3" x14ac:dyDescent="0.25">
      <c r="A107" s="1"/>
      <c r="B107" s="32"/>
      <c r="C107" s="32"/>
    </row>
    <row r="108" spans="1:3" x14ac:dyDescent="0.25">
      <c r="A108" s="1"/>
      <c r="B108" s="32"/>
      <c r="C108" s="32"/>
    </row>
    <row r="109" spans="1:3" x14ac:dyDescent="0.25">
      <c r="A109" s="1"/>
      <c r="B109" s="32"/>
      <c r="C109" s="32"/>
    </row>
    <row r="110" spans="1:3" x14ac:dyDescent="0.25">
      <c r="A110" s="1"/>
      <c r="B110" s="32"/>
      <c r="C110" s="32"/>
    </row>
    <row r="111" spans="1:3" x14ac:dyDescent="0.25">
      <c r="A111" s="1"/>
      <c r="B111" s="32"/>
      <c r="C111" s="32"/>
    </row>
    <row r="112" spans="1:3" x14ac:dyDescent="0.25">
      <c r="A112" s="1"/>
      <c r="B112" s="32"/>
      <c r="C112" s="32"/>
    </row>
    <row r="113" spans="1:3" x14ac:dyDescent="0.25">
      <c r="A113" s="1"/>
      <c r="B113" s="32"/>
      <c r="C113" s="32"/>
    </row>
    <row r="114" spans="1:3" x14ac:dyDescent="0.25">
      <c r="A114" s="1"/>
      <c r="B114" s="32"/>
      <c r="C114" s="32"/>
    </row>
    <row r="115" spans="1:3" x14ac:dyDescent="0.25">
      <c r="A115" s="1"/>
      <c r="B115" s="32"/>
      <c r="C115" s="32"/>
    </row>
    <row r="116" spans="1:3" x14ac:dyDescent="0.25">
      <c r="A116" s="1"/>
      <c r="B116" s="32"/>
      <c r="C116" s="32"/>
    </row>
    <row r="117" spans="1:3" x14ac:dyDescent="0.25">
      <c r="A117" s="1"/>
      <c r="B117" s="32"/>
      <c r="C117" s="32"/>
    </row>
    <row r="118" spans="1:3" x14ac:dyDescent="0.25">
      <c r="A118" s="1"/>
      <c r="B118" s="32"/>
      <c r="C118" s="32"/>
    </row>
    <row r="119" spans="1:3" x14ac:dyDescent="0.25">
      <c r="A119" s="1"/>
      <c r="B119" s="32"/>
      <c r="C119" s="32"/>
    </row>
    <row r="120" spans="1:3" x14ac:dyDescent="0.25">
      <c r="A120" s="1"/>
      <c r="B120" s="32"/>
      <c r="C120" s="32"/>
    </row>
    <row r="121" spans="1:3" x14ac:dyDescent="0.25">
      <c r="A121" s="1"/>
      <c r="B121" s="32"/>
      <c r="C121" s="32"/>
    </row>
    <row r="122" spans="1:3" x14ac:dyDescent="0.25">
      <c r="A122" s="1"/>
      <c r="B122" s="32"/>
      <c r="C122" s="32"/>
    </row>
    <row r="123" spans="1:3" x14ac:dyDescent="0.25">
      <c r="A123" s="1"/>
      <c r="B123" s="32"/>
      <c r="C123" s="32"/>
    </row>
    <row r="124" spans="1:3" x14ac:dyDescent="0.25">
      <c r="A124" s="1"/>
      <c r="B124" s="32"/>
      <c r="C124" s="32"/>
    </row>
    <row r="125" spans="1:3" x14ac:dyDescent="0.25">
      <c r="A125" s="1"/>
      <c r="B125" s="32"/>
      <c r="C125" s="32"/>
    </row>
    <row r="126" spans="1:3" x14ac:dyDescent="0.25">
      <c r="A126" s="1"/>
      <c r="B126" s="32"/>
      <c r="C126" s="32"/>
    </row>
    <row r="127" spans="1:3" x14ac:dyDescent="0.25">
      <c r="A127" s="1"/>
      <c r="B127" s="32"/>
      <c r="C127" s="32"/>
    </row>
    <row r="128" spans="1:3" x14ac:dyDescent="0.25">
      <c r="A128" s="1"/>
      <c r="B128" s="32"/>
      <c r="C128" s="32"/>
    </row>
    <row r="129" spans="1:3" x14ac:dyDescent="0.25">
      <c r="A129" s="1"/>
      <c r="B129" s="32"/>
      <c r="C129" s="32"/>
    </row>
    <row r="130" spans="1:3" x14ac:dyDescent="0.25">
      <c r="A130" s="1"/>
      <c r="B130" s="32"/>
      <c r="C130" s="32"/>
    </row>
    <row r="131" spans="1:3" x14ac:dyDescent="0.25">
      <c r="A131" s="1"/>
      <c r="B131" s="32"/>
      <c r="C131" s="32"/>
    </row>
    <row r="132" spans="1:3" x14ac:dyDescent="0.25">
      <c r="A132" s="1"/>
      <c r="B132" s="32"/>
      <c r="C132" s="32"/>
    </row>
    <row r="133" spans="1:3" x14ac:dyDescent="0.25">
      <c r="A133" s="1"/>
      <c r="B133" s="32"/>
      <c r="C133" s="32"/>
    </row>
    <row r="134" spans="1:3" x14ac:dyDescent="0.25">
      <c r="A134" s="1"/>
      <c r="B134" s="32"/>
      <c r="C134" s="32"/>
    </row>
    <row r="135" spans="1:3" x14ac:dyDescent="0.25">
      <c r="A135" s="1"/>
      <c r="B135" s="32"/>
      <c r="C135" s="32"/>
    </row>
    <row r="136" spans="1:3" x14ac:dyDescent="0.25">
      <c r="A136" s="1"/>
      <c r="B136" s="32"/>
      <c r="C136" s="32"/>
    </row>
    <row r="137" spans="1:3" x14ac:dyDescent="0.25">
      <c r="A137" s="1"/>
      <c r="B137" s="32"/>
      <c r="C137" s="32"/>
    </row>
    <row r="138" spans="1:3" x14ac:dyDescent="0.25">
      <c r="A138" s="1"/>
      <c r="B138" s="32"/>
      <c r="C138" s="32"/>
    </row>
    <row r="139" spans="1:3" x14ac:dyDescent="0.25">
      <c r="A139" s="1"/>
      <c r="B139" s="32"/>
      <c r="C139" s="32"/>
    </row>
    <row r="140" spans="1:3" x14ac:dyDescent="0.25">
      <c r="A140" s="1"/>
      <c r="B140" s="32"/>
      <c r="C140" s="32"/>
    </row>
    <row r="141" spans="1:3" x14ac:dyDescent="0.25">
      <c r="A141" s="1"/>
      <c r="B141" s="32"/>
      <c r="C141" s="32"/>
    </row>
    <row r="142" spans="1:3" x14ac:dyDescent="0.25">
      <c r="A142" s="1"/>
      <c r="B142" s="32"/>
      <c r="C142" s="32"/>
    </row>
    <row r="143" spans="1:3" x14ac:dyDescent="0.25">
      <c r="A143" s="1"/>
      <c r="B143" s="32"/>
      <c r="C143" s="32"/>
    </row>
    <row r="144" spans="1:3" x14ac:dyDescent="0.25">
      <c r="A144" s="1"/>
      <c r="B144" s="32"/>
      <c r="C144" s="32"/>
    </row>
    <row r="145" spans="1:3" x14ac:dyDescent="0.25">
      <c r="A145" s="1"/>
      <c r="B145" s="32"/>
      <c r="C145" s="32"/>
    </row>
    <row r="146" spans="1:3" x14ac:dyDescent="0.25">
      <c r="A146" s="1"/>
      <c r="B146" s="32"/>
      <c r="C146" s="32"/>
    </row>
    <row r="147" spans="1:3" x14ac:dyDescent="0.25">
      <c r="A147" s="1"/>
      <c r="B147" s="32"/>
      <c r="C147" s="32"/>
    </row>
    <row r="148" spans="1:3" x14ac:dyDescent="0.25">
      <c r="A148" s="1"/>
      <c r="B148" s="32"/>
      <c r="C148" s="32"/>
    </row>
    <row r="149" spans="1:3" x14ac:dyDescent="0.25">
      <c r="A149" s="1"/>
      <c r="B149" s="32"/>
      <c r="C149" s="32"/>
    </row>
    <row r="150" spans="1:3" x14ac:dyDescent="0.25">
      <c r="A150" s="1"/>
      <c r="B150" s="32"/>
      <c r="C150" s="32"/>
    </row>
    <row r="151" spans="1:3" x14ac:dyDescent="0.25">
      <c r="A151" s="1"/>
      <c r="B151" s="32"/>
      <c r="C151" s="32"/>
    </row>
    <row r="152" spans="1:3" x14ac:dyDescent="0.25">
      <c r="A152" s="1"/>
      <c r="B152" s="32"/>
      <c r="C152" s="32"/>
    </row>
    <row r="153" spans="1:3" x14ac:dyDescent="0.25">
      <c r="A153" s="1"/>
      <c r="B153" s="32"/>
      <c r="C153" s="32"/>
    </row>
    <row r="154" spans="1:3" x14ac:dyDescent="0.25">
      <c r="A154" s="1"/>
      <c r="B154" s="32"/>
      <c r="C154" s="32"/>
    </row>
    <row r="155" spans="1:3" x14ac:dyDescent="0.25">
      <c r="A155" s="1"/>
      <c r="B155" s="32"/>
      <c r="C155" s="32"/>
    </row>
    <row r="156" spans="1:3" x14ac:dyDescent="0.25">
      <c r="A156" s="1"/>
      <c r="B156" s="32"/>
      <c r="C156" s="32"/>
    </row>
    <row r="157" spans="1:3" x14ac:dyDescent="0.25">
      <c r="A157" s="1"/>
      <c r="B157" s="32"/>
      <c r="C157" s="32"/>
    </row>
    <row r="158" spans="1:3" x14ac:dyDescent="0.25">
      <c r="A158" s="1"/>
      <c r="B158" s="32"/>
      <c r="C158" s="32"/>
    </row>
    <row r="159" spans="1:3" x14ac:dyDescent="0.25">
      <c r="A159" s="1"/>
      <c r="B159" s="32"/>
      <c r="C159" s="32"/>
    </row>
    <row r="160" spans="1:3" x14ac:dyDescent="0.25">
      <c r="A160" s="1"/>
      <c r="B160" s="32"/>
      <c r="C160" s="32"/>
    </row>
    <row r="161" spans="1:3" x14ac:dyDescent="0.25">
      <c r="A161" s="1"/>
      <c r="B161" s="32"/>
      <c r="C161" s="32"/>
    </row>
    <row r="162" spans="1:3" x14ac:dyDescent="0.25">
      <c r="A162" s="1"/>
      <c r="B162" s="32"/>
      <c r="C162" s="32"/>
    </row>
    <row r="163" spans="1:3" x14ac:dyDescent="0.25">
      <c r="A163" s="1"/>
      <c r="B163" s="32"/>
      <c r="C163" s="32"/>
    </row>
    <row r="164" spans="1:3" x14ac:dyDescent="0.25">
      <c r="A164" s="1"/>
      <c r="B164" s="32"/>
      <c r="C164" s="32"/>
    </row>
    <row r="165" spans="1:3" x14ac:dyDescent="0.25">
      <c r="A165" s="1"/>
      <c r="B165" s="32"/>
      <c r="C165" s="32"/>
    </row>
    <row r="166" spans="1:3" x14ac:dyDescent="0.25">
      <c r="A166" s="1"/>
      <c r="B166" s="32"/>
      <c r="C166" s="32"/>
    </row>
    <row r="167" spans="1:3" x14ac:dyDescent="0.25">
      <c r="A167" s="1"/>
      <c r="B167" s="32"/>
      <c r="C167" s="32"/>
    </row>
    <row r="168" spans="1:3" x14ac:dyDescent="0.25">
      <c r="A168" s="1"/>
      <c r="B168" s="32"/>
      <c r="C168" s="32"/>
    </row>
    <row r="169" spans="1:3" x14ac:dyDescent="0.25">
      <c r="A169" s="1"/>
      <c r="B169" s="32"/>
      <c r="C169" s="32"/>
    </row>
    <row r="170" spans="1:3" x14ac:dyDescent="0.25">
      <c r="A170" s="1"/>
      <c r="B170" s="32"/>
      <c r="C170" s="32"/>
    </row>
    <row r="171" spans="1:3" x14ac:dyDescent="0.25">
      <c r="A171" s="1"/>
      <c r="B171" s="32"/>
      <c r="C171" s="32"/>
    </row>
    <row r="172" spans="1:3" x14ac:dyDescent="0.25">
      <c r="A172" s="1"/>
      <c r="B172" s="32"/>
      <c r="C172" s="32"/>
    </row>
    <row r="173" spans="1:3" x14ac:dyDescent="0.25">
      <c r="A173" s="1"/>
      <c r="B173" s="32"/>
      <c r="C173" s="32"/>
    </row>
    <row r="174" spans="1:3" x14ac:dyDescent="0.25">
      <c r="A174" s="1"/>
      <c r="B174" s="32"/>
      <c r="C174" s="32"/>
    </row>
    <row r="175" spans="1:3" x14ac:dyDescent="0.25">
      <c r="A175" s="1"/>
      <c r="B175" s="32"/>
      <c r="C175" s="32"/>
    </row>
    <row r="176" spans="1:3" x14ac:dyDescent="0.25">
      <c r="A176" s="1"/>
      <c r="B176" s="32"/>
      <c r="C176" s="32"/>
    </row>
    <row r="177" spans="1:3" x14ac:dyDescent="0.25">
      <c r="A177" s="1"/>
      <c r="B177" s="32"/>
      <c r="C177" s="32"/>
    </row>
    <row r="178" spans="1:3" x14ac:dyDescent="0.25">
      <c r="A178" s="1"/>
      <c r="B178" s="32"/>
      <c r="C178" s="32"/>
    </row>
    <row r="179" spans="1:3" x14ac:dyDescent="0.25">
      <c r="A179" s="1"/>
      <c r="B179" s="32"/>
      <c r="C179" s="32"/>
    </row>
    <row r="180" spans="1:3" x14ac:dyDescent="0.25">
      <c r="A180" s="1"/>
      <c r="B180" s="32"/>
      <c r="C180" s="32"/>
    </row>
    <row r="181" spans="1:3" x14ac:dyDescent="0.25">
      <c r="A181" s="1"/>
      <c r="B181" s="32"/>
      <c r="C181" s="32"/>
    </row>
    <row r="182" spans="1:3" x14ac:dyDescent="0.25">
      <c r="A182" s="1"/>
      <c r="B182" s="32"/>
      <c r="C182" s="32"/>
    </row>
    <row r="183" spans="1:3" x14ac:dyDescent="0.25">
      <c r="A183" s="1"/>
      <c r="B183" s="32"/>
      <c r="C183" s="32"/>
    </row>
    <row r="184" spans="1:3" x14ac:dyDescent="0.25">
      <c r="A184" s="1"/>
      <c r="B184" s="32"/>
      <c r="C184" s="32"/>
    </row>
    <row r="185" spans="1:3" x14ac:dyDescent="0.25">
      <c r="A185" s="1"/>
      <c r="B185" s="32"/>
      <c r="C185" s="32"/>
    </row>
    <row r="186" spans="1:3" x14ac:dyDescent="0.25">
      <c r="A186" s="1"/>
      <c r="B186" s="32"/>
      <c r="C186" s="32"/>
    </row>
    <row r="187" spans="1:3" x14ac:dyDescent="0.25">
      <c r="A187" s="1"/>
      <c r="B187" s="32"/>
      <c r="C187" s="32"/>
    </row>
    <row r="188" spans="1:3" x14ac:dyDescent="0.25">
      <c r="A188" s="1"/>
      <c r="B188" s="32"/>
      <c r="C188" s="32"/>
    </row>
    <row r="189" spans="1:3" x14ac:dyDescent="0.25">
      <c r="A189" s="1"/>
      <c r="B189" s="32"/>
      <c r="C189" s="32"/>
    </row>
    <row r="190" spans="1:3" x14ac:dyDescent="0.25">
      <c r="A190" s="1"/>
      <c r="B190" s="32"/>
      <c r="C190" s="32"/>
    </row>
    <row r="191" spans="1:3" x14ac:dyDescent="0.25">
      <c r="A191" s="1"/>
      <c r="B191" s="32"/>
      <c r="C191" s="32"/>
    </row>
    <row r="192" spans="1:3" x14ac:dyDescent="0.25">
      <c r="A192" s="1"/>
      <c r="B192" s="32"/>
      <c r="C192" s="32"/>
    </row>
    <row r="193" spans="1:3" x14ac:dyDescent="0.25">
      <c r="A193" s="1"/>
      <c r="B193" s="32"/>
      <c r="C193" s="32"/>
    </row>
    <row r="194" spans="1:3" x14ac:dyDescent="0.25">
      <c r="A194" s="1"/>
      <c r="B194" s="32"/>
      <c r="C194" s="32"/>
    </row>
    <row r="195" spans="1:3" x14ac:dyDescent="0.25">
      <c r="A195" s="1"/>
      <c r="B195" s="32"/>
      <c r="C195" s="32"/>
    </row>
    <row r="196" spans="1:3" x14ac:dyDescent="0.25">
      <c r="A196" s="1"/>
      <c r="B196" s="32"/>
      <c r="C196" s="32"/>
    </row>
    <row r="197" spans="1:3" x14ac:dyDescent="0.25">
      <c r="A197" s="1"/>
      <c r="B197" s="32"/>
      <c r="C197" s="32"/>
    </row>
    <row r="198" spans="1:3" x14ac:dyDescent="0.25">
      <c r="A198" s="1"/>
      <c r="B198" s="32"/>
      <c r="C198" s="32"/>
    </row>
    <row r="199" spans="1:3" x14ac:dyDescent="0.25">
      <c r="A199" s="1"/>
      <c r="B199" s="32"/>
      <c r="C199" s="32"/>
    </row>
    <row r="200" spans="1:3" x14ac:dyDescent="0.25">
      <c r="A200" s="1"/>
      <c r="B200" s="32"/>
      <c r="C200" s="32"/>
    </row>
    <row r="201" spans="1:3" x14ac:dyDescent="0.25">
      <c r="A201" s="1"/>
      <c r="B201" s="32"/>
      <c r="C201" s="32"/>
    </row>
    <row r="202" spans="1:3" x14ac:dyDescent="0.25">
      <c r="A202" s="1"/>
      <c r="B202" s="32"/>
      <c r="C202" s="32"/>
    </row>
    <row r="203" spans="1:3" x14ac:dyDescent="0.25">
      <c r="A203" s="1"/>
      <c r="B203" s="32"/>
      <c r="C203" s="32"/>
    </row>
    <row r="204" spans="1:3" x14ac:dyDescent="0.25">
      <c r="A204" s="1"/>
      <c r="B204" s="32"/>
      <c r="C204" s="32"/>
    </row>
    <row r="205" spans="1:3" x14ac:dyDescent="0.25">
      <c r="A205" s="1"/>
      <c r="B205" s="32"/>
      <c r="C205" s="32"/>
    </row>
    <row r="206" spans="1:3" x14ac:dyDescent="0.25">
      <c r="A206" s="1"/>
      <c r="B206" s="32"/>
      <c r="C206" s="32"/>
    </row>
    <row r="207" spans="1:3" x14ac:dyDescent="0.25">
      <c r="A207" s="1"/>
      <c r="B207" s="32"/>
      <c r="C207" s="32"/>
    </row>
    <row r="208" spans="1:3" x14ac:dyDescent="0.25">
      <c r="A208" s="1"/>
      <c r="B208" s="32"/>
      <c r="C208" s="32"/>
    </row>
    <row r="209" spans="1:3" x14ac:dyDescent="0.25">
      <c r="A209" s="1"/>
      <c r="B209" s="32"/>
      <c r="C209" s="32"/>
    </row>
    <row r="210" spans="1:3" x14ac:dyDescent="0.25">
      <c r="A210" s="1"/>
      <c r="B210" s="32"/>
      <c r="C210" s="32"/>
    </row>
    <row r="211" spans="1:3" x14ac:dyDescent="0.25">
      <c r="A211" s="1"/>
      <c r="B211" s="32"/>
      <c r="C211" s="32"/>
    </row>
    <row r="212" spans="1:3" x14ac:dyDescent="0.25">
      <c r="A212" s="1"/>
      <c r="B212" s="32"/>
      <c r="C212" s="32"/>
    </row>
    <row r="213" spans="1:3" x14ac:dyDescent="0.25">
      <c r="A213" s="1"/>
      <c r="B213" s="32"/>
      <c r="C213" s="32"/>
    </row>
    <row r="214" spans="1:3" x14ac:dyDescent="0.25">
      <c r="A214" s="1"/>
      <c r="B214" s="32"/>
      <c r="C214" s="32"/>
    </row>
    <row r="215" spans="1:3" x14ac:dyDescent="0.25">
      <c r="A215" s="1"/>
      <c r="B215" s="32"/>
      <c r="C215" s="32"/>
    </row>
    <row r="216" spans="1:3" x14ac:dyDescent="0.25">
      <c r="A216" s="1"/>
      <c r="B216" s="32"/>
      <c r="C216" s="32"/>
    </row>
    <row r="217" spans="1:3" x14ac:dyDescent="0.25">
      <c r="A217" s="1"/>
      <c r="B217" s="32"/>
      <c r="C217" s="32"/>
    </row>
    <row r="218" spans="1:3" x14ac:dyDescent="0.25">
      <c r="A218" s="1"/>
      <c r="B218" s="32"/>
      <c r="C218" s="32"/>
    </row>
    <row r="219" spans="1:3" x14ac:dyDescent="0.25">
      <c r="A219" s="1"/>
      <c r="B219" s="32"/>
      <c r="C219" s="32"/>
    </row>
    <row r="220" spans="1:3" x14ac:dyDescent="0.25">
      <c r="A220" s="1"/>
      <c r="B220" s="32"/>
      <c r="C220" s="32"/>
    </row>
    <row r="221" spans="1:3" x14ac:dyDescent="0.25">
      <c r="A221" s="1"/>
      <c r="B221" s="32"/>
      <c r="C221" s="32"/>
    </row>
    <row r="222" spans="1:3" x14ac:dyDescent="0.25">
      <c r="A222" s="1"/>
      <c r="B222" s="32"/>
      <c r="C222" s="32"/>
    </row>
    <row r="223" spans="1:3" x14ac:dyDescent="0.25">
      <c r="A223" s="1"/>
      <c r="B223" s="32"/>
      <c r="C223" s="32"/>
    </row>
    <row r="224" spans="1:3" x14ac:dyDescent="0.25">
      <c r="A224" s="1"/>
      <c r="B224" s="32"/>
      <c r="C224" s="32"/>
    </row>
    <row r="225" spans="1:3" x14ac:dyDescent="0.25">
      <c r="A225" s="1"/>
      <c r="B225" s="32"/>
      <c r="C225" s="32"/>
    </row>
    <row r="226" spans="1:3" x14ac:dyDescent="0.25">
      <c r="A226" s="1"/>
      <c r="B226" s="32"/>
      <c r="C226" s="32"/>
    </row>
    <row r="227" spans="1:3" x14ac:dyDescent="0.25">
      <c r="A227" s="1"/>
      <c r="B227" s="32"/>
      <c r="C227" s="32"/>
    </row>
    <row r="228" spans="1:3" x14ac:dyDescent="0.25">
      <c r="A228" s="1"/>
      <c r="B228" s="32"/>
      <c r="C228" s="32"/>
    </row>
    <row r="229" spans="1:3" x14ac:dyDescent="0.25">
      <c r="A229" s="1"/>
      <c r="B229" s="32"/>
      <c r="C229" s="32"/>
    </row>
    <row r="230" spans="1:3" x14ac:dyDescent="0.25">
      <c r="A230" s="1"/>
      <c r="B230" s="32"/>
      <c r="C230" s="32"/>
    </row>
    <row r="231" spans="1:3" x14ac:dyDescent="0.25">
      <c r="A231" s="1"/>
      <c r="B231" s="32"/>
      <c r="C231" s="32"/>
    </row>
    <row r="232" spans="1:3" x14ac:dyDescent="0.25">
      <c r="A232" s="1"/>
      <c r="B232" s="32"/>
      <c r="C232" s="32"/>
    </row>
    <row r="233" spans="1:3" x14ac:dyDescent="0.25">
      <c r="A233" s="1"/>
      <c r="B233" s="32"/>
      <c r="C233" s="32"/>
    </row>
    <row r="234" spans="1:3" x14ac:dyDescent="0.25">
      <c r="A234" s="1"/>
      <c r="B234" s="32"/>
      <c r="C234" s="32"/>
    </row>
    <row r="235" spans="1:3" x14ac:dyDescent="0.25">
      <c r="A235" s="1"/>
      <c r="B235" s="32"/>
      <c r="C235" s="32"/>
    </row>
    <row r="236" spans="1:3" x14ac:dyDescent="0.25">
      <c r="A236" s="1"/>
      <c r="B236" s="32"/>
      <c r="C236" s="32"/>
    </row>
    <row r="237" spans="1:3" x14ac:dyDescent="0.25">
      <c r="A237" s="1"/>
      <c r="B237" s="32"/>
      <c r="C237" s="32"/>
    </row>
    <row r="238" spans="1:3" x14ac:dyDescent="0.25">
      <c r="A238" s="1"/>
      <c r="B238" s="32"/>
      <c r="C238" s="32"/>
    </row>
    <row r="239" spans="1:3" x14ac:dyDescent="0.25">
      <c r="A239" s="1"/>
      <c r="B239" s="32"/>
      <c r="C239" s="32"/>
    </row>
    <row r="240" spans="1:3" x14ac:dyDescent="0.25">
      <c r="A240" s="1"/>
      <c r="B240" s="32"/>
      <c r="C240" s="32"/>
    </row>
    <row r="241" spans="1:3" x14ac:dyDescent="0.25">
      <c r="A241" s="1"/>
      <c r="B241" s="32"/>
      <c r="C241" s="32"/>
    </row>
    <row r="242" spans="1:3" x14ac:dyDescent="0.25">
      <c r="A242" s="1"/>
      <c r="B242" s="32"/>
      <c r="C242" s="32"/>
    </row>
    <row r="243" spans="1:3" x14ac:dyDescent="0.25">
      <c r="A243" s="1"/>
      <c r="B243" s="32"/>
      <c r="C243" s="32"/>
    </row>
    <row r="244" spans="1:3" x14ac:dyDescent="0.25">
      <c r="A244" s="1"/>
      <c r="B244" s="32"/>
      <c r="C244" s="32"/>
    </row>
    <row r="245" spans="1:3" x14ac:dyDescent="0.25">
      <c r="A245" s="1"/>
      <c r="B245" s="32"/>
      <c r="C245" s="32"/>
    </row>
    <row r="246" spans="1:3" x14ac:dyDescent="0.25">
      <c r="A246" s="1"/>
      <c r="B246" s="32"/>
      <c r="C246" s="32"/>
    </row>
    <row r="247" spans="1:3" x14ac:dyDescent="0.25">
      <c r="A247" s="1"/>
      <c r="B247" s="32"/>
      <c r="C247" s="32"/>
    </row>
    <row r="248" spans="1:3" x14ac:dyDescent="0.25">
      <c r="A248" s="1"/>
      <c r="B248" s="32"/>
      <c r="C248" s="32"/>
    </row>
    <row r="249" spans="1:3" x14ac:dyDescent="0.25">
      <c r="A249" s="1"/>
      <c r="B249" s="32"/>
      <c r="C249" s="32"/>
    </row>
    <row r="250" spans="1:3" x14ac:dyDescent="0.25">
      <c r="A250" s="1"/>
      <c r="B250" s="32"/>
      <c r="C250" s="32"/>
    </row>
    <row r="251" spans="1:3" x14ac:dyDescent="0.25">
      <c r="A251" s="1"/>
      <c r="B251" s="32"/>
      <c r="C251" s="32"/>
    </row>
    <row r="252" spans="1:3" x14ac:dyDescent="0.25">
      <c r="A252" s="1"/>
      <c r="B252" s="32"/>
      <c r="C252" s="32"/>
    </row>
    <row r="253" spans="1:3" x14ac:dyDescent="0.25">
      <c r="A253" s="1"/>
      <c r="B253" s="32"/>
      <c r="C253" s="32"/>
    </row>
    <row r="254" spans="1:3" x14ac:dyDescent="0.25">
      <c r="A254" s="1"/>
      <c r="B254" s="32"/>
      <c r="C254" s="32"/>
    </row>
    <row r="255" spans="1:3" x14ac:dyDescent="0.25">
      <c r="A255" s="1"/>
      <c r="B255" s="32"/>
      <c r="C255" s="32"/>
    </row>
    <row r="256" spans="1:3" x14ac:dyDescent="0.25">
      <c r="A256" s="1"/>
      <c r="B256" s="32"/>
      <c r="C256" s="32"/>
    </row>
    <row r="257" spans="1:3" x14ac:dyDescent="0.25">
      <c r="A257" s="1"/>
      <c r="B257" s="32"/>
      <c r="C257" s="32"/>
    </row>
    <row r="258" spans="1:3" x14ac:dyDescent="0.25">
      <c r="A258" s="1"/>
      <c r="B258" s="32"/>
      <c r="C258" s="32"/>
    </row>
    <row r="259" spans="1:3" x14ac:dyDescent="0.25">
      <c r="A259" s="1"/>
      <c r="B259" s="32"/>
      <c r="C259" s="32"/>
    </row>
    <row r="260" spans="1:3" x14ac:dyDescent="0.25">
      <c r="A260" s="1"/>
      <c r="B260" s="32"/>
      <c r="C260" s="32"/>
    </row>
    <row r="261" spans="1:3" x14ac:dyDescent="0.25">
      <c r="A261" s="1"/>
      <c r="B261" s="32"/>
      <c r="C261" s="32"/>
    </row>
    <row r="262" spans="1:3" x14ac:dyDescent="0.25">
      <c r="A262" s="1"/>
      <c r="B262" s="32"/>
      <c r="C262" s="32"/>
    </row>
    <row r="263" spans="1:3" x14ac:dyDescent="0.25">
      <c r="A263" s="1"/>
      <c r="B263" s="32"/>
      <c r="C263" s="32"/>
    </row>
    <row r="264" spans="1:3" x14ac:dyDescent="0.25">
      <c r="A264" s="1"/>
      <c r="B264" s="32"/>
      <c r="C264" s="32"/>
    </row>
    <row r="265" spans="1:3" x14ac:dyDescent="0.25">
      <c r="A265" s="1"/>
      <c r="B265" s="32"/>
      <c r="C265" s="32"/>
    </row>
    <row r="266" spans="1:3" x14ac:dyDescent="0.25">
      <c r="A266" s="1"/>
      <c r="B266" s="32"/>
      <c r="C266" s="32"/>
    </row>
    <row r="267" spans="1:3" x14ac:dyDescent="0.25">
      <c r="A267" s="1"/>
      <c r="B267" s="32"/>
      <c r="C267" s="32"/>
    </row>
    <row r="268" spans="1:3" x14ac:dyDescent="0.25">
      <c r="A268" s="1"/>
      <c r="B268" s="32"/>
      <c r="C268" s="32"/>
    </row>
    <row r="269" spans="1:3" x14ac:dyDescent="0.25">
      <c r="A269" s="1"/>
      <c r="B269" s="32"/>
      <c r="C269" s="32"/>
    </row>
    <row r="270" spans="1:3" x14ac:dyDescent="0.25">
      <c r="A270" s="1"/>
      <c r="B270" s="32"/>
      <c r="C270" s="32"/>
    </row>
    <row r="271" spans="1:3" x14ac:dyDescent="0.25">
      <c r="A271" s="1"/>
      <c r="B271" s="32"/>
      <c r="C271" s="32"/>
    </row>
    <row r="272" spans="1:3" x14ac:dyDescent="0.25">
      <c r="A272" s="1"/>
      <c r="B272" s="32"/>
      <c r="C272" s="32"/>
    </row>
    <row r="273" spans="1:3" x14ac:dyDescent="0.25">
      <c r="A273" s="1"/>
      <c r="B273" s="32"/>
      <c r="C273" s="32"/>
    </row>
    <row r="274" spans="1:3" x14ac:dyDescent="0.25">
      <c r="A274" s="1"/>
      <c r="B274" s="32"/>
      <c r="C274" s="32"/>
    </row>
    <row r="275" spans="1:3" x14ac:dyDescent="0.25">
      <c r="A275" s="1"/>
      <c r="B275" s="32"/>
      <c r="C275" s="32"/>
    </row>
    <row r="276" spans="1:3" x14ac:dyDescent="0.25">
      <c r="A276" s="1"/>
      <c r="B276" s="32"/>
      <c r="C276" s="32"/>
    </row>
    <row r="277" spans="1:3" x14ac:dyDescent="0.25">
      <c r="A277" s="1"/>
      <c r="B277" s="32"/>
      <c r="C277" s="32"/>
    </row>
    <row r="278" spans="1:3" x14ac:dyDescent="0.25">
      <c r="A278" s="1"/>
      <c r="B278" s="32"/>
      <c r="C278" s="32"/>
    </row>
    <row r="279" spans="1:3" x14ac:dyDescent="0.25">
      <c r="A279" s="1"/>
      <c r="B279" s="32"/>
      <c r="C279" s="32"/>
    </row>
    <row r="280" spans="1:3" x14ac:dyDescent="0.25">
      <c r="A280" s="1"/>
      <c r="B280" s="32"/>
      <c r="C280" s="32"/>
    </row>
    <row r="281" spans="1:3" x14ac:dyDescent="0.25">
      <c r="A281" s="1"/>
      <c r="B281" s="32"/>
      <c r="C281" s="32"/>
    </row>
    <row r="282" spans="1:3" x14ac:dyDescent="0.25">
      <c r="A282" s="1"/>
      <c r="B282" s="32"/>
      <c r="C282" s="32"/>
    </row>
    <row r="283" spans="1:3" x14ac:dyDescent="0.25">
      <c r="A283" s="1"/>
      <c r="B283" s="32"/>
      <c r="C283" s="32"/>
    </row>
    <row r="284" spans="1:3" x14ac:dyDescent="0.25">
      <c r="A284" s="1"/>
      <c r="B284" s="32"/>
      <c r="C284" s="32"/>
    </row>
    <row r="285" spans="1:3" x14ac:dyDescent="0.25">
      <c r="A285" s="1"/>
      <c r="B285" s="32"/>
      <c r="C285" s="32"/>
    </row>
    <row r="286" spans="1:3" x14ac:dyDescent="0.25">
      <c r="A286" s="1"/>
      <c r="B286" s="32"/>
      <c r="C286" s="32"/>
    </row>
    <row r="287" spans="1:3" x14ac:dyDescent="0.25">
      <c r="A287" s="1"/>
      <c r="B287" s="32"/>
      <c r="C287" s="32"/>
    </row>
    <row r="288" spans="1:3" x14ac:dyDescent="0.25">
      <c r="A288" s="1"/>
      <c r="B288" s="32"/>
      <c r="C288" s="32"/>
    </row>
    <row r="289" spans="1:3" x14ac:dyDescent="0.25">
      <c r="A289" s="1"/>
      <c r="B289" s="32"/>
      <c r="C289" s="32"/>
    </row>
    <row r="290" spans="1:3" x14ac:dyDescent="0.25">
      <c r="A290" s="1"/>
      <c r="B290" s="32"/>
      <c r="C290" s="32"/>
    </row>
    <row r="291" spans="1:3" x14ac:dyDescent="0.25">
      <c r="A291" s="1"/>
      <c r="B291" s="32"/>
      <c r="C291" s="32"/>
    </row>
    <row r="292" spans="1:3" x14ac:dyDescent="0.25">
      <c r="A292" s="1"/>
      <c r="B292" s="32"/>
      <c r="C292" s="32"/>
    </row>
    <row r="293" spans="1:3" x14ac:dyDescent="0.25">
      <c r="A293" s="1"/>
      <c r="B293" s="32"/>
      <c r="C293" s="32"/>
    </row>
    <row r="294" spans="1:3" x14ac:dyDescent="0.25">
      <c r="A294" s="1"/>
      <c r="B294" s="32"/>
      <c r="C294" s="32"/>
    </row>
    <row r="295" spans="1:3" x14ac:dyDescent="0.25">
      <c r="A295" s="1"/>
      <c r="B295" s="32"/>
      <c r="C295" s="32"/>
    </row>
    <row r="296" spans="1:3" x14ac:dyDescent="0.25">
      <c r="A296" s="1"/>
      <c r="B296" s="32"/>
      <c r="C296" s="32"/>
    </row>
    <row r="297" spans="1:3" x14ac:dyDescent="0.25">
      <c r="A297" s="1"/>
      <c r="B297" s="32"/>
      <c r="C297" s="32"/>
    </row>
    <row r="298" spans="1:3" x14ac:dyDescent="0.25">
      <c r="A298" s="1"/>
      <c r="B298" s="32"/>
      <c r="C298" s="32"/>
    </row>
    <row r="299" spans="1:3" x14ac:dyDescent="0.25">
      <c r="A299" s="1"/>
      <c r="B299" s="32"/>
      <c r="C299" s="32"/>
    </row>
    <row r="300" spans="1:3" x14ac:dyDescent="0.25">
      <c r="A300" s="1"/>
      <c r="B300" s="32"/>
      <c r="C300" s="32"/>
    </row>
    <row r="301" spans="1:3" x14ac:dyDescent="0.25">
      <c r="A301" s="2"/>
      <c r="B301" s="2"/>
      <c r="C301" s="32"/>
    </row>
    <row r="302" spans="1:3" x14ac:dyDescent="0.25">
      <c r="A302" s="2"/>
      <c r="B302" s="2"/>
      <c r="C302" s="32"/>
    </row>
    <row r="303" spans="1:3" x14ac:dyDescent="0.25">
      <c r="A303" s="2"/>
      <c r="B303" s="2"/>
      <c r="C303" s="32"/>
    </row>
    <row r="304" spans="1:3" x14ac:dyDescent="0.25">
      <c r="A304" s="2"/>
      <c r="B304" s="2"/>
      <c r="C304" s="32"/>
    </row>
    <row r="305" spans="2:3" x14ac:dyDescent="0.25">
      <c r="B305" s="1"/>
      <c r="C305" s="32"/>
    </row>
    <row r="306" spans="2:3" x14ac:dyDescent="0.25">
      <c r="B306" s="1"/>
      <c r="C306" s="32"/>
    </row>
    <row r="307" spans="2:3" x14ac:dyDescent="0.25">
      <c r="B307" s="1"/>
      <c r="C307" s="32"/>
    </row>
    <row r="308" spans="2:3" x14ac:dyDescent="0.25">
      <c r="B308" s="1"/>
      <c r="C308" s="32"/>
    </row>
    <row r="309" spans="2:3" x14ac:dyDescent="0.25">
      <c r="B309" s="1"/>
      <c r="C309" s="32"/>
    </row>
    <row r="310" spans="2:3" x14ac:dyDescent="0.25">
      <c r="B310" s="1"/>
      <c r="C310" s="32"/>
    </row>
    <row r="311" spans="2:3" x14ac:dyDescent="0.25">
      <c r="B311" s="1"/>
      <c r="C311" s="32"/>
    </row>
    <row r="312" spans="2:3" x14ac:dyDescent="0.25">
      <c r="B312" s="1"/>
      <c r="C312" s="32"/>
    </row>
    <row r="313" spans="2:3" x14ac:dyDescent="0.25">
      <c r="B313" s="1"/>
      <c r="C313" s="32"/>
    </row>
    <row r="314" spans="2:3" x14ac:dyDescent="0.25">
      <c r="B314" s="1"/>
      <c r="C314" s="32"/>
    </row>
    <row r="315" spans="2:3" x14ac:dyDescent="0.25">
      <c r="B315" s="1"/>
      <c r="C315" s="32"/>
    </row>
    <row r="316" spans="2:3" x14ac:dyDescent="0.25">
      <c r="B316" s="1"/>
      <c r="C316" s="32"/>
    </row>
    <row r="317" spans="2:3" x14ac:dyDescent="0.25">
      <c r="B317" s="2"/>
      <c r="C317" s="2"/>
    </row>
    <row r="318" spans="2:3" x14ac:dyDescent="0.25">
      <c r="B318" s="2"/>
      <c r="C318" s="2"/>
    </row>
    <row r="319" spans="2:3" x14ac:dyDescent="0.25">
      <c r="B319" s="2"/>
      <c r="C319" s="2"/>
    </row>
    <row r="320" spans="2:3" x14ac:dyDescent="0.25">
      <c r="B320" s="2"/>
      <c r="C320" s="2"/>
    </row>
  </sheetData>
  <pageMargins left="0.7" right="0.7" top="0.75" bottom="0.75" header="0.3" footer="0.3"/>
  <ignoredErrors>
    <ignoredError sqref="B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465BF-85C8-463D-BCB2-E66DD818E601}">
  <dimension ref="A1:H265"/>
  <sheetViews>
    <sheetView zoomScale="115" zoomScaleNormal="115" workbookViewId="0">
      <selection activeCell="E1" sqref="E1:E1048576"/>
    </sheetView>
  </sheetViews>
  <sheetFormatPr defaultRowHeight="15" x14ac:dyDescent="0.25"/>
  <cols>
    <col min="1" max="1" width="16.85546875" bestFit="1" customWidth="1"/>
    <col min="2" max="2" width="30.28515625" bestFit="1" customWidth="1"/>
    <col min="3" max="3" width="17.42578125" bestFit="1" customWidth="1"/>
    <col min="4" max="4" width="12.42578125" bestFit="1" customWidth="1"/>
    <col min="5" max="5" width="13.85546875" bestFit="1" customWidth="1"/>
  </cols>
  <sheetData>
    <row r="1" spans="1:5" x14ac:dyDescent="0.25">
      <c r="A1" t="s">
        <v>26</v>
      </c>
      <c r="B1" t="s">
        <v>794</v>
      </c>
      <c r="C1" t="s">
        <v>801</v>
      </c>
      <c r="D1" t="s">
        <v>795</v>
      </c>
      <c r="E1" t="s">
        <v>799</v>
      </c>
    </row>
    <row r="2" spans="1:5" x14ac:dyDescent="0.25">
      <c r="A2" t="s">
        <v>797</v>
      </c>
      <c r="B2" s="3" t="s">
        <v>796</v>
      </c>
      <c r="C2" s="276">
        <v>2.09</v>
      </c>
      <c r="D2" t="s">
        <v>800</v>
      </c>
      <c r="E2" s="282" t="s">
        <v>798</v>
      </c>
    </row>
    <row r="3" spans="1:5" x14ac:dyDescent="0.25">
      <c r="B3" s="3" t="s">
        <v>160</v>
      </c>
      <c r="C3" s="276">
        <v>1.1399999999999999</v>
      </c>
      <c r="D3" t="s">
        <v>800</v>
      </c>
      <c r="E3" s="282" t="s">
        <v>798</v>
      </c>
    </row>
    <row r="4" spans="1:5" x14ac:dyDescent="0.25">
      <c r="B4" s="3" t="s">
        <v>161</v>
      </c>
      <c r="C4" s="276">
        <v>9.65</v>
      </c>
      <c r="D4" t="s">
        <v>800</v>
      </c>
      <c r="E4" s="282" t="s">
        <v>798</v>
      </c>
    </row>
    <row r="5" spans="1:5" x14ac:dyDescent="0.25">
      <c r="B5" s="3" t="s">
        <v>329</v>
      </c>
      <c r="C5" s="276">
        <v>4.5599999999999996</v>
      </c>
      <c r="D5" t="s">
        <v>800</v>
      </c>
      <c r="E5" s="282" t="s">
        <v>798</v>
      </c>
    </row>
    <row r="6" spans="1:5" x14ac:dyDescent="0.25">
      <c r="B6" s="3" t="s">
        <v>330</v>
      </c>
      <c r="C6" s="276">
        <v>10.26</v>
      </c>
      <c r="D6" t="s">
        <v>800</v>
      </c>
      <c r="E6" s="282" t="s">
        <v>798</v>
      </c>
    </row>
    <row r="7" spans="1:5" x14ac:dyDescent="0.25">
      <c r="B7" s="3" t="s">
        <v>331</v>
      </c>
      <c r="C7" s="276">
        <v>2.8</v>
      </c>
      <c r="D7" t="s">
        <v>800</v>
      </c>
      <c r="E7" s="282" t="s">
        <v>798</v>
      </c>
    </row>
    <row r="8" spans="1:5" x14ac:dyDescent="0.25">
      <c r="B8" s="3" t="s">
        <v>332</v>
      </c>
      <c r="C8" s="276">
        <v>6.58</v>
      </c>
      <c r="D8" t="s">
        <v>800</v>
      </c>
      <c r="E8" s="282" t="s">
        <v>798</v>
      </c>
    </row>
    <row r="9" spans="1:5" x14ac:dyDescent="0.25">
      <c r="B9" s="3" t="s">
        <v>333</v>
      </c>
      <c r="C9" s="276">
        <v>2.2400000000000002</v>
      </c>
      <c r="D9" t="s">
        <v>800</v>
      </c>
      <c r="E9" s="282" t="s">
        <v>798</v>
      </c>
    </row>
    <row r="10" spans="1:5" x14ac:dyDescent="0.25">
      <c r="B10" s="3" t="s">
        <v>334</v>
      </c>
      <c r="C10" s="276">
        <v>2.39</v>
      </c>
      <c r="D10" t="s">
        <v>800</v>
      </c>
      <c r="E10" s="282" t="s">
        <v>798</v>
      </c>
    </row>
    <row r="11" spans="1:5" x14ac:dyDescent="0.25">
      <c r="B11" s="3" t="s">
        <v>335</v>
      </c>
      <c r="C11" s="276">
        <v>4.75</v>
      </c>
      <c r="D11" t="s">
        <v>800</v>
      </c>
      <c r="E11" s="282" t="s">
        <v>798</v>
      </c>
    </row>
    <row r="12" spans="1:5" x14ac:dyDescent="0.25">
      <c r="B12" s="3" t="s">
        <v>336</v>
      </c>
      <c r="C12" s="276">
        <v>4.7</v>
      </c>
      <c r="D12" t="s">
        <v>800</v>
      </c>
      <c r="E12" s="282" t="s">
        <v>798</v>
      </c>
    </row>
    <row r="13" spans="1:5" x14ac:dyDescent="0.25">
      <c r="B13" s="3" t="s">
        <v>337</v>
      </c>
      <c r="C13" s="276">
        <f>C14-SUM(C2:C12)</f>
        <v>2.2499999999999929</v>
      </c>
      <c r="D13" t="s">
        <v>800</v>
      </c>
      <c r="E13" s="282" t="s">
        <v>798</v>
      </c>
    </row>
    <row r="14" spans="1:5" x14ac:dyDescent="0.25">
      <c r="B14" s="3" t="s">
        <v>37</v>
      </c>
      <c r="C14" s="276">
        <v>53.41</v>
      </c>
      <c r="E14" s="282"/>
    </row>
    <row r="15" spans="1:5" x14ac:dyDescent="0.25">
      <c r="B15" s="299"/>
    </row>
    <row r="16" spans="1:5" x14ac:dyDescent="0.25">
      <c r="A16" t="s">
        <v>715</v>
      </c>
      <c r="B16" s="299" t="str">
        <f>AKENR!A2</f>
        <v>Erzin DGKÇS</v>
      </c>
      <c r="C16" s="25">
        <v>904</v>
      </c>
      <c r="D16" t="s">
        <v>524</v>
      </c>
      <c r="E16" s="282" t="s">
        <v>802</v>
      </c>
    </row>
    <row r="17" spans="1:5" x14ac:dyDescent="0.25">
      <c r="B17" s="299" t="str">
        <f>AKENR!A3</f>
        <v>Bulam HES</v>
      </c>
      <c r="C17" s="25">
        <v>7</v>
      </c>
      <c r="D17" t="s">
        <v>800</v>
      </c>
      <c r="E17" s="282" t="s">
        <v>802</v>
      </c>
    </row>
    <row r="18" spans="1:5" x14ac:dyDescent="0.25">
      <c r="B18" s="299" t="str">
        <f>AKENR!A4</f>
        <v>Burç Bendi HES</v>
      </c>
      <c r="C18" s="25">
        <v>28</v>
      </c>
      <c r="D18" t="s">
        <v>800</v>
      </c>
      <c r="E18" s="282" t="s">
        <v>802</v>
      </c>
    </row>
    <row r="19" spans="1:5" x14ac:dyDescent="0.25">
      <c r="B19" s="299" t="str">
        <f>AKENR!A5</f>
        <v>Uluabat HES</v>
      </c>
      <c r="C19" s="25">
        <v>100</v>
      </c>
      <c r="D19" t="s">
        <v>800</v>
      </c>
      <c r="E19" s="282" t="s">
        <v>802</v>
      </c>
    </row>
    <row r="20" spans="1:5" x14ac:dyDescent="0.25">
      <c r="B20" s="299" t="str">
        <f>AKENR!A6</f>
        <v>Feke I HES</v>
      </c>
      <c r="C20" s="25">
        <v>30</v>
      </c>
      <c r="D20" t="s">
        <v>800</v>
      </c>
      <c r="E20" s="282" t="s">
        <v>802</v>
      </c>
    </row>
    <row r="21" spans="1:5" x14ac:dyDescent="0.25">
      <c r="B21" s="299" t="str">
        <f>AKENR!A7</f>
        <v>Feke II HES</v>
      </c>
      <c r="C21" s="25">
        <v>70</v>
      </c>
      <c r="D21" t="s">
        <v>800</v>
      </c>
      <c r="E21" s="282" t="s">
        <v>802</v>
      </c>
    </row>
    <row r="22" spans="1:5" x14ac:dyDescent="0.25">
      <c r="B22" s="299" t="str">
        <f>AKENR!A8</f>
        <v>Gökkaya HES</v>
      </c>
      <c r="C22" s="25">
        <v>30</v>
      </c>
      <c r="D22" t="s">
        <v>800</v>
      </c>
      <c r="E22" s="282" t="s">
        <v>802</v>
      </c>
    </row>
    <row r="23" spans="1:5" x14ac:dyDescent="0.25">
      <c r="B23" s="299" t="str">
        <f>AKENR!A9</f>
        <v>Himmetli HES</v>
      </c>
      <c r="C23" s="25">
        <v>27</v>
      </c>
      <c r="D23" t="s">
        <v>800</v>
      </c>
      <c r="E23" s="282" t="s">
        <v>802</v>
      </c>
    </row>
    <row r="24" spans="1:5" x14ac:dyDescent="0.25">
      <c r="B24" s="299" t="str">
        <f>AKENR!A10</f>
        <v>Ayyıldız RES</v>
      </c>
      <c r="C24" s="25">
        <v>28</v>
      </c>
      <c r="D24" t="s">
        <v>800</v>
      </c>
      <c r="E24" s="282" t="s">
        <v>802</v>
      </c>
    </row>
    <row r="25" spans="1:5" x14ac:dyDescent="0.25">
      <c r="B25" s="299" t="str">
        <f>AKENR!A11</f>
        <v>Toplam</v>
      </c>
      <c r="C25" s="25">
        <v>1224</v>
      </c>
    </row>
    <row r="26" spans="1:5" x14ac:dyDescent="0.25">
      <c r="B26" s="299"/>
    </row>
    <row r="27" spans="1:5" x14ac:dyDescent="0.25">
      <c r="A27" t="s">
        <v>717</v>
      </c>
      <c r="B27" s="300" t="s">
        <v>45</v>
      </c>
      <c r="C27" s="34">
        <v>6.66</v>
      </c>
      <c r="D27" s="46" t="s">
        <v>524</v>
      </c>
      <c r="E27" s="283" t="s">
        <v>802</v>
      </c>
    </row>
    <row r="28" spans="1:5" x14ac:dyDescent="0.25">
      <c r="B28" s="300" t="s">
        <v>55</v>
      </c>
      <c r="C28" s="34">
        <v>28.48</v>
      </c>
      <c r="D28" s="46" t="s">
        <v>524</v>
      </c>
      <c r="E28" s="283" t="s">
        <v>802</v>
      </c>
    </row>
    <row r="29" spans="1:5" x14ac:dyDescent="0.25">
      <c r="B29" s="300" t="s">
        <v>46</v>
      </c>
      <c r="C29" s="34">
        <v>26.28</v>
      </c>
      <c r="D29" s="46" t="s">
        <v>524</v>
      </c>
      <c r="E29" s="283" t="s">
        <v>802</v>
      </c>
    </row>
    <row r="30" spans="1:5" x14ac:dyDescent="0.25">
      <c r="B30" s="300" t="s">
        <v>47</v>
      </c>
      <c r="C30" s="34">
        <v>48.77</v>
      </c>
      <c r="D30" s="46" t="s">
        <v>524</v>
      </c>
      <c r="E30" s="283" t="s">
        <v>802</v>
      </c>
    </row>
    <row r="31" spans="1:5" x14ac:dyDescent="0.25">
      <c r="B31" s="300" t="s">
        <v>48</v>
      </c>
      <c r="C31" s="34">
        <v>8.6999999999999993</v>
      </c>
      <c r="D31" s="46" t="s">
        <v>524</v>
      </c>
      <c r="E31" s="283" t="s">
        <v>802</v>
      </c>
    </row>
    <row r="32" spans="1:5" x14ac:dyDescent="0.25">
      <c r="B32" s="300" t="s">
        <v>49</v>
      </c>
      <c r="C32" s="34">
        <v>9.19</v>
      </c>
      <c r="D32" s="46" t="s">
        <v>524</v>
      </c>
      <c r="E32" s="283" t="s">
        <v>802</v>
      </c>
    </row>
    <row r="33" spans="2:5" x14ac:dyDescent="0.25">
      <c r="B33" s="300" t="s">
        <v>50</v>
      </c>
      <c r="C33" s="34">
        <v>11.45</v>
      </c>
      <c r="D33" s="46" t="s">
        <v>524</v>
      </c>
      <c r="E33" s="283" t="s">
        <v>802</v>
      </c>
    </row>
    <row r="34" spans="2:5" x14ac:dyDescent="0.25">
      <c r="B34" s="300" t="s">
        <v>51</v>
      </c>
      <c r="C34" s="34">
        <v>7.08</v>
      </c>
      <c r="D34" s="46" t="s">
        <v>524</v>
      </c>
      <c r="E34" s="283" t="s">
        <v>802</v>
      </c>
    </row>
    <row r="35" spans="2:5" x14ac:dyDescent="0.25">
      <c r="B35" s="300" t="s">
        <v>56</v>
      </c>
      <c r="C35" s="34">
        <v>31.61</v>
      </c>
      <c r="D35" s="46" t="s">
        <v>524</v>
      </c>
      <c r="E35" s="283" t="s">
        <v>802</v>
      </c>
    </row>
    <row r="36" spans="2:5" x14ac:dyDescent="0.25">
      <c r="B36" s="300" t="s">
        <v>57</v>
      </c>
      <c r="C36" s="34">
        <v>28.89</v>
      </c>
      <c r="D36" s="46" t="s">
        <v>524</v>
      </c>
      <c r="E36" s="283" t="s">
        <v>802</v>
      </c>
    </row>
    <row r="37" spans="2:5" x14ac:dyDescent="0.25">
      <c r="B37" s="300" t="s">
        <v>58</v>
      </c>
      <c r="C37" s="34">
        <v>3.53</v>
      </c>
      <c r="D37" s="46" t="s">
        <v>524</v>
      </c>
      <c r="E37" s="283" t="s">
        <v>802</v>
      </c>
    </row>
    <row r="38" spans="2:5" x14ac:dyDescent="0.25">
      <c r="B38" s="300" t="s">
        <v>59</v>
      </c>
      <c r="C38" s="34">
        <v>18.11</v>
      </c>
      <c r="D38" t="s">
        <v>800</v>
      </c>
      <c r="E38" s="283" t="s">
        <v>802</v>
      </c>
    </row>
    <row r="39" spans="2:5" x14ac:dyDescent="0.25">
      <c r="B39" s="300" t="s">
        <v>60</v>
      </c>
      <c r="C39" s="34">
        <v>9.6199999999999992</v>
      </c>
      <c r="D39" t="s">
        <v>800</v>
      </c>
      <c r="E39" s="283" t="s">
        <v>802</v>
      </c>
    </row>
    <row r="40" spans="2:5" x14ac:dyDescent="0.25">
      <c r="B40" s="300" t="s">
        <v>61</v>
      </c>
      <c r="C40" s="34">
        <v>12.1</v>
      </c>
      <c r="D40" t="s">
        <v>800</v>
      </c>
      <c r="E40" s="283" t="s">
        <v>802</v>
      </c>
    </row>
    <row r="41" spans="2:5" x14ac:dyDescent="0.25">
      <c r="B41" s="300" t="s">
        <v>62</v>
      </c>
      <c r="C41" s="34">
        <v>12.09</v>
      </c>
      <c r="D41" t="s">
        <v>800</v>
      </c>
      <c r="E41" s="283" t="s">
        <v>802</v>
      </c>
    </row>
    <row r="42" spans="2:5" x14ac:dyDescent="0.25">
      <c r="B42" s="300" t="s">
        <v>63</v>
      </c>
      <c r="C42" s="34">
        <v>12.1</v>
      </c>
      <c r="D42" t="s">
        <v>800</v>
      </c>
      <c r="E42" s="283" t="s">
        <v>802</v>
      </c>
    </row>
    <row r="43" spans="2:5" x14ac:dyDescent="0.25">
      <c r="B43" s="300" t="s">
        <v>64</v>
      </c>
      <c r="C43" s="34">
        <v>12.08</v>
      </c>
      <c r="D43" t="s">
        <v>800</v>
      </c>
      <c r="E43" s="283" t="s">
        <v>802</v>
      </c>
    </row>
    <row r="44" spans="2:5" x14ac:dyDescent="0.25">
      <c r="B44" s="300" t="s">
        <v>65</v>
      </c>
      <c r="C44" s="34">
        <v>12.7</v>
      </c>
      <c r="D44" t="s">
        <v>800</v>
      </c>
      <c r="E44" s="283" t="s">
        <v>802</v>
      </c>
    </row>
    <row r="45" spans="2:5" x14ac:dyDescent="0.25">
      <c r="B45" s="300" t="s">
        <v>66</v>
      </c>
      <c r="C45" s="34">
        <v>12.97</v>
      </c>
      <c r="D45" t="s">
        <v>800</v>
      </c>
      <c r="E45" s="283" t="s">
        <v>802</v>
      </c>
    </row>
    <row r="46" spans="2:5" x14ac:dyDescent="0.25">
      <c r="B46" s="300" t="s">
        <v>67</v>
      </c>
      <c r="C46" s="34">
        <v>12.97</v>
      </c>
      <c r="D46" t="s">
        <v>800</v>
      </c>
      <c r="E46" s="283" t="s">
        <v>802</v>
      </c>
    </row>
    <row r="47" spans="2:5" x14ac:dyDescent="0.25">
      <c r="B47" s="300" t="s">
        <v>803</v>
      </c>
      <c r="C47" s="34">
        <v>7.42</v>
      </c>
      <c r="D47" t="s">
        <v>524</v>
      </c>
      <c r="E47" s="283" t="s">
        <v>798</v>
      </c>
    </row>
    <row r="48" spans="2:5" x14ac:dyDescent="0.25">
      <c r="B48" s="300" t="s">
        <v>69</v>
      </c>
      <c r="C48" s="34">
        <v>0.56000000000000005</v>
      </c>
      <c r="D48" t="s">
        <v>800</v>
      </c>
      <c r="E48" s="283" t="s">
        <v>798</v>
      </c>
    </row>
    <row r="49" spans="2:5" x14ac:dyDescent="0.25">
      <c r="B49" s="300" t="s">
        <v>804</v>
      </c>
      <c r="C49" s="34">
        <v>11.22</v>
      </c>
      <c r="D49" t="s">
        <v>800</v>
      </c>
      <c r="E49" s="283" t="s">
        <v>798</v>
      </c>
    </row>
    <row r="50" spans="2:5" x14ac:dyDescent="0.25">
      <c r="B50" s="300" t="s">
        <v>805</v>
      </c>
      <c r="C50" s="34">
        <v>5.58</v>
      </c>
      <c r="D50" t="s">
        <v>800</v>
      </c>
      <c r="E50" s="283" t="s">
        <v>798</v>
      </c>
    </row>
    <row r="51" spans="2:5" x14ac:dyDescent="0.25">
      <c r="B51" s="300" t="s">
        <v>806</v>
      </c>
      <c r="C51" s="34">
        <v>66.599999999999994</v>
      </c>
      <c r="D51" t="s">
        <v>800</v>
      </c>
      <c r="E51" s="283" t="s">
        <v>802</v>
      </c>
    </row>
    <row r="52" spans="2:5" x14ac:dyDescent="0.25">
      <c r="B52" s="300" t="s">
        <v>807</v>
      </c>
      <c r="C52" s="34">
        <v>23.3</v>
      </c>
      <c r="D52" t="s">
        <v>800</v>
      </c>
      <c r="E52" s="283" t="s">
        <v>802</v>
      </c>
    </row>
    <row r="53" spans="2:5" x14ac:dyDescent="0.25">
      <c r="B53" s="300" t="s">
        <v>73</v>
      </c>
      <c r="C53" s="34">
        <v>60.1</v>
      </c>
      <c r="D53" t="s">
        <v>800</v>
      </c>
      <c r="E53" s="283" t="s">
        <v>802</v>
      </c>
    </row>
    <row r="54" spans="2:5" x14ac:dyDescent="0.25">
      <c r="B54" s="300" t="s">
        <v>74</v>
      </c>
      <c r="C54" s="34">
        <v>121.8</v>
      </c>
      <c r="D54" t="s">
        <v>800</v>
      </c>
      <c r="E54" s="283" t="s">
        <v>802</v>
      </c>
    </row>
    <row r="55" spans="2:5" x14ac:dyDescent="0.25">
      <c r="B55" s="300" t="s">
        <v>75</v>
      </c>
      <c r="C55" s="34">
        <v>80.5</v>
      </c>
      <c r="D55" t="s">
        <v>800</v>
      </c>
      <c r="E55" s="283" t="s">
        <v>802</v>
      </c>
    </row>
    <row r="56" spans="2:5" x14ac:dyDescent="0.25">
      <c r="B56" s="300" t="s">
        <v>76</v>
      </c>
      <c r="C56" s="34">
        <v>98.8</v>
      </c>
      <c r="D56" t="s">
        <v>800</v>
      </c>
      <c r="E56" s="283" t="s">
        <v>802</v>
      </c>
    </row>
    <row r="57" spans="2:5" x14ac:dyDescent="0.25">
      <c r="B57" s="300" t="s">
        <v>77</v>
      </c>
      <c r="C57" s="34">
        <v>12.96</v>
      </c>
      <c r="D57" t="s">
        <v>800</v>
      </c>
      <c r="E57" s="283" t="s">
        <v>798</v>
      </c>
    </row>
    <row r="58" spans="2:5" x14ac:dyDescent="0.25">
      <c r="B58" s="300" t="s">
        <v>78</v>
      </c>
      <c r="C58" s="34">
        <v>5.76</v>
      </c>
      <c r="D58" t="s">
        <v>800</v>
      </c>
      <c r="E58" s="283" t="s">
        <v>798</v>
      </c>
    </row>
    <row r="59" spans="2:5" x14ac:dyDescent="0.25">
      <c r="B59" s="300" t="s">
        <v>79</v>
      </c>
      <c r="C59" s="34">
        <v>8.41</v>
      </c>
      <c r="D59" t="s">
        <v>800</v>
      </c>
      <c r="E59" s="283" t="s">
        <v>798</v>
      </c>
    </row>
    <row r="60" spans="2:5" x14ac:dyDescent="0.25">
      <c r="B60" s="300" t="s">
        <v>80</v>
      </c>
      <c r="C60" s="34">
        <v>4.95</v>
      </c>
      <c r="D60" t="s">
        <v>800</v>
      </c>
      <c r="E60" s="283" t="s">
        <v>798</v>
      </c>
    </row>
    <row r="61" spans="2:5" x14ac:dyDescent="0.25">
      <c r="B61" s="300" t="s">
        <v>81</v>
      </c>
      <c r="C61" s="34">
        <v>39.94</v>
      </c>
      <c r="D61" t="s">
        <v>800</v>
      </c>
      <c r="E61" s="283" t="s">
        <v>798</v>
      </c>
    </row>
    <row r="62" spans="2:5" x14ac:dyDescent="0.25">
      <c r="B62" s="300" t="s">
        <v>82</v>
      </c>
      <c r="C62" s="34">
        <v>13.26</v>
      </c>
      <c r="D62" t="s">
        <v>800</v>
      </c>
      <c r="E62" s="283" t="s">
        <v>798</v>
      </c>
    </row>
    <row r="63" spans="2:5" x14ac:dyDescent="0.25">
      <c r="B63" s="300" t="s">
        <v>37</v>
      </c>
      <c r="C63" s="41">
        <v>886.54</v>
      </c>
      <c r="D63" t="s">
        <v>800</v>
      </c>
    </row>
    <row r="64" spans="2:5" x14ac:dyDescent="0.25">
      <c r="B64" s="299"/>
    </row>
    <row r="65" spans="1:8" x14ac:dyDescent="0.25">
      <c r="A65" t="s">
        <v>808</v>
      </c>
      <c r="B65" s="299" t="s">
        <v>88</v>
      </c>
      <c r="C65" s="25">
        <v>900</v>
      </c>
      <c r="D65" t="s">
        <v>524</v>
      </c>
      <c r="E65" s="283" t="s">
        <v>802</v>
      </c>
    </row>
    <row r="66" spans="1:8" x14ac:dyDescent="0.25">
      <c r="B66" s="299" t="s">
        <v>89</v>
      </c>
      <c r="C66" s="25">
        <v>270</v>
      </c>
      <c r="D66" t="s">
        <v>809</v>
      </c>
      <c r="E66" s="283" t="s">
        <v>802</v>
      </c>
    </row>
    <row r="67" spans="1:8" x14ac:dyDescent="0.25">
      <c r="B67" s="299" t="s">
        <v>90</v>
      </c>
      <c r="C67" s="25">
        <v>188</v>
      </c>
      <c r="D67" t="s">
        <v>543</v>
      </c>
      <c r="E67" s="283" t="s">
        <v>798</v>
      </c>
    </row>
    <row r="68" spans="1:8" x14ac:dyDescent="0.25">
      <c r="B68" s="299" t="s">
        <v>91</v>
      </c>
      <c r="C68" s="25">
        <v>370</v>
      </c>
      <c r="D68" t="s">
        <v>543</v>
      </c>
      <c r="E68" s="283" t="s">
        <v>798</v>
      </c>
    </row>
    <row r="69" spans="1:8" x14ac:dyDescent="0.25">
      <c r="B69" s="299" t="s">
        <v>92</v>
      </c>
      <c r="C69" s="25">
        <v>60</v>
      </c>
      <c r="D69" t="s">
        <v>543</v>
      </c>
      <c r="E69" s="285" t="s">
        <v>798</v>
      </c>
    </row>
    <row r="70" spans="1:8" x14ac:dyDescent="0.25">
      <c r="B70" s="299" t="s">
        <v>93</v>
      </c>
      <c r="C70" s="25">
        <v>298</v>
      </c>
      <c r="D70" t="s">
        <v>543</v>
      </c>
      <c r="E70" s="283" t="s">
        <v>798</v>
      </c>
    </row>
    <row r="71" spans="1:8" x14ac:dyDescent="0.25">
      <c r="B71" s="299" t="s">
        <v>94</v>
      </c>
      <c r="C71" s="25">
        <v>492</v>
      </c>
      <c r="D71" s="284" t="s">
        <v>543</v>
      </c>
      <c r="E71" s="283" t="s">
        <v>798</v>
      </c>
    </row>
    <row r="72" spans="1:8" x14ac:dyDescent="0.25">
      <c r="B72" s="299" t="s">
        <v>95</v>
      </c>
      <c r="C72" s="25">
        <v>430</v>
      </c>
      <c r="D72" t="s">
        <v>543</v>
      </c>
      <c r="E72" s="283" t="s">
        <v>798</v>
      </c>
    </row>
    <row r="73" spans="1:8" x14ac:dyDescent="0.25">
      <c r="B73" s="299" t="s">
        <v>96</v>
      </c>
      <c r="C73" s="25">
        <v>50</v>
      </c>
      <c r="D73" t="s">
        <v>543</v>
      </c>
      <c r="E73" s="283" t="s">
        <v>798</v>
      </c>
    </row>
    <row r="74" spans="1:8" x14ac:dyDescent="0.25">
      <c r="B74" s="299" t="s">
        <v>37</v>
      </c>
      <c r="C74" s="25">
        <v>3058</v>
      </c>
    </row>
    <row r="75" spans="1:8" x14ac:dyDescent="0.25">
      <c r="B75" s="299"/>
      <c r="H75" s="288"/>
    </row>
    <row r="76" spans="1:8" x14ac:dyDescent="0.25">
      <c r="A76" t="s">
        <v>719</v>
      </c>
      <c r="B76" s="301" t="s">
        <v>248</v>
      </c>
      <c r="C76" s="35">
        <v>46.2</v>
      </c>
      <c r="D76" s="25" t="s">
        <v>524</v>
      </c>
      <c r="E76" s="283" t="s">
        <v>802</v>
      </c>
      <c r="H76" s="288"/>
    </row>
    <row r="77" spans="1:8" x14ac:dyDescent="0.25">
      <c r="B77" s="301" t="s">
        <v>249</v>
      </c>
      <c r="C77" s="35">
        <v>48</v>
      </c>
      <c r="D77" s="25" t="s">
        <v>524</v>
      </c>
      <c r="E77" s="282" t="s">
        <v>802</v>
      </c>
      <c r="H77" s="290"/>
    </row>
    <row r="78" spans="1:8" x14ac:dyDescent="0.25">
      <c r="B78" s="301" t="s">
        <v>247</v>
      </c>
      <c r="C78" s="35">
        <v>8.84</v>
      </c>
      <c r="D78" s="25" t="s">
        <v>524</v>
      </c>
      <c r="E78" s="282" t="s">
        <v>802</v>
      </c>
      <c r="H78" s="291"/>
    </row>
    <row r="79" spans="1:8" x14ac:dyDescent="0.25">
      <c r="B79" s="302" t="s">
        <v>810</v>
      </c>
      <c r="C79" s="35">
        <v>3.15</v>
      </c>
      <c r="D79" s="25" t="s">
        <v>524</v>
      </c>
      <c r="E79" s="282" t="s">
        <v>802</v>
      </c>
      <c r="H79" s="292"/>
    </row>
    <row r="80" spans="1:8" x14ac:dyDescent="0.25">
      <c r="B80" s="301" t="s">
        <v>251</v>
      </c>
      <c r="C80" s="35">
        <v>62</v>
      </c>
      <c r="D80" s="25" t="s">
        <v>524</v>
      </c>
      <c r="E80" s="282" t="s">
        <v>802</v>
      </c>
      <c r="H80" s="295"/>
    </row>
    <row r="81" spans="2:8" x14ac:dyDescent="0.25">
      <c r="B81" s="301" t="s">
        <v>252</v>
      </c>
      <c r="C81" s="35">
        <v>10.95</v>
      </c>
      <c r="D81" s="25" t="s">
        <v>524</v>
      </c>
      <c r="E81" s="282" t="s">
        <v>802</v>
      </c>
      <c r="H81" s="292"/>
    </row>
    <row r="82" spans="2:8" x14ac:dyDescent="0.25">
      <c r="B82" s="302" t="s">
        <v>253</v>
      </c>
      <c r="C82" s="35">
        <v>37.5</v>
      </c>
      <c r="D82" s="25" t="s">
        <v>524</v>
      </c>
      <c r="E82" s="282" t="s">
        <v>802</v>
      </c>
      <c r="H82" s="294"/>
    </row>
    <row r="83" spans="2:8" x14ac:dyDescent="0.25">
      <c r="B83" s="301" t="s">
        <v>254</v>
      </c>
      <c r="C83" s="35">
        <v>99</v>
      </c>
      <c r="D83" t="s">
        <v>800</v>
      </c>
      <c r="E83" s="282" t="s">
        <v>802</v>
      </c>
      <c r="H83" s="292"/>
    </row>
    <row r="84" spans="2:8" ht="15.75" thickBot="1" x14ac:dyDescent="0.3">
      <c r="B84" s="303" t="s">
        <v>255</v>
      </c>
      <c r="C84" s="35">
        <v>63</v>
      </c>
      <c r="D84" s="25" t="s">
        <v>524</v>
      </c>
      <c r="E84" s="282" t="s">
        <v>802</v>
      </c>
      <c r="H84" s="293"/>
    </row>
    <row r="85" spans="2:8" x14ac:dyDescent="0.25">
      <c r="B85" s="301" t="s">
        <v>265</v>
      </c>
      <c r="C85" s="82">
        <v>49.2</v>
      </c>
      <c r="D85" s="25" t="s">
        <v>524</v>
      </c>
      <c r="E85" s="282" t="s">
        <v>802</v>
      </c>
      <c r="H85" s="296"/>
    </row>
    <row r="86" spans="2:8" x14ac:dyDescent="0.25">
      <c r="B86" s="301" t="s">
        <v>256</v>
      </c>
      <c r="C86" s="35">
        <v>49.1</v>
      </c>
      <c r="D86" s="25" t="s">
        <v>524</v>
      </c>
      <c r="E86" s="282" t="s">
        <v>802</v>
      </c>
      <c r="H86" s="294"/>
    </row>
    <row r="87" spans="2:8" x14ac:dyDescent="0.25">
      <c r="B87" s="301" t="s">
        <v>257</v>
      </c>
      <c r="C87" s="35">
        <v>49.6</v>
      </c>
      <c r="D87" s="25" t="s">
        <v>524</v>
      </c>
      <c r="E87" s="282" t="s">
        <v>802</v>
      </c>
      <c r="H87" s="292"/>
    </row>
    <row r="88" spans="2:8" x14ac:dyDescent="0.25">
      <c r="B88" s="301" t="s">
        <v>258</v>
      </c>
      <c r="C88" s="83">
        <v>49.99</v>
      </c>
      <c r="D88" s="25" t="s">
        <v>524</v>
      </c>
      <c r="E88" s="282" t="s">
        <v>802</v>
      </c>
      <c r="H88" s="294"/>
    </row>
    <row r="89" spans="2:8" x14ac:dyDescent="0.25">
      <c r="B89" s="302" t="s">
        <v>811</v>
      </c>
      <c r="C89" s="287">
        <v>275.60000000000002</v>
      </c>
      <c r="D89" t="s">
        <v>800</v>
      </c>
      <c r="E89" s="282" t="s">
        <v>802</v>
      </c>
      <c r="H89" s="297"/>
    </row>
    <row r="90" spans="2:8" x14ac:dyDescent="0.25">
      <c r="B90" s="301" t="s">
        <v>259</v>
      </c>
      <c r="C90" s="35">
        <v>54</v>
      </c>
      <c r="D90" t="s">
        <v>800</v>
      </c>
      <c r="E90" s="282" t="s">
        <v>802</v>
      </c>
      <c r="H90" s="296"/>
    </row>
    <row r="91" spans="2:8" x14ac:dyDescent="0.25">
      <c r="B91" s="301" t="s">
        <v>260</v>
      </c>
      <c r="C91" s="35">
        <v>145.5</v>
      </c>
      <c r="D91" t="s">
        <v>800</v>
      </c>
      <c r="E91" s="282" t="s">
        <v>798</v>
      </c>
      <c r="H91" s="295"/>
    </row>
    <row r="92" spans="2:8" x14ac:dyDescent="0.25">
      <c r="B92" s="301" t="s">
        <v>261</v>
      </c>
      <c r="C92" s="35">
        <v>57</v>
      </c>
      <c r="D92" t="s">
        <v>800</v>
      </c>
      <c r="E92" s="282" t="s">
        <v>802</v>
      </c>
      <c r="H92" s="289"/>
    </row>
    <row r="93" spans="2:8" x14ac:dyDescent="0.25">
      <c r="B93" s="301" t="s">
        <v>262</v>
      </c>
      <c r="C93" s="35">
        <v>6.85</v>
      </c>
      <c r="D93" s="25" t="s">
        <v>524</v>
      </c>
      <c r="E93" s="282" t="s">
        <v>798</v>
      </c>
    </row>
    <row r="94" spans="2:8" x14ac:dyDescent="0.25">
      <c r="B94" s="302" t="s">
        <v>812</v>
      </c>
      <c r="C94" s="35">
        <v>82.15</v>
      </c>
      <c r="D94" s="25" t="s">
        <v>524</v>
      </c>
      <c r="E94" s="282" t="s">
        <v>802</v>
      </c>
    </row>
    <row r="95" spans="2:8" x14ac:dyDescent="0.25">
      <c r="B95" s="301" t="s">
        <v>37</v>
      </c>
      <c r="C95" s="35">
        <f>SUM(C76:C94)</f>
        <v>1197.6300000000001</v>
      </c>
    </row>
    <row r="96" spans="2:8" x14ac:dyDescent="0.25">
      <c r="B96" s="299"/>
    </row>
    <row r="97" spans="1:5" x14ac:dyDescent="0.25">
      <c r="A97" t="s">
        <v>762</v>
      </c>
      <c r="B97" s="299" t="s">
        <v>266</v>
      </c>
      <c r="C97" s="25">
        <v>31.5</v>
      </c>
      <c r="D97" t="s">
        <v>524</v>
      </c>
      <c r="E97" s="282" t="s">
        <v>802</v>
      </c>
    </row>
    <row r="98" spans="1:5" x14ac:dyDescent="0.25">
      <c r="B98" s="299" t="s">
        <v>267</v>
      </c>
      <c r="C98" s="25">
        <v>20</v>
      </c>
      <c r="D98" t="s">
        <v>800</v>
      </c>
      <c r="E98" s="282" t="s">
        <v>802</v>
      </c>
    </row>
    <row r="99" spans="1:5" x14ac:dyDescent="0.25">
      <c r="B99" s="299" t="s">
        <v>184</v>
      </c>
      <c r="C99" s="25">
        <v>30.75</v>
      </c>
      <c r="D99" t="s">
        <v>524</v>
      </c>
      <c r="E99" s="282" t="s">
        <v>802</v>
      </c>
    </row>
    <row r="100" spans="1:5" x14ac:dyDescent="0.25">
      <c r="B100" s="299" t="s">
        <v>268</v>
      </c>
      <c r="C100" s="25">
        <v>24</v>
      </c>
      <c r="D100" t="s">
        <v>524</v>
      </c>
      <c r="E100" s="282" t="s">
        <v>802</v>
      </c>
    </row>
    <row r="101" spans="1:5" x14ac:dyDescent="0.25">
      <c r="B101" s="299" t="s">
        <v>269</v>
      </c>
      <c r="C101" s="25">
        <v>68.86</v>
      </c>
      <c r="D101" t="s">
        <v>524</v>
      </c>
      <c r="E101" s="282" t="s">
        <v>802</v>
      </c>
    </row>
    <row r="102" spans="1:5" x14ac:dyDescent="0.25">
      <c r="B102" s="299" t="s">
        <v>270</v>
      </c>
      <c r="C102" s="25">
        <v>27.6</v>
      </c>
      <c r="D102" t="s">
        <v>800</v>
      </c>
      <c r="E102" s="282" t="s">
        <v>802</v>
      </c>
    </row>
    <row r="103" spans="1:5" x14ac:dyDescent="0.25">
      <c r="B103" s="299" t="s">
        <v>37</v>
      </c>
      <c r="C103" s="25">
        <v>202.71</v>
      </c>
    </row>
    <row r="104" spans="1:5" x14ac:dyDescent="0.25">
      <c r="B104" s="299"/>
    </row>
    <row r="105" spans="1:5" x14ac:dyDescent="0.25">
      <c r="A105" t="s">
        <v>813</v>
      </c>
      <c r="B105" s="299" t="s">
        <v>311</v>
      </c>
      <c r="C105" s="25">
        <v>15.23</v>
      </c>
      <c r="D105" t="s">
        <v>800</v>
      </c>
      <c r="E105" s="283" t="s">
        <v>802</v>
      </c>
    </row>
    <row r="106" spans="1:5" x14ac:dyDescent="0.25">
      <c r="B106" s="299" t="s">
        <v>312</v>
      </c>
      <c r="C106" s="25">
        <v>24.19</v>
      </c>
      <c r="D106" t="s">
        <v>800</v>
      </c>
      <c r="E106" s="283" t="s">
        <v>798</v>
      </c>
    </row>
    <row r="107" spans="1:5" x14ac:dyDescent="0.25">
      <c r="B107" s="299" t="s">
        <v>318</v>
      </c>
      <c r="C107" s="25">
        <v>15.83</v>
      </c>
      <c r="D107" t="s">
        <v>800</v>
      </c>
      <c r="E107" s="283" t="s">
        <v>802</v>
      </c>
    </row>
    <row r="108" spans="1:5" x14ac:dyDescent="0.25">
      <c r="B108" s="299" t="s">
        <v>313</v>
      </c>
      <c r="C108" s="25">
        <v>24</v>
      </c>
      <c r="D108" t="s">
        <v>800</v>
      </c>
      <c r="E108" s="283" t="s">
        <v>798</v>
      </c>
    </row>
    <row r="109" spans="1:5" x14ac:dyDescent="0.25">
      <c r="B109" s="299" t="s">
        <v>314</v>
      </c>
      <c r="C109" s="25">
        <v>24</v>
      </c>
      <c r="D109" t="s">
        <v>800</v>
      </c>
      <c r="E109" s="283" t="s">
        <v>798</v>
      </c>
    </row>
    <row r="110" spans="1:5" x14ac:dyDescent="0.25">
      <c r="B110" s="299" t="s">
        <v>315</v>
      </c>
      <c r="C110" s="25">
        <v>0.98</v>
      </c>
      <c r="D110" t="s">
        <v>800</v>
      </c>
      <c r="E110" s="283" t="s">
        <v>798</v>
      </c>
    </row>
    <row r="111" spans="1:5" x14ac:dyDescent="0.25">
      <c r="B111" s="299" t="s">
        <v>316</v>
      </c>
      <c r="C111" s="25">
        <v>24</v>
      </c>
      <c r="D111" t="s">
        <v>524</v>
      </c>
      <c r="E111" s="283" t="s">
        <v>802</v>
      </c>
    </row>
    <row r="112" spans="1:5" x14ac:dyDescent="0.25">
      <c r="B112" s="299" t="s">
        <v>317</v>
      </c>
      <c r="C112" s="25">
        <v>2.0499999999999998</v>
      </c>
      <c r="D112" t="s">
        <v>800</v>
      </c>
      <c r="E112" s="283" t="s">
        <v>798</v>
      </c>
    </row>
    <row r="113" spans="1:5" x14ac:dyDescent="0.25">
      <c r="B113" s="299" t="s">
        <v>319</v>
      </c>
      <c r="C113" s="25">
        <v>8.3000000000000007</v>
      </c>
      <c r="D113" t="s">
        <v>800</v>
      </c>
      <c r="E113" s="283" t="s">
        <v>798</v>
      </c>
    </row>
    <row r="114" spans="1:5" x14ac:dyDescent="0.25">
      <c r="B114" s="299" t="s">
        <v>320</v>
      </c>
      <c r="C114" s="25">
        <v>10.1</v>
      </c>
      <c r="D114" t="s">
        <v>800</v>
      </c>
      <c r="E114" s="283" t="s">
        <v>798</v>
      </c>
    </row>
    <row r="115" spans="1:5" x14ac:dyDescent="0.25">
      <c r="B115" s="299" t="s">
        <v>321</v>
      </c>
      <c r="C115" s="25">
        <v>4.7</v>
      </c>
      <c r="D115" t="s">
        <v>800</v>
      </c>
      <c r="E115" s="283" t="s">
        <v>798</v>
      </c>
    </row>
    <row r="116" spans="1:5" x14ac:dyDescent="0.25">
      <c r="B116" s="299" t="s">
        <v>322</v>
      </c>
      <c r="C116" s="25">
        <v>8.1999999999999993</v>
      </c>
      <c r="D116" t="s">
        <v>800</v>
      </c>
      <c r="E116" s="283" t="s">
        <v>798</v>
      </c>
    </row>
    <row r="117" spans="1:5" x14ac:dyDescent="0.25">
      <c r="B117" s="299" t="s">
        <v>323</v>
      </c>
      <c r="C117" s="25">
        <v>7.1</v>
      </c>
      <c r="D117" t="s">
        <v>800</v>
      </c>
      <c r="E117" s="283" t="s">
        <v>798</v>
      </c>
    </row>
    <row r="118" spans="1:5" x14ac:dyDescent="0.25">
      <c r="B118" s="299" t="s">
        <v>324</v>
      </c>
      <c r="C118" s="25">
        <v>9.6</v>
      </c>
      <c r="D118" t="s">
        <v>800</v>
      </c>
      <c r="E118" s="283" t="s">
        <v>798</v>
      </c>
    </row>
    <row r="119" spans="1:5" x14ac:dyDescent="0.25">
      <c r="B119" s="299" t="s">
        <v>37</v>
      </c>
      <c r="C119" s="25">
        <v>178.28</v>
      </c>
    </row>
    <row r="120" spans="1:5" x14ac:dyDescent="0.25">
      <c r="B120" s="299"/>
    </row>
    <row r="121" spans="1:5" x14ac:dyDescent="0.25">
      <c r="A121" t="s">
        <v>763</v>
      </c>
      <c r="B121" s="299" t="s">
        <v>288</v>
      </c>
      <c r="C121" s="25">
        <v>2.4</v>
      </c>
      <c r="D121" t="s">
        <v>800</v>
      </c>
      <c r="E121" s="283" t="s">
        <v>802</v>
      </c>
    </row>
    <row r="122" spans="1:5" x14ac:dyDescent="0.25">
      <c r="B122" s="299" t="s">
        <v>289</v>
      </c>
      <c r="C122" s="25">
        <v>8.484</v>
      </c>
      <c r="D122" t="s">
        <v>800</v>
      </c>
      <c r="E122" s="283" t="s">
        <v>802</v>
      </c>
    </row>
    <row r="123" spans="1:5" x14ac:dyDescent="0.25">
      <c r="B123" s="299" t="s">
        <v>290</v>
      </c>
      <c r="C123" s="25">
        <v>11.31</v>
      </c>
      <c r="D123" t="s">
        <v>800</v>
      </c>
      <c r="E123" s="283" t="s">
        <v>802</v>
      </c>
    </row>
    <row r="124" spans="1:5" x14ac:dyDescent="0.25">
      <c r="B124" s="299" t="s">
        <v>291</v>
      </c>
      <c r="C124" s="25">
        <v>18.782</v>
      </c>
      <c r="D124" t="s">
        <v>800</v>
      </c>
      <c r="E124" s="283" t="s">
        <v>802</v>
      </c>
    </row>
    <row r="125" spans="1:5" x14ac:dyDescent="0.25">
      <c r="B125" s="299" t="s">
        <v>280</v>
      </c>
      <c r="C125" s="25">
        <v>32.340000000000003</v>
      </c>
      <c r="D125" t="s">
        <v>800</v>
      </c>
      <c r="E125" s="283" t="s">
        <v>798</v>
      </c>
    </row>
    <row r="126" spans="1:5" x14ac:dyDescent="0.25">
      <c r="B126" s="299" t="s">
        <v>292</v>
      </c>
      <c r="C126" s="25">
        <v>8.484</v>
      </c>
      <c r="D126" t="s">
        <v>800</v>
      </c>
      <c r="E126" s="283" t="s">
        <v>802</v>
      </c>
    </row>
    <row r="127" spans="1:5" x14ac:dyDescent="0.25">
      <c r="B127" s="299" t="s">
        <v>282</v>
      </c>
      <c r="C127" s="25">
        <v>2.8279999999999998</v>
      </c>
      <c r="D127" t="s">
        <v>814</v>
      </c>
      <c r="E127" s="283" t="s">
        <v>798</v>
      </c>
    </row>
    <row r="128" spans="1:5" x14ac:dyDescent="0.25">
      <c r="B128" s="299" t="s">
        <v>293</v>
      </c>
      <c r="C128" s="25">
        <v>13.6</v>
      </c>
      <c r="D128" t="s">
        <v>800</v>
      </c>
      <c r="E128" s="283" t="s">
        <v>802</v>
      </c>
    </row>
    <row r="129" spans="1:5" x14ac:dyDescent="0.25">
      <c r="B129" s="299" t="s">
        <v>294</v>
      </c>
      <c r="C129" s="25">
        <v>4.0839999999999996</v>
      </c>
      <c r="D129" t="s">
        <v>800</v>
      </c>
      <c r="E129" s="283" t="s">
        <v>802</v>
      </c>
    </row>
    <row r="130" spans="1:5" x14ac:dyDescent="0.25">
      <c r="B130" s="299" t="s">
        <v>278</v>
      </c>
      <c r="C130" s="25">
        <v>2.8</v>
      </c>
      <c r="D130" t="s">
        <v>800</v>
      </c>
      <c r="E130" s="283" t="s">
        <v>802</v>
      </c>
    </row>
    <row r="131" spans="1:5" x14ac:dyDescent="0.25">
      <c r="B131" s="299" t="s">
        <v>277</v>
      </c>
      <c r="C131" s="25">
        <v>2.4</v>
      </c>
      <c r="D131" t="s">
        <v>524</v>
      </c>
      <c r="E131" s="283" t="s">
        <v>798</v>
      </c>
    </row>
    <row r="132" spans="1:5" x14ac:dyDescent="0.25">
      <c r="B132" s="299" t="s">
        <v>295</v>
      </c>
      <c r="C132" s="25">
        <v>2.4</v>
      </c>
      <c r="D132" t="s">
        <v>524</v>
      </c>
      <c r="E132" s="282" t="s">
        <v>802</v>
      </c>
    </row>
    <row r="133" spans="1:5" x14ac:dyDescent="0.25">
      <c r="B133" s="299" t="s">
        <v>281</v>
      </c>
      <c r="C133" s="25">
        <v>2.8279999999999998</v>
      </c>
      <c r="D133" t="s">
        <v>800</v>
      </c>
      <c r="E133" s="282" t="s">
        <v>802</v>
      </c>
    </row>
    <row r="134" spans="1:5" x14ac:dyDescent="0.25">
      <c r="B134" s="299" t="s">
        <v>279</v>
      </c>
      <c r="C134" s="25">
        <v>4.2</v>
      </c>
      <c r="D134" t="s">
        <v>800</v>
      </c>
      <c r="E134" s="282" t="s">
        <v>798</v>
      </c>
    </row>
    <row r="135" spans="1:5" x14ac:dyDescent="0.25">
      <c r="B135" s="299" t="s">
        <v>37</v>
      </c>
      <c r="C135" s="25">
        <v>116.94000000000001</v>
      </c>
    </row>
    <row r="136" spans="1:5" x14ac:dyDescent="0.25">
      <c r="B136" s="299"/>
    </row>
    <row r="137" spans="1:5" x14ac:dyDescent="0.25">
      <c r="A137" t="s">
        <v>714</v>
      </c>
      <c r="B137" s="299" t="s">
        <v>112</v>
      </c>
      <c r="C137" s="25">
        <v>330</v>
      </c>
      <c r="D137" t="s">
        <v>524</v>
      </c>
      <c r="E137" s="282" t="s">
        <v>802</v>
      </c>
    </row>
    <row r="138" spans="1:5" x14ac:dyDescent="0.25">
      <c r="B138" s="299" t="s">
        <v>37</v>
      </c>
      <c r="C138" s="25">
        <v>330</v>
      </c>
    </row>
    <row r="139" spans="1:5" x14ac:dyDescent="0.25">
      <c r="B139" s="299"/>
    </row>
    <row r="140" spans="1:5" x14ac:dyDescent="0.25">
      <c r="A140" t="s">
        <v>703</v>
      </c>
      <c r="B140" s="299" t="s">
        <v>114</v>
      </c>
      <c r="C140" s="25">
        <v>314.68</v>
      </c>
      <c r="D140" t="s">
        <v>524</v>
      </c>
      <c r="E140" s="282" t="s">
        <v>802</v>
      </c>
    </row>
    <row r="141" spans="1:5" x14ac:dyDescent="0.25">
      <c r="B141" s="299" t="s">
        <v>37</v>
      </c>
      <c r="C141" s="25">
        <v>314.68</v>
      </c>
    </row>
    <row r="142" spans="1:5" x14ac:dyDescent="0.25">
      <c r="B142" s="299"/>
    </row>
    <row r="143" spans="1:5" x14ac:dyDescent="0.25">
      <c r="A143" t="s">
        <v>815</v>
      </c>
      <c r="B143" s="299" t="s">
        <v>135</v>
      </c>
      <c r="C143" s="25">
        <v>20.5</v>
      </c>
      <c r="D143" t="s">
        <v>800</v>
      </c>
      <c r="E143" s="282" t="s">
        <v>802</v>
      </c>
    </row>
    <row r="144" spans="1:5" x14ac:dyDescent="0.25">
      <c r="B144" s="299" t="s">
        <v>136</v>
      </c>
      <c r="C144" s="25">
        <v>13.7</v>
      </c>
      <c r="D144" t="s">
        <v>800</v>
      </c>
      <c r="E144" s="282" t="s">
        <v>798</v>
      </c>
    </row>
    <row r="145" spans="1:5" x14ac:dyDescent="0.25">
      <c r="B145" s="299" t="s">
        <v>137</v>
      </c>
      <c r="C145" s="25">
        <v>10.8</v>
      </c>
      <c r="D145" t="s">
        <v>800</v>
      </c>
      <c r="E145" s="282" t="s">
        <v>802</v>
      </c>
    </row>
    <row r="146" spans="1:5" x14ac:dyDescent="0.25">
      <c r="B146" s="299" t="s">
        <v>138</v>
      </c>
      <c r="C146" s="25">
        <v>65.5</v>
      </c>
      <c r="D146" t="s">
        <v>800</v>
      </c>
      <c r="E146" s="282" t="s">
        <v>798</v>
      </c>
    </row>
    <row r="147" spans="1:5" x14ac:dyDescent="0.25">
      <c r="B147" s="299" t="s">
        <v>37</v>
      </c>
      <c r="C147" s="25">
        <v>110.5</v>
      </c>
    </row>
    <row r="148" spans="1:5" x14ac:dyDescent="0.25">
      <c r="B148" s="299"/>
    </row>
    <row r="149" spans="1:5" x14ac:dyDescent="0.25">
      <c r="A149" t="s">
        <v>816</v>
      </c>
      <c r="B149" s="299" t="s">
        <v>215</v>
      </c>
      <c r="C149" s="25">
        <v>130</v>
      </c>
      <c r="D149" t="s">
        <v>524</v>
      </c>
      <c r="E149" s="282" t="s">
        <v>802</v>
      </c>
    </row>
    <row r="150" spans="1:5" x14ac:dyDescent="0.25">
      <c r="B150" s="299" t="s">
        <v>213</v>
      </c>
      <c r="C150" s="25">
        <v>7.02</v>
      </c>
      <c r="D150" t="s">
        <v>800</v>
      </c>
      <c r="E150" s="282" t="s">
        <v>798</v>
      </c>
    </row>
    <row r="151" spans="1:5" x14ac:dyDescent="0.25">
      <c r="B151" s="299" t="s">
        <v>214</v>
      </c>
      <c r="C151" s="25">
        <v>4.08</v>
      </c>
      <c r="D151" t="s">
        <v>800</v>
      </c>
      <c r="E151" s="282" t="s">
        <v>798</v>
      </c>
    </row>
    <row r="152" spans="1:5" x14ac:dyDescent="0.25">
      <c r="B152" s="299" t="s">
        <v>216</v>
      </c>
      <c r="C152" s="25">
        <v>4.8</v>
      </c>
      <c r="D152" t="s">
        <v>800</v>
      </c>
      <c r="E152" s="282" t="s">
        <v>798</v>
      </c>
    </row>
    <row r="153" spans="1:5" x14ac:dyDescent="0.25">
      <c r="B153" s="299" t="s">
        <v>217</v>
      </c>
      <c r="C153" s="25">
        <v>4.59</v>
      </c>
      <c r="D153" t="s">
        <v>800</v>
      </c>
      <c r="E153" s="282" t="s">
        <v>798</v>
      </c>
    </row>
    <row r="154" spans="1:5" x14ac:dyDescent="0.25">
      <c r="B154" s="299" t="s">
        <v>218</v>
      </c>
      <c r="C154" s="25">
        <v>4.3600000000000003</v>
      </c>
      <c r="D154" t="s">
        <v>524</v>
      </c>
      <c r="E154" s="282" t="s">
        <v>798</v>
      </c>
    </row>
    <row r="155" spans="1:5" x14ac:dyDescent="0.25">
      <c r="B155" s="299" t="s">
        <v>219</v>
      </c>
      <c r="C155" s="25">
        <v>2.09</v>
      </c>
      <c r="D155" t="s">
        <v>800</v>
      </c>
      <c r="E155" s="282" t="s">
        <v>798</v>
      </c>
    </row>
    <row r="156" spans="1:5" x14ac:dyDescent="0.25">
      <c r="B156" s="299" t="s">
        <v>221</v>
      </c>
      <c r="C156" s="25">
        <v>3</v>
      </c>
      <c r="D156" t="s">
        <v>800</v>
      </c>
      <c r="E156" s="282" t="s">
        <v>798</v>
      </c>
    </row>
    <row r="157" spans="1:5" x14ac:dyDescent="0.25">
      <c r="B157" s="299" t="s">
        <v>222</v>
      </c>
      <c r="C157" s="25">
        <v>3</v>
      </c>
      <c r="D157" t="s">
        <v>800</v>
      </c>
      <c r="E157" s="282" t="s">
        <v>798</v>
      </c>
    </row>
    <row r="158" spans="1:5" x14ac:dyDescent="0.25">
      <c r="B158" s="299" t="s">
        <v>224</v>
      </c>
      <c r="C158" s="25">
        <v>1.5</v>
      </c>
      <c r="D158" t="s">
        <v>800</v>
      </c>
      <c r="E158" s="282" t="s">
        <v>798</v>
      </c>
    </row>
    <row r="159" spans="1:5" x14ac:dyDescent="0.25">
      <c r="B159" s="299" t="s">
        <v>223</v>
      </c>
      <c r="C159" s="25">
        <v>14.9</v>
      </c>
      <c r="D159" t="s">
        <v>800</v>
      </c>
      <c r="E159" s="282" t="s">
        <v>798</v>
      </c>
    </row>
    <row r="160" spans="1:5" x14ac:dyDescent="0.25">
      <c r="B160" s="299" t="s">
        <v>37</v>
      </c>
      <c r="C160" s="25">
        <v>179.34000000000006</v>
      </c>
    </row>
    <row r="161" spans="1:2" x14ac:dyDescent="0.25">
      <c r="B161" s="299"/>
    </row>
    <row r="162" spans="1:2" x14ac:dyDescent="0.25">
      <c r="A162" t="s">
        <v>766</v>
      </c>
      <c r="B162" s="299" t="s">
        <v>178</v>
      </c>
    </row>
    <row r="163" spans="1:2" x14ac:dyDescent="0.25">
      <c r="B163" s="299" t="s">
        <v>817</v>
      </c>
    </row>
    <row r="164" spans="1:2" x14ac:dyDescent="0.25">
      <c r="B164" s="299" t="s">
        <v>818</v>
      </c>
    </row>
    <row r="165" spans="1:2" x14ac:dyDescent="0.25">
      <c r="B165" s="299" t="s">
        <v>181</v>
      </c>
    </row>
    <row r="166" spans="1:2" x14ac:dyDescent="0.25">
      <c r="B166" s="299" t="s">
        <v>182</v>
      </c>
    </row>
    <row r="167" spans="1:2" x14ac:dyDescent="0.25">
      <c r="B167" s="299" t="s">
        <v>183</v>
      </c>
    </row>
    <row r="168" spans="1:2" x14ac:dyDescent="0.25">
      <c r="B168" s="299" t="s">
        <v>184</v>
      </c>
    </row>
    <row r="169" spans="1:2" x14ac:dyDescent="0.25">
      <c r="B169" s="299" t="s">
        <v>185</v>
      </c>
    </row>
    <row r="170" spans="1:2" x14ac:dyDescent="0.25">
      <c r="B170" s="299" t="s">
        <v>186</v>
      </c>
    </row>
    <row r="171" spans="1:2" x14ac:dyDescent="0.25">
      <c r="B171" s="299" t="s">
        <v>187</v>
      </c>
    </row>
    <row r="172" spans="1:2" x14ac:dyDescent="0.25">
      <c r="B172" s="299" t="s">
        <v>188</v>
      </c>
    </row>
    <row r="173" spans="1:2" x14ac:dyDescent="0.25">
      <c r="B173" s="299" t="s">
        <v>189</v>
      </c>
    </row>
    <row r="174" spans="1:2" x14ac:dyDescent="0.25">
      <c r="B174" s="299" t="s">
        <v>190</v>
      </c>
    </row>
    <row r="175" spans="1:2" x14ac:dyDescent="0.25">
      <c r="B175" s="299" t="s">
        <v>37</v>
      </c>
    </row>
    <row r="176" spans="1:2" x14ac:dyDescent="0.25">
      <c r="B176" s="299"/>
    </row>
    <row r="177" spans="1:5" x14ac:dyDescent="0.25">
      <c r="A177" t="s">
        <v>767</v>
      </c>
      <c r="B177" s="299" t="s">
        <v>480</v>
      </c>
      <c r="C177" s="25">
        <v>140.62</v>
      </c>
      <c r="D177" t="s">
        <v>524</v>
      </c>
      <c r="E177" s="282" t="s">
        <v>802</v>
      </c>
    </row>
    <row r="178" spans="1:5" x14ac:dyDescent="0.25">
      <c r="B178" s="299" t="s">
        <v>167</v>
      </c>
      <c r="C178" s="25">
        <v>70</v>
      </c>
      <c r="D178" t="s">
        <v>524</v>
      </c>
      <c r="E178" s="282" t="s">
        <v>802</v>
      </c>
    </row>
    <row r="179" spans="1:5" x14ac:dyDescent="0.25">
      <c r="B179" s="299" t="s">
        <v>166</v>
      </c>
      <c r="C179" s="25">
        <v>56</v>
      </c>
      <c r="D179" t="s">
        <v>524</v>
      </c>
      <c r="E179" s="282" t="s">
        <v>802</v>
      </c>
    </row>
    <row r="180" spans="1:5" x14ac:dyDescent="0.25">
      <c r="B180" s="299" t="s">
        <v>168</v>
      </c>
      <c r="C180" s="25">
        <v>40.159999999999997</v>
      </c>
      <c r="D180" t="s">
        <v>524</v>
      </c>
      <c r="E180" s="282" t="s">
        <v>802</v>
      </c>
    </row>
    <row r="181" spans="1:5" x14ac:dyDescent="0.25">
      <c r="B181" s="299" t="s">
        <v>169</v>
      </c>
      <c r="C181" s="25">
        <v>23.125</v>
      </c>
      <c r="D181" t="s">
        <v>524</v>
      </c>
      <c r="E181" s="282" t="s">
        <v>802</v>
      </c>
    </row>
    <row r="182" spans="1:5" x14ac:dyDescent="0.25">
      <c r="B182" s="299" t="s">
        <v>170</v>
      </c>
      <c r="C182" s="25">
        <v>16.64</v>
      </c>
      <c r="D182" t="s">
        <v>524</v>
      </c>
      <c r="E182" s="282" t="s">
        <v>802</v>
      </c>
    </row>
    <row r="183" spans="1:5" x14ac:dyDescent="0.25">
      <c r="B183" s="299" t="s">
        <v>171</v>
      </c>
      <c r="C183" s="25">
        <v>15.497999999999999</v>
      </c>
      <c r="D183" t="s">
        <v>524</v>
      </c>
      <c r="E183" s="282" t="s">
        <v>802</v>
      </c>
    </row>
    <row r="184" spans="1:5" x14ac:dyDescent="0.25">
      <c r="B184" s="299" t="s">
        <v>418</v>
      </c>
      <c r="C184" s="25">
        <v>14</v>
      </c>
      <c r="D184" t="s">
        <v>524</v>
      </c>
      <c r="E184" s="282" t="s">
        <v>802</v>
      </c>
    </row>
    <row r="185" spans="1:5" x14ac:dyDescent="0.25">
      <c r="B185" s="299" t="s">
        <v>172</v>
      </c>
      <c r="C185" s="25">
        <v>11.939</v>
      </c>
      <c r="D185" t="s">
        <v>524</v>
      </c>
      <c r="E185" s="282" t="s">
        <v>802</v>
      </c>
    </row>
    <row r="186" spans="1:5" x14ac:dyDescent="0.25">
      <c r="B186" s="299" t="s">
        <v>173</v>
      </c>
      <c r="C186" s="25">
        <v>100</v>
      </c>
      <c r="D186" t="s">
        <v>524</v>
      </c>
    </row>
    <row r="187" spans="1:5" x14ac:dyDescent="0.25">
      <c r="B187" s="299" t="s">
        <v>174</v>
      </c>
      <c r="C187" s="25">
        <v>487.98200000000003</v>
      </c>
    </row>
    <row r="188" spans="1:5" x14ac:dyDescent="0.25">
      <c r="B188" s="299"/>
    </row>
    <row r="189" spans="1:5" x14ac:dyDescent="0.25">
      <c r="A189" t="s">
        <v>718</v>
      </c>
      <c r="B189" s="299" t="s">
        <v>142</v>
      </c>
      <c r="C189" s="25">
        <v>105</v>
      </c>
      <c r="D189" t="s">
        <v>524</v>
      </c>
      <c r="E189" s="282" t="s">
        <v>802</v>
      </c>
    </row>
    <row r="190" spans="1:5" x14ac:dyDescent="0.25">
      <c r="B190" s="299" t="s">
        <v>143</v>
      </c>
      <c r="C190" s="25">
        <v>79</v>
      </c>
      <c r="D190" t="s">
        <v>800</v>
      </c>
      <c r="E190" s="282" t="s">
        <v>802</v>
      </c>
    </row>
    <row r="191" spans="1:5" x14ac:dyDescent="0.25">
      <c r="B191" s="299" t="s">
        <v>144</v>
      </c>
      <c r="C191" s="25">
        <v>99.9</v>
      </c>
      <c r="D191" t="s">
        <v>524</v>
      </c>
      <c r="E191" s="282" t="s">
        <v>802</v>
      </c>
    </row>
    <row r="192" spans="1:5" x14ac:dyDescent="0.25">
      <c r="B192" s="299" t="s">
        <v>145</v>
      </c>
      <c r="C192" s="25">
        <v>24.7</v>
      </c>
      <c r="D192" t="s">
        <v>800</v>
      </c>
      <c r="E192" s="282" t="s">
        <v>798</v>
      </c>
    </row>
    <row r="193" spans="1:7" x14ac:dyDescent="0.25">
      <c r="B193" s="299" t="s">
        <v>146</v>
      </c>
      <c r="C193" s="25">
        <v>9.4</v>
      </c>
      <c r="D193" t="s">
        <v>800</v>
      </c>
      <c r="E193" s="282" t="s">
        <v>798</v>
      </c>
    </row>
    <row r="194" spans="1:7" x14ac:dyDescent="0.25">
      <c r="B194" s="299" t="s">
        <v>147</v>
      </c>
      <c r="C194" s="25">
        <v>36.200000000000003</v>
      </c>
      <c r="D194" t="s">
        <v>800</v>
      </c>
      <c r="E194" s="282" t="s">
        <v>798</v>
      </c>
    </row>
    <row r="195" spans="1:7" x14ac:dyDescent="0.25">
      <c r="B195" s="299" t="s">
        <v>37</v>
      </c>
      <c r="C195" s="25">
        <v>354.19999999999993</v>
      </c>
    </row>
    <row r="196" spans="1:7" x14ac:dyDescent="0.25">
      <c r="B196" s="299"/>
    </row>
    <row r="197" spans="1:7" x14ac:dyDescent="0.25">
      <c r="A197" t="s">
        <v>819</v>
      </c>
      <c r="B197" s="3" t="s">
        <v>153</v>
      </c>
      <c r="C197" s="25">
        <v>370</v>
      </c>
      <c r="E197" s="282" t="s">
        <v>798</v>
      </c>
    </row>
    <row r="198" spans="1:7" x14ac:dyDescent="0.25">
      <c r="B198" s="3" t="s">
        <v>154</v>
      </c>
      <c r="C198" s="25">
        <v>24.1</v>
      </c>
      <c r="E198" s="282" t="s">
        <v>798</v>
      </c>
    </row>
    <row r="199" spans="1:7" x14ac:dyDescent="0.25">
      <c r="B199" s="3" t="s">
        <v>155</v>
      </c>
      <c r="C199" s="25">
        <v>51</v>
      </c>
      <c r="E199" s="282" t="s">
        <v>798</v>
      </c>
    </row>
    <row r="200" spans="1:7" x14ac:dyDescent="0.25">
      <c r="B200" s="3" t="s">
        <v>156</v>
      </c>
      <c r="C200" s="25">
        <v>68.08</v>
      </c>
      <c r="E200" s="282" t="s">
        <v>798</v>
      </c>
    </row>
    <row r="201" spans="1:7" x14ac:dyDescent="0.25">
      <c r="B201" s="3" t="s">
        <v>37</v>
      </c>
      <c r="C201" s="25">
        <f>SUM(C197:C200)</f>
        <v>513.18000000000006</v>
      </c>
    </row>
    <row r="202" spans="1:7" x14ac:dyDescent="0.25">
      <c r="B202" s="299"/>
    </row>
    <row r="203" spans="1:7" x14ac:dyDescent="0.25">
      <c r="A203" t="s">
        <v>820</v>
      </c>
      <c r="B203" s="3" t="s">
        <v>283</v>
      </c>
      <c r="C203" s="25">
        <v>1.26</v>
      </c>
      <c r="D203" t="s">
        <v>800</v>
      </c>
      <c r="E203" s="282" t="s">
        <v>798</v>
      </c>
      <c r="G203" t="s">
        <v>821</v>
      </c>
    </row>
    <row r="204" spans="1:7" x14ac:dyDescent="0.25">
      <c r="B204" s="3" t="s">
        <v>284</v>
      </c>
      <c r="C204" s="25">
        <v>1.29</v>
      </c>
      <c r="D204" t="s">
        <v>800</v>
      </c>
      <c r="E204" s="282" t="s">
        <v>798</v>
      </c>
    </row>
    <row r="205" spans="1:7" x14ac:dyDescent="0.25">
      <c r="B205" s="3" t="s">
        <v>285</v>
      </c>
      <c r="C205" s="25">
        <v>1.27</v>
      </c>
      <c r="D205" t="s">
        <v>800</v>
      </c>
      <c r="E205" s="282" t="s">
        <v>798</v>
      </c>
    </row>
    <row r="206" spans="1:7" x14ac:dyDescent="0.25">
      <c r="B206" s="3" t="s">
        <v>286</v>
      </c>
      <c r="C206" s="25">
        <v>1.28</v>
      </c>
      <c r="D206" t="s">
        <v>800</v>
      </c>
      <c r="E206" s="282" t="s">
        <v>798</v>
      </c>
    </row>
    <row r="207" spans="1:7" x14ac:dyDescent="0.25">
      <c r="B207" s="3" t="s">
        <v>287</v>
      </c>
      <c r="C207" s="25">
        <v>1.19</v>
      </c>
      <c r="D207" t="s">
        <v>800</v>
      </c>
      <c r="E207" s="282" t="s">
        <v>798</v>
      </c>
    </row>
    <row r="208" spans="1:7" x14ac:dyDescent="0.25">
      <c r="B208" s="3" t="s">
        <v>37</v>
      </c>
      <c r="C208" s="25">
        <f>SUM(C203:C207)</f>
        <v>6.2899999999999991</v>
      </c>
    </row>
    <row r="209" spans="1:7" x14ac:dyDescent="0.25">
      <c r="B209" s="299"/>
    </row>
    <row r="210" spans="1:7" x14ac:dyDescent="0.25">
      <c r="A210" t="s">
        <v>730</v>
      </c>
      <c r="B210" s="299" t="s">
        <v>195</v>
      </c>
      <c r="C210" s="25">
        <v>47.4</v>
      </c>
      <c r="D210" t="s">
        <v>524</v>
      </c>
      <c r="E210" s="282" t="s">
        <v>802</v>
      </c>
      <c r="G210" t="s">
        <v>823</v>
      </c>
    </row>
    <row r="211" spans="1:7" x14ac:dyDescent="0.25">
      <c r="B211" s="299" t="s">
        <v>668</v>
      </c>
      <c r="C211" s="25">
        <v>22.6</v>
      </c>
      <c r="D211" t="s">
        <v>800</v>
      </c>
      <c r="E211" s="282" t="s">
        <v>802</v>
      </c>
    </row>
    <row r="212" spans="1:7" x14ac:dyDescent="0.25">
      <c r="B212" s="299" t="s">
        <v>196</v>
      </c>
      <c r="C212" s="25">
        <v>114.9</v>
      </c>
      <c r="D212" t="s">
        <v>800</v>
      </c>
      <c r="E212" s="282" t="s">
        <v>798</v>
      </c>
    </row>
    <row r="213" spans="1:7" x14ac:dyDescent="0.25">
      <c r="B213" s="299" t="s">
        <v>197</v>
      </c>
      <c r="C213" s="25">
        <v>25</v>
      </c>
      <c r="D213" t="s">
        <v>800</v>
      </c>
      <c r="E213" s="282" t="s">
        <v>802</v>
      </c>
    </row>
    <row r="214" spans="1:7" x14ac:dyDescent="0.25">
      <c r="B214" s="299" t="s">
        <v>198</v>
      </c>
      <c r="C214" s="25">
        <v>50</v>
      </c>
      <c r="D214" t="s">
        <v>800</v>
      </c>
      <c r="E214" s="282" t="s">
        <v>802</v>
      </c>
    </row>
    <row r="215" spans="1:7" x14ac:dyDescent="0.25">
      <c r="B215" s="299" t="s">
        <v>199</v>
      </c>
      <c r="C215" s="25">
        <v>8.1999999999999993</v>
      </c>
      <c r="D215" t="s">
        <v>800</v>
      </c>
      <c r="E215" s="282" t="s">
        <v>802</v>
      </c>
    </row>
    <row r="216" spans="1:7" x14ac:dyDescent="0.25">
      <c r="B216" s="299" t="s">
        <v>200</v>
      </c>
      <c r="C216" s="25">
        <v>32.411999999999999</v>
      </c>
      <c r="D216" t="s">
        <v>524</v>
      </c>
      <c r="E216" s="282" t="s">
        <v>802</v>
      </c>
    </row>
    <row r="217" spans="1:7" x14ac:dyDescent="0.25">
      <c r="B217" s="299" t="s">
        <v>201</v>
      </c>
      <c r="C217" s="25">
        <v>13.368</v>
      </c>
      <c r="D217" t="s">
        <v>524</v>
      </c>
      <c r="E217" s="282" t="s">
        <v>802</v>
      </c>
    </row>
    <row r="218" spans="1:7" x14ac:dyDescent="0.25">
      <c r="B218" s="299" t="s">
        <v>202</v>
      </c>
      <c r="C218" s="25">
        <v>25</v>
      </c>
      <c r="D218" t="s">
        <v>524</v>
      </c>
      <c r="E218" s="282" t="s">
        <v>802</v>
      </c>
    </row>
    <row r="219" spans="1:7" x14ac:dyDescent="0.25">
      <c r="B219" s="299" t="s">
        <v>203</v>
      </c>
      <c r="C219" s="25">
        <v>48</v>
      </c>
      <c r="D219" t="s">
        <v>524</v>
      </c>
      <c r="E219" s="282" t="s">
        <v>802</v>
      </c>
    </row>
    <row r="220" spans="1:7" x14ac:dyDescent="0.25">
      <c r="B220" s="299" t="s">
        <v>204</v>
      </c>
      <c r="C220" s="25">
        <v>29.794</v>
      </c>
      <c r="D220" t="s">
        <v>524</v>
      </c>
      <c r="E220" s="282" t="s">
        <v>802</v>
      </c>
    </row>
    <row r="221" spans="1:7" x14ac:dyDescent="0.25">
      <c r="B221" s="299" t="s">
        <v>205</v>
      </c>
      <c r="C221" s="25">
        <v>172.6</v>
      </c>
      <c r="D221" t="s">
        <v>524</v>
      </c>
      <c r="E221" s="282" t="s">
        <v>802</v>
      </c>
    </row>
    <row r="222" spans="1:7" x14ac:dyDescent="0.25">
      <c r="B222" s="299" t="s">
        <v>206</v>
      </c>
      <c r="C222" s="25">
        <v>48</v>
      </c>
      <c r="D222" t="s">
        <v>800</v>
      </c>
      <c r="E222" s="282" t="s">
        <v>802</v>
      </c>
    </row>
    <row r="223" spans="1:7" x14ac:dyDescent="0.25">
      <c r="B223" s="299" t="s">
        <v>207</v>
      </c>
      <c r="C223" s="25">
        <v>15</v>
      </c>
      <c r="D223" t="s">
        <v>800</v>
      </c>
      <c r="E223" s="282" t="s">
        <v>802</v>
      </c>
    </row>
    <row r="224" spans="1:7" x14ac:dyDescent="0.25">
      <c r="B224" s="299" t="s">
        <v>208</v>
      </c>
      <c r="C224" s="25">
        <v>70</v>
      </c>
      <c r="D224" t="s">
        <v>800</v>
      </c>
      <c r="E224" s="282" t="s">
        <v>802</v>
      </c>
    </row>
    <row r="225" spans="1:5" x14ac:dyDescent="0.25">
      <c r="B225" s="299" t="s">
        <v>209</v>
      </c>
      <c r="C225" s="25">
        <v>88</v>
      </c>
      <c r="D225" t="s">
        <v>800</v>
      </c>
      <c r="E225" s="282" t="s">
        <v>802</v>
      </c>
    </row>
    <row r="226" spans="1:5" x14ac:dyDescent="0.25">
      <c r="B226" s="299" t="s">
        <v>210</v>
      </c>
      <c r="C226" s="25">
        <v>120</v>
      </c>
      <c r="D226" t="s">
        <v>800</v>
      </c>
      <c r="E226" s="282" t="s">
        <v>802</v>
      </c>
    </row>
    <row r="227" spans="1:5" x14ac:dyDescent="0.25">
      <c r="B227" s="299" t="s">
        <v>211</v>
      </c>
      <c r="C227" s="25">
        <v>10</v>
      </c>
      <c r="D227" t="s">
        <v>524</v>
      </c>
      <c r="E227" s="282" t="s">
        <v>798</v>
      </c>
    </row>
    <row r="228" spans="1:5" x14ac:dyDescent="0.25">
      <c r="B228" s="299" t="s">
        <v>212</v>
      </c>
      <c r="C228" s="25">
        <v>32.5</v>
      </c>
      <c r="D228" t="s">
        <v>800</v>
      </c>
      <c r="E228" s="282" t="s">
        <v>802</v>
      </c>
    </row>
    <row r="229" spans="1:5" x14ac:dyDescent="0.25">
      <c r="B229" s="299" t="s">
        <v>822</v>
      </c>
      <c r="C229" s="25">
        <v>74.88</v>
      </c>
      <c r="D229" t="s">
        <v>543</v>
      </c>
    </row>
    <row r="230" spans="1:5" x14ac:dyDescent="0.25">
      <c r="B230" s="299" t="s">
        <v>37</v>
      </c>
      <c r="C230" s="25">
        <f>SUM(C210:C229)</f>
        <v>1047.654</v>
      </c>
    </row>
    <row r="231" spans="1:5" x14ac:dyDescent="0.25">
      <c r="B231" s="299"/>
      <c r="C231" s="25"/>
    </row>
    <row r="232" spans="1:5" x14ac:dyDescent="0.25">
      <c r="A232" t="s">
        <v>824</v>
      </c>
      <c r="B232" s="299" t="s">
        <v>162</v>
      </c>
      <c r="C232" s="25">
        <v>6.9459999999999997</v>
      </c>
      <c r="D232" t="s">
        <v>800</v>
      </c>
      <c r="E232" s="282" t="s">
        <v>802</v>
      </c>
    </row>
    <row r="233" spans="1:5" x14ac:dyDescent="0.25">
      <c r="B233" s="299" t="s">
        <v>163</v>
      </c>
      <c r="C233" s="25">
        <v>7.49</v>
      </c>
      <c r="D233" t="s">
        <v>800</v>
      </c>
      <c r="E233" s="282" t="s">
        <v>802</v>
      </c>
    </row>
    <row r="234" spans="1:5" x14ac:dyDescent="0.25">
      <c r="B234" s="299" t="s">
        <v>164</v>
      </c>
      <c r="C234" s="25">
        <v>4.0179999999999998</v>
      </c>
      <c r="D234" t="s">
        <v>800</v>
      </c>
      <c r="E234" s="282" t="s">
        <v>798</v>
      </c>
    </row>
    <row r="235" spans="1:5" x14ac:dyDescent="0.25">
      <c r="B235" s="299" t="s">
        <v>37</v>
      </c>
      <c r="C235" s="298">
        <f>SUM(C232:C234)</f>
        <v>18.454000000000001</v>
      </c>
      <c r="E235" s="282"/>
    </row>
    <row r="236" spans="1:5" x14ac:dyDescent="0.25">
      <c r="B236" s="299"/>
    </row>
    <row r="237" spans="1:5" x14ac:dyDescent="0.25">
      <c r="A237" t="s">
        <v>769</v>
      </c>
      <c r="B237" s="299" t="s">
        <v>118</v>
      </c>
      <c r="C237" s="25">
        <v>50.1</v>
      </c>
      <c r="D237" t="s">
        <v>800</v>
      </c>
      <c r="E237" s="282" t="s">
        <v>802</v>
      </c>
    </row>
    <row r="238" spans="1:5" x14ac:dyDescent="0.25">
      <c r="B238" s="299" t="s">
        <v>119</v>
      </c>
      <c r="C238" s="25">
        <v>59.6</v>
      </c>
      <c r="D238" t="s">
        <v>800</v>
      </c>
      <c r="E238" s="282" t="s">
        <v>802</v>
      </c>
    </row>
    <row r="239" spans="1:5" x14ac:dyDescent="0.25">
      <c r="B239" s="299" t="s">
        <v>120</v>
      </c>
      <c r="C239" s="25">
        <v>149.1</v>
      </c>
      <c r="D239" t="s">
        <v>800</v>
      </c>
      <c r="E239" s="282" t="s">
        <v>802</v>
      </c>
    </row>
    <row r="240" spans="1:5" x14ac:dyDescent="0.25">
      <c r="B240" s="299" t="s">
        <v>121</v>
      </c>
      <c r="C240" s="25">
        <v>77.900000000000006</v>
      </c>
      <c r="D240" t="s">
        <v>800</v>
      </c>
      <c r="E240" s="282" t="s">
        <v>798</v>
      </c>
    </row>
    <row r="241" spans="1:5" x14ac:dyDescent="0.25">
      <c r="B241" s="299" t="s">
        <v>122</v>
      </c>
      <c r="C241" s="25">
        <v>4.4000000000000004</v>
      </c>
      <c r="D241" t="s">
        <v>800</v>
      </c>
      <c r="E241" s="282" t="s">
        <v>798</v>
      </c>
    </row>
    <row r="242" spans="1:5" x14ac:dyDescent="0.25">
      <c r="B242" s="299" t="s">
        <v>123</v>
      </c>
      <c r="C242" s="25">
        <v>21.5</v>
      </c>
      <c r="D242" t="s">
        <v>800</v>
      </c>
      <c r="E242" s="282" t="s">
        <v>802</v>
      </c>
    </row>
    <row r="243" spans="1:5" x14ac:dyDescent="0.25">
      <c r="B243" s="299" t="s">
        <v>37</v>
      </c>
      <c r="C243" s="25">
        <v>362.6</v>
      </c>
    </row>
    <row r="244" spans="1:5" x14ac:dyDescent="0.25">
      <c r="B244" s="299"/>
      <c r="C244" s="25"/>
    </row>
    <row r="245" spans="1:5" x14ac:dyDescent="0.25">
      <c r="A245" t="s">
        <v>825</v>
      </c>
      <c r="B245" s="299" t="s">
        <v>305</v>
      </c>
      <c r="C245" s="25">
        <v>6.88</v>
      </c>
      <c r="D245" t="s">
        <v>800</v>
      </c>
      <c r="E245" s="282" t="s">
        <v>798</v>
      </c>
    </row>
    <row r="246" spans="1:5" x14ac:dyDescent="0.25">
      <c r="B246" s="299" t="s">
        <v>308</v>
      </c>
      <c r="C246" s="25">
        <v>3.6</v>
      </c>
      <c r="D246" t="s">
        <v>800</v>
      </c>
      <c r="E246" s="282" t="s">
        <v>798</v>
      </c>
    </row>
    <row r="247" spans="1:5" x14ac:dyDescent="0.25">
      <c r="B247" s="299" t="s">
        <v>306</v>
      </c>
      <c r="C247" s="25">
        <v>1.72</v>
      </c>
      <c r="D247" t="s">
        <v>800</v>
      </c>
      <c r="E247" s="282" t="s">
        <v>798</v>
      </c>
    </row>
    <row r="248" spans="1:5" x14ac:dyDescent="0.25">
      <c r="B248" s="299" t="s">
        <v>307</v>
      </c>
      <c r="C248" s="25">
        <v>3.6</v>
      </c>
      <c r="D248" t="s">
        <v>524</v>
      </c>
      <c r="E248" s="282" t="s">
        <v>802</v>
      </c>
    </row>
    <row r="249" spans="1:5" x14ac:dyDescent="0.25">
      <c r="B249" s="299" t="s">
        <v>37</v>
      </c>
      <c r="C249" s="25">
        <v>15.8</v>
      </c>
    </row>
    <row r="250" spans="1:5" x14ac:dyDescent="0.25">
      <c r="B250" s="299"/>
    </row>
    <row r="251" spans="1:5" x14ac:dyDescent="0.25">
      <c r="A251" t="s">
        <v>770</v>
      </c>
      <c r="B251" s="299" t="s">
        <v>227</v>
      </c>
      <c r="C251" s="25">
        <v>15</v>
      </c>
      <c r="D251" t="s">
        <v>524</v>
      </c>
      <c r="E251" s="282" t="s">
        <v>802</v>
      </c>
    </row>
    <row r="252" spans="1:5" x14ac:dyDescent="0.25">
      <c r="B252" s="299" t="s">
        <v>228</v>
      </c>
      <c r="C252" s="25">
        <v>80</v>
      </c>
      <c r="D252" t="s">
        <v>524</v>
      </c>
      <c r="E252" s="282" t="s">
        <v>802</v>
      </c>
    </row>
    <row r="253" spans="1:5" x14ac:dyDescent="0.25">
      <c r="B253" s="299" t="s">
        <v>229</v>
      </c>
      <c r="C253" s="25">
        <v>165</v>
      </c>
      <c r="D253" t="s">
        <v>800</v>
      </c>
      <c r="E253" s="282" t="s">
        <v>802</v>
      </c>
    </row>
    <row r="254" spans="1:5" x14ac:dyDescent="0.25">
      <c r="B254" s="299" t="s">
        <v>465</v>
      </c>
      <c r="C254" s="25">
        <v>45</v>
      </c>
      <c r="D254" t="s">
        <v>800</v>
      </c>
      <c r="E254" s="282" t="s">
        <v>802</v>
      </c>
    </row>
    <row r="255" spans="1:5" x14ac:dyDescent="0.25">
      <c r="B255" s="299" t="s">
        <v>231</v>
      </c>
      <c r="C255" s="25">
        <v>15</v>
      </c>
      <c r="D255" t="s">
        <v>524</v>
      </c>
      <c r="E255" s="282" t="s">
        <v>802</v>
      </c>
    </row>
    <row r="256" spans="1:5" x14ac:dyDescent="0.25">
      <c r="B256" s="299" t="s">
        <v>232</v>
      </c>
      <c r="C256" s="25">
        <v>20.9</v>
      </c>
      <c r="D256" t="s">
        <v>524</v>
      </c>
      <c r="E256" s="282" t="s">
        <v>802</v>
      </c>
    </row>
    <row r="257" spans="2:5" x14ac:dyDescent="0.25">
      <c r="B257" s="299" t="s">
        <v>233</v>
      </c>
      <c r="C257" s="25">
        <v>5.52</v>
      </c>
      <c r="D257" t="s">
        <v>524</v>
      </c>
      <c r="E257" s="282" t="s">
        <v>802</v>
      </c>
    </row>
    <row r="258" spans="2:5" x14ac:dyDescent="0.25">
      <c r="B258" s="299" t="s">
        <v>234</v>
      </c>
      <c r="C258" s="25">
        <v>20.399999999999999</v>
      </c>
      <c r="D258" t="s">
        <v>524</v>
      </c>
      <c r="E258" s="282" t="s">
        <v>802</v>
      </c>
    </row>
    <row r="259" spans="2:5" x14ac:dyDescent="0.25">
      <c r="B259" s="299" t="s">
        <v>235</v>
      </c>
      <c r="C259" s="25">
        <v>15.36</v>
      </c>
      <c r="D259" t="s">
        <v>524</v>
      </c>
      <c r="E259" s="282" t="s">
        <v>802</v>
      </c>
    </row>
    <row r="260" spans="2:5" x14ac:dyDescent="0.25">
      <c r="B260" s="299" t="s">
        <v>236</v>
      </c>
      <c r="C260" s="25">
        <v>24.94</v>
      </c>
      <c r="D260" t="s">
        <v>524</v>
      </c>
      <c r="E260" s="282" t="s">
        <v>802</v>
      </c>
    </row>
    <row r="261" spans="2:5" x14ac:dyDescent="0.25">
      <c r="B261" s="299" t="s">
        <v>237</v>
      </c>
      <c r="C261" s="25">
        <v>16.8</v>
      </c>
      <c r="D261" t="s">
        <v>524</v>
      </c>
      <c r="E261" s="282" t="s">
        <v>802</v>
      </c>
    </row>
    <row r="262" spans="2:5" x14ac:dyDescent="0.25">
      <c r="B262" s="299" t="s">
        <v>826</v>
      </c>
      <c r="C262" s="25">
        <v>49.53</v>
      </c>
      <c r="D262" t="s">
        <v>524</v>
      </c>
    </row>
    <row r="263" spans="2:5" x14ac:dyDescent="0.25">
      <c r="B263" s="304" t="s">
        <v>239</v>
      </c>
      <c r="C263" s="41">
        <v>56.4</v>
      </c>
    </row>
    <row r="264" spans="2:5" x14ac:dyDescent="0.25">
      <c r="B264" s="304" t="s">
        <v>240</v>
      </c>
      <c r="C264" s="41">
        <v>1.5</v>
      </c>
    </row>
    <row r="265" spans="2:5" x14ac:dyDescent="0.25">
      <c r="B265" s="299"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47109-A654-4D18-8997-56B1C0C7DE23}">
  <dimension ref="A1:E14"/>
  <sheetViews>
    <sheetView workbookViewId="0">
      <selection activeCell="I35" sqref="I35"/>
    </sheetView>
  </sheetViews>
  <sheetFormatPr defaultColWidth="9.140625" defaultRowHeight="15" x14ac:dyDescent="0.25"/>
  <cols>
    <col min="1" max="1" width="16.42578125" style="276" bestFit="1" customWidth="1"/>
    <col min="2" max="2" width="13" style="276" bestFit="1" customWidth="1"/>
    <col min="3" max="3" width="17.85546875" style="276" bestFit="1" customWidth="1"/>
    <col min="4" max="16384" width="9.140625" style="276"/>
  </cols>
  <sheetData>
    <row r="1" spans="1:5" x14ac:dyDescent="0.25">
      <c r="A1" s="276" t="s">
        <v>35</v>
      </c>
      <c r="B1" s="276" t="s">
        <v>36</v>
      </c>
      <c r="C1" s="276" t="s">
        <v>338</v>
      </c>
      <c r="D1" s="276" t="s">
        <v>454</v>
      </c>
    </row>
    <row r="2" spans="1:5" x14ac:dyDescent="0.25">
      <c r="A2" s="276" t="s">
        <v>796</v>
      </c>
      <c r="B2" s="276">
        <v>2.09</v>
      </c>
      <c r="E2" s="277"/>
    </row>
    <row r="3" spans="1:5" x14ac:dyDescent="0.25">
      <c r="A3" s="276" t="s">
        <v>160</v>
      </c>
      <c r="B3" s="276">
        <v>1.1399999999999999</v>
      </c>
    </row>
    <row r="4" spans="1:5" x14ac:dyDescent="0.25">
      <c r="A4" s="276" t="s">
        <v>161</v>
      </c>
      <c r="B4" s="276">
        <v>9.65</v>
      </c>
    </row>
    <row r="5" spans="1:5" x14ac:dyDescent="0.25">
      <c r="A5" s="276" t="s">
        <v>329</v>
      </c>
      <c r="B5" s="276">
        <v>4.5599999999999996</v>
      </c>
    </row>
    <row r="6" spans="1:5" x14ac:dyDescent="0.25">
      <c r="A6" s="276" t="s">
        <v>330</v>
      </c>
      <c r="B6" s="276">
        <v>10.26</v>
      </c>
    </row>
    <row r="7" spans="1:5" x14ac:dyDescent="0.25">
      <c r="A7" s="276" t="s">
        <v>331</v>
      </c>
      <c r="B7" s="276">
        <v>2.8</v>
      </c>
    </row>
    <row r="8" spans="1:5" x14ac:dyDescent="0.25">
      <c r="A8" s="276" t="s">
        <v>332</v>
      </c>
      <c r="B8" s="276">
        <v>6.58</v>
      </c>
    </row>
    <row r="9" spans="1:5" x14ac:dyDescent="0.25">
      <c r="A9" s="276" t="s">
        <v>333</v>
      </c>
      <c r="B9" s="276">
        <v>2.2400000000000002</v>
      </c>
    </row>
    <row r="10" spans="1:5" x14ac:dyDescent="0.25">
      <c r="A10" s="276" t="s">
        <v>334</v>
      </c>
      <c r="B10" s="276">
        <v>2.39</v>
      </c>
    </row>
    <row r="11" spans="1:5" x14ac:dyDescent="0.25">
      <c r="A11" s="276" t="s">
        <v>335</v>
      </c>
      <c r="B11" s="276">
        <v>4.75</v>
      </c>
    </row>
    <row r="12" spans="1:5" x14ac:dyDescent="0.25">
      <c r="A12" s="276" t="s">
        <v>336</v>
      </c>
      <c r="B12" s="276">
        <v>4.7</v>
      </c>
    </row>
    <row r="13" spans="1:5" x14ac:dyDescent="0.25">
      <c r="A13" s="276" t="s">
        <v>337</v>
      </c>
      <c r="B13" s="276">
        <f>B14-SUM(B2:B12)</f>
        <v>2.2499999999999929</v>
      </c>
    </row>
    <row r="14" spans="1:5" x14ac:dyDescent="0.25">
      <c r="A14" s="276" t="s">
        <v>37</v>
      </c>
      <c r="B14" s="276">
        <v>53.41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8E81D-EBBE-4D4F-A8B5-C56E77C8ADD8}">
  <dimension ref="A1:X75"/>
  <sheetViews>
    <sheetView zoomScale="70" zoomScaleNormal="85" workbookViewId="0">
      <selection activeCell="L55" sqref="L55"/>
    </sheetView>
  </sheetViews>
  <sheetFormatPr defaultColWidth="9.140625" defaultRowHeight="15" x14ac:dyDescent="0.25"/>
  <cols>
    <col min="1" max="1" width="47.28515625" style="25" bestFit="1" customWidth="1"/>
    <col min="2" max="2" width="16.28515625" style="25" customWidth="1"/>
    <col min="3" max="3" width="20.7109375" style="25" customWidth="1"/>
    <col min="4" max="4" width="12.28515625" style="25" customWidth="1"/>
    <col min="5" max="5" width="14.140625" style="25" customWidth="1"/>
    <col min="6" max="6" width="17.42578125" style="25" customWidth="1"/>
    <col min="7" max="7" width="20.140625" style="25" customWidth="1"/>
    <col min="8" max="14" width="18.5703125" style="25" customWidth="1"/>
    <col min="15" max="18" width="20.140625" style="25" customWidth="1"/>
    <col min="19" max="19" width="20.140625" style="25" bestFit="1" customWidth="1"/>
    <col min="20" max="21" width="18.5703125" style="25" bestFit="1" customWidth="1"/>
    <col min="22" max="23" width="15.28515625" style="25" bestFit="1" customWidth="1"/>
    <col min="24" max="24" width="16.85546875" style="25" bestFit="1" customWidth="1"/>
    <col min="25" max="16384" width="9.140625" style="25"/>
  </cols>
  <sheetData>
    <row r="1" spans="1:24" ht="17.45" customHeight="1" x14ac:dyDescent="0.25">
      <c r="A1" s="34" t="s">
        <v>35</v>
      </c>
      <c r="B1" s="34" t="s">
        <v>36</v>
      </c>
      <c r="C1" s="35" t="s">
        <v>338</v>
      </c>
      <c r="D1" s="36" t="s">
        <v>454</v>
      </c>
      <c r="E1" s="37" t="s">
        <v>551</v>
      </c>
      <c r="F1" s="37" t="s">
        <v>552</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34" t="s">
        <v>52</v>
      </c>
      <c r="B2" s="34">
        <v>904</v>
      </c>
      <c r="C2" s="35" t="s">
        <v>342</v>
      </c>
      <c r="D2" s="35">
        <v>1673</v>
      </c>
      <c r="E2" s="37" t="s">
        <v>524</v>
      </c>
      <c r="F2" s="38" t="s">
        <v>543</v>
      </c>
      <c r="G2" s="31">
        <v>400037.23</v>
      </c>
      <c r="H2" s="31">
        <v>284543.7</v>
      </c>
      <c r="I2" s="31">
        <v>251002.18</v>
      </c>
      <c r="J2" s="31">
        <v>164507.24</v>
      </c>
      <c r="K2" s="31">
        <v>130665.2</v>
      </c>
      <c r="L2" s="31">
        <v>151221.43</v>
      </c>
      <c r="M2" s="25">
        <v>210865.88</v>
      </c>
      <c r="N2" s="25">
        <v>191539.20000000001</v>
      </c>
      <c r="O2" s="25">
        <v>363545.78</v>
      </c>
      <c r="P2" s="25">
        <v>398333.23</v>
      </c>
      <c r="Q2" s="25">
        <v>337624.58</v>
      </c>
      <c r="R2" s="25">
        <v>400834.83</v>
      </c>
      <c r="S2" s="25">
        <v>444596.71</v>
      </c>
      <c r="T2" s="25">
        <v>113240.34</v>
      </c>
      <c r="U2" s="25">
        <v>0</v>
      </c>
      <c r="V2" s="245">
        <v>46.59</v>
      </c>
      <c r="W2" s="25">
        <v>251.89</v>
      </c>
      <c r="X2" s="25">
        <v>1403.1</v>
      </c>
    </row>
    <row r="3" spans="1:24" x14ac:dyDescent="0.25">
      <c r="A3" s="34" t="s">
        <v>39</v>
      </c>
      <c r="B3" s="34">
        <v>7</v>
      </c>
      <c r="C3" s="35" t="s">
        <v>340</v>
      </c>
      <c r="D3" s="35">
        <v>1011</v>
      </c>
      <c r="E3" s="37" t="s">
        <v>524</v>
      </c>
      <c r="F3" s="38" t="s">
        <v>543</v>
      </c>
      <c r="G3" s="31">
        <v>1165.21</v>
      </c>
      <c r="H3" s="25">
        <v>966.98</v>
      </c>
      <c r="I3" s="31">
        <v>1690.95</v>
      </c>
      <c r="J3" s="31">
        <v>2822.49</v>
      </c>
      <c r="K3" s="31">
        <v>2133.9899999999998</v>
      </c>
      <c r="L3" s="25">
        <v>796.28</v>
      </c>
      <c r="M3" s="25">
        <v>492.84</v>
      </c>
      <c r="N3" s="25">
        <v>402.68</v>
      </c>
      <c r="O3" s="25">
        <v>358.14</v>
      </c>
      <c r="P3" s="25">
        <v>497.97</v>
      </c>
      <c r="Q3" s="25">
        <v>546.91999999999996</v>
      </c>
      <c r="R3" s="25">
        <v>792.59</v>
      </c>
      <c r="S3" s="25">
        <v>775.46</v>
      </c>
      <c r="T3" s="25">
        <v>3337.11</v>
      </c>
      <c r="U3" s="25">
        <v>3742.39</v>
      </c>
      <c r="V3" s="245">
        <v>2633.31</v>
      </c>
      <c r="W3" s="25">
        <v>1493.32</v>
      </c>
      <c r="X3" s="25">
        <v>2882.7</v>
      </c>
    </row>
    <row r="4" spans="1:24" x14ac:dyDescent="0.25">
      <c r="A4" s="34" t="s">
        <v>40</v>
      </c>
      <c r="B4" s="34">
        <v>28</v>
      </c>
      <c r="C4" s="35" t="s">
        <v>341</v>
      </c>
      <c r="D4" s="35">
        <v>3125</v>
      </c>
      <c r="E4" s="37" t="s">
        <v>524</v>
      </c>
      <c r="F4" s="38" t="s">
        <v>543</v>
      </c>
      <c r="G4" s="25">
        <v>0</v>
      </c>
      <c r="H4" s="25">
        <v>0</v>
      </c>
      <c r="I4" s="31">
        <v>2700.53</v>
      </c>
      <c r="J4" s="31">
        <v>6169.64</v>
      </c>
      <c r="K4" s="31">
        <v>3137.59</v>
      </c>
      <c r="L4" s="31">
        <v>1574.46</v>
      </c>
      <c r="M4" s="25">
        <v>1160.8</v>
      </c>
      <c r="N4" s="25">
        <v>630.30999999999995</v>
      </c>
      <c r="O4" s="25">
        <v>688.54</v>
      </c>
      <c r="P4" s="25">
        <v>1063.72</v>
      </c>
      <c r="Q4" s="25">
        <v>1263.52</v>
      </c>
      <c r="R4" s="25">
        <v>1742.25</v>
      </c>
      <c r="S4" s="25">
        <v>3195.31</v>
      </c>
      <c r="T4" s="25">
        <v>14388.2</v>
      </c>
      <c r="U4" s="25">
        <v>13772.51</v>
      </c>
      <c r="V4" s="245">
        <v>13637.23</v>
      </c>
      <c r="W4" s="25">
        <v>7465.76</v>
      </c>
      <c r="X4" s="25">
        <v>8277.5499999999993</v>
      </c>
    </row>
    <row r="5" spans="1:24" x14ac:dyDescent="0.25">
      <c r="A5" s="34" t="s">
        <v>41</v>
      </c>
      <c r="B5" s="34">
        <v>100</v>
      </c>
      <c r="C5" s="35" t="s">
        <v>347</v>
      </c>
      <c r="D5" s="35">
        <v>652</v>
      </c>
      <c r="E5" s="37" t="s">
        <v>524</v>
      </c>
      <c r="F5" s="38" t="s">
        <v>543</v>
      </c>
      <c r="G5" s="31">
        <v>8643.75</v>
      </c>
      <c r="H5" s="31">
        <v>11619.11</v>
      </c>
      <c r="I5" s="31">
        <v>5759.52</v>
      </c>
      <c r="J5" s="31">
        <v>2251.75</v>
      </c>
      <c r="K5" s="31">
        <v>13375.12</v>
      </c>
      <c r="L5" s="31">
        <v>6365.73</v>
      </c>
      <c r="M5" s="25">
        <v>7500.2</v>
      </c>
      <c r="N5" s="25">
        <v>10145.379999999999</v>
      </c>
      <c r="O5" s="25">
        <v>1379.58</v>
      </c>
      <c r="P5" s="25">
        <v>0</v>
      </c>
      <c r="Q5" s="25">
        <v>0</v>
      </c>
      <c r="R5" s="25">
        <v>3206.49</v>
      </c>
      <c r="S5" s="25">
        <v>32496.04</v>
      </c>
      <c r="T5" s="25">
        <v>53189.04</v>
      </c>
      <c r="U5" s="25">
        <v>56636.1</v>
      </c>
      <c r="V5" s="245">
        <v>51916.800000000003</v>
      </c>
      <c r="W5" s="25">
        <v>47995.98</v>
      </c>
      <c r="X5" s="25">
        <v>26788.3</v>
      </c>
    </row>
    <row r="6" spans="1:24" x14ac:dyDescent="0.25">
      <c r="A6" s="34" t="s">
        <v>53</v>
      </c>
      <c r="B6" s="34">
        <v>30</v>
      </c>
      <c r="C6" s="35" t="s">
        <v>343</v>
      </c>
      <c r="D6" s="35">
        <v>1217</v>
      </c>
      <c r="E6" s="37" t="s">
        <v>524</v>
      </c>
      <c r="F6" s="38" t="s">
        <v>543</v>
      </c>
      <c r="G6" s="31">
        <v>3911</v>
      </c>
      <c r="H6" s="31">
        <v>3502</v>
      </c>
      <c r="I6" s="31">
        <v>4800</v>
      </c>
      <c r="J6" s="31">
        <v>9506</v>
      </c>
      <c r="K6" s="31">
        <v>6984</v>
      </c>
      <c r="L6" s="31">
        <v>4320</v>
      </c>
      <c r="M6" s="25">
        <v>3315</v>
      </c>
      <c r="N6" s="25">
        <v>3089</v>
      </c>
      <c r="O6" s="25">
        <v>2919</v>
      </c>
      <c r="P6" s="25">
        <v>3111</v>
      </c>
      <c r="Q6" s="25">
        <v>3208</v>
      </c>
      <c r="R6" s="25">
        <v>3356</v>
      </c>
      <c r="S6" s="25">
        <v>4495</v>
      </c>
      <c r="T6" s="25">
        <v>13952</v>
      </c>
      <c r="U6" s="25">
        <v>15838</v>
      </c>
      <c r="V6" s="245">
        <v>14718</v>
      </c>
      <c r="W6" s="25">
        <v>10905</v>
      </c>
      <c r="X6" s="25">
        <v>10078</v>
      </c>
    </row>
    <row r="7" spans="1:24" x14ac:dyDescent="0.25">
      <c r="A7" s="34" t="s">
        <v>54</v>
      </c>
      <c r="B7" s="34">
        <v>70</v>
      </c>
      <c r="C7" s="35" t="s">
        <v>344</v>
      </c>
      <c r="D7" s="35">
        <v>1189</v>
      </c>
      <c r="E7" s="37" t="s">
        <v>524</v>
      </c>
      <c r="F7" s="38" t="s">
        <v>543</v>
      </c>
      <c r="G7" s="31">
        <v>4782.8999999999996</v>
      </c>
      <c r="H7" s="31">
        <v>4555.2700000000004</v>
      </c>
      <c r="I7" s="31">
        <v>5869.53</v>
      </c>
      <c r="J7" s="31">
        <v>11286.68</v>
      </c>
      <c r="K7" s="31">
        <v>8553.81</v>
      </c>
      <c r="L7" s="31">
        <v>3225.31</v>
      </c>
      <c r="M7" s="25">
        <v>5591.23</v>
      </c>
      <c r="N7" s="25">
        <v>3548.36</v>
      </c>
      <c r="O7" s="25">
        <v>3391.35</v>
      </c>
      <c r="P7" s="25">
        <v>2451.1</v>
      </c>
      <c r="Q7" s="25">
        <v>5079.49</v>
      </c>
      <c r="R7" s="25">
        <v>3190.25</v>
      </c>
      <c r="S7" s="25">
        <v>6945.33</v>
      </c>
      <c r="T7" s="25">
        <v>32610.49</v>
      </c>
      <c r="U7" s="25">
        <v>28654.2</v>
      </c>
      <c r="V7" s="245">
        <v>38314.800000000003</v>
      </c>
      <c r="W7" s="25">
        <v>27316.880000000001</v>
      </c>
      <c r="X7" s="25">
        <v>13708.4</v>
      </c>
    </row>
    <row r="8" spans="1:24" x14ac:dyDescent="0.25">
      <c r="A8" s="34" t="s">
        <v>42</v>
      </c>
      <c r="B8" s="34">
        <v>30</v>
      </c>
      <c r="C8" s="35" t="s">
        <v>345</v>
      </c>
      <c r="D8" s="35">
        <v>1798</v>
      </c>
      <c r="E8" s="37" t="s">
        <v>524</v>
      </c>
      <c r="F8" s="38" t="s">
        <v>543</v>
      </c>
      <c r="G8" s="31">
        <v>3808</v>
      </c>
      <c r="H8" s="31">
        <v>3718</v>
      </c>
      <c r="I8" s="31">
        <v>4357.3900000000003</v>
      </c>
      <c r="J8" s="31">
        <v>7472</v>
      </c>
      <c r="K8" s="31">
        <v>6110</v>
      </c>
      <c r="L8" s="31">
        <v>4064</v>
      </c>
      <c r="M8" s="25">
        <v>3347</v>
      </c>
      <c r="N8" s="25">
        <v>2882</v>
      </c>
      <c r="O8" s="25">
        <v>2731</v>
      </c>
      <c r="P8" s="25">
        <v>2865</v>
      </c>
      <c r="Q8" s="25">
        <v>2888</v>
      </c>
      <c r="R8" s="25">
        <v>3145</v>
      </c>
      <c r="S8" s="25">
        <v>3776</v>
      </c>
      <c r="T8" s="25">
        <v>14205.4</v>
      </c>
      <c r="U8" s="25">
        <v>16125</v>
      </c>
      <c r="V8" s="245">
        <v>16137.1</v>
      </c>
      <c r="W8" s="25">
        <v>11580.22</v>
      </c>
      <c r="X8" s="25">
        <v>9820</v>
      </c>
    </row>
    <row r="9" spans="1:24" x14ac:dyDescent="0.25">
      <c r="A9" s="34" t="s">
        <v>43</v>
      </c>
      <c r="B9" s="34">
        <v>27</v>
      </c>
      <c r="C9" s="35" t="s">
        <v>346</v>
      </c>
      <c r="D9" s="35">
        <v>1797</v>
      </c>
      <c r="E9" s="37" t="s">
        <v>524</v>
      </c>
      <c r="F9" s="38" t="s">
        <v>543</v>
      </c>
      <c r="G9" s="31">
        <v>3599</v>
      </c>
      <c r="H9" s="31">
        <v>3254</v>
      </c>
      <c r="I9" s="31">
        <v>4230.9399999999996</v>
      </c>
      <c r="J9" s="31">
        <v>8393</v>
      </c>
      <c r="K9" s="31">
        <v>6174</v>
      </c>
      <c r="L9" s="31">
        <v>3832</v>
      </c>
      <c r="M9" s="25">
        <v>2805.5</v>
      </c>
      <c r="N9" s="25">
        <v>2600</v>
      </c>
      <c r="O9" s="25">
        <v>2429</v>
      </c>
      <c r="P9" s="25">
        <v>2436.5</v>
      </c>
      <c r="Q9" s="25">
        <v>2599</v>
      </c>
      <c r="R9" s="25">
        <v>2781</v>
      </c>
      <c r="S9" s="25">
        <v>3664.51</v>
      </c>
      <c r="T9" s="25">
        <v>14505</v>
      </c>
      <c r="U9" s="25">
        <v>16101</v>
      </c>
      <c r="V9" s="245">
        <v>15260</v>
      </c>
      <c r="W9" s="25">
        <v>11032</v>
      </c>
      <c r="X9" s="25">
        <v>9978</v>
      </c>
    </row>
    <row r="10" spans="1:24" x14ac:dyDescent="0.25">
      <c r="A10" s="34" t="s">
        <v>38</v>
      </c>
      <c r="B10" s="34">
        <v>28</v>
      </c>
      <c r="C10" s="35" t="s">
        <v>339</v>
      </c>
      <c r="D10" s="35">
        <v>1519</v>
      </c>
      <c r="E10" s="37" t="s">
        <v>524</v>
      </c>
      <c r="F10" s="38" t="s">
        <v>543</v>
      </c>
      <c r="G10" s="31">
        <v>6766.96</v>
      </c>
      <c r="H10" s="31">
        <v>7403.36</v>
      </c>
      <c r="I10" s="31">
        <v>7575.27</v>
      </c>
      <c r="J10" s="31">
        <v>5934.37</v>
      </c>
      <c r="K10" s="31">
        <v>4363.1099999999997</v>
      </c>
      <c r="L10" s="31">
        <v>5430.04</v>
      </c>
      <c r="M10" s="25">
        <v>8760.7199999999993</v>
      </c>
      <c r="N10" s="25">
        <v>13264.23</v>
      </c>
      <c r="O10" s="25">
        <v>8796.2999999999993</v>
      </c>
      <c r="P10" s="25">
        <v>4235.96</v>
      </c>
      <c r="Q10" s="25">
        <v>5651.19</v>
      </c>
      <c r="R10" s="25">
        <v>4361.45</v>
      </c>
      <c r="S10" s="25">
        <v>11242.27</v>
      </c>
      <c r="T10" s="25">
        <v>7319.19</v>
      </c>
      <c r="U10" s="25">
        <v>7876.2</v>
      </c>
      <c r="V10" s="245">
        <v>4121.5600000000004</v>
      </c>
      <c r="W10" s="25">
        <v>1016.45</v>
      </c>
      <c r="X10" s="25">
        <v>5693.72</v>
      </c>
    </row>
    <row r="11" spans="1:24" x14ac:dyDescent="0.25">
      <c r="A11" s="34" t="s">
        <v>37</v>
      </c>
      <c r="B11" s="35">
        <f>SUM(B2:B10)</f>
        <v>1224</v>
      </c>
      <c r="C11" s="35"/>
      <c r="D11" s="35"/>
      <c r="E11" s="35"/>
      <c r="F11" s="35"/>
      <c r="G11" s="31">
        <v>432714.05</v>
      </c>
      <c r="H11" s="31">
        <v>319562.42</v>
      </c>
      <c r="I11" s="31">
        <v>287986.31</v>
      </c>
      <c r="J11" s="31">
        <v>218343.17</v>
      </c>
      <c r="K11" s="31">
        <v>181496.82</v>
      </c>
      <c r="L11" s="31">
        <v>180829.25</v>
      </c>
      <c r="M11" s="25">
        <v>243839.17</v>
      </c>
      <c r="N11" s="25">
        <v>228101.16</v>
      </c>
      <c r="O11" s="25">
        <v>386238.69</v>
      </c>
      <c r="P11" s="25">
        <v>414994.48</v>
      </c>
      <c r="Q11" s="25">
        <v>358860.7</v>
      </c>
      <c r="R11" s="25">
        <v>423409.86</v>
      </c>
      <c r="S11" s="25">
        <v>511186.63</v>
      </c>
      <c r="T11" s="25">
        <v>266746.77</v>
      </c>
      <c r="U11" s="25">
        <v>158745.4</v>
      </c>
      <c r="V11" s="25">
        <v>156785.39000000001</v>
      </c>
      <c r="W11" s="25">
        <v>119057.5</v>
      </c>
      <c r="X11" s="25">
        <v>88629.77</v>
      </c>
    </row>
    <row r="12" spans="1:24" x14ac:dyDescent="0.25">
      <c r="A12" s="37"/>
      <c r="B12" s="35"/>
      <c r="C12" s="35"/>
      <c r="D12" s="35"/>
      <c r="E12" s="35"/>
      <c r="F12" s="35"/>
      <c r="X12" s="39"/>
    </row>
    <row r="13" spans="1:24" x14ac:dyDescent="0.25">
      <c r="A13" s="34"/>
      <c r="X13" s="39"/>
    </row>
    <row r="14" spans="1:24" x14ac:dyDescent="0.25">
      <c r="A14" s="34" t="s">
        <v>570</v>
      </c>
      <c r="B14" s="40"/>
      <c r="C14" s="40"/>
      <c r="D14" s="40"/>
      <c r="E14" s="40"/>
      <c r="F14" s="40"/>
      <c r="G14" s="40"/>
      <c r="H14" s="40"/>
      <c r="I14" s="40"/>
      <c r="J14" s="40"/>
      <c r="K14" s="40"/>
      <c r="L14" s="40"/>
      <c r="M14" s="40"/>
      <c r="N14" s="40"/>
      <c r="O14" s="40"/>
      <c r="P14" s="40"/>
      <c r="Q14" s="40"/>
      <c r="R14" s="40"/>
      <c r="S14" s="40">
        <f>(SUM(S3:S9)/SUM(G3:G9))-1</f>
        <v>1.1361616774463466</v>
      </c>
      <c r="T14" s="40">
        <f>(SUM(T3:T9)/SUM(H3:H9))-1</f>
        <v>4.2936930751581732</v>
      </c>
      <c r="U14" s="40">
        <f>(SUM(U3:U9)/SUM(I3:I9))-1</f>
        <v>4.1300594446707564</v>
      </c>
      <c r="V14" s="40">
        <f>(SUM(V3:V9)/SUM(J3:J9))-1</f>
        <v>2.1860599112012218</v>
      </c>
      <c r="W14" s="40">
        <f t="shared" ref="W14:X14" si="0">(SUM(W3:W9)/SUM(K3:K9))-1</f>
        <v>1.5348168038957994</v>
      </c>
      <c r="X14" s="40">
        <f t="shared" si="0"/>
        <v>2.3722264823321253</v>
      </c>
    </row>
    <row r="15" spans="1:24" x14ac:dyDescent="0.25">
      <c r="A15" s="34" t="s">
        <v>571</v>
      </c>
      <c r="B15" s="40"/>
      <c r="C15" s="40"/>
      <c r="D15" s="40"/>
      <c r="E15" s="40"/>
      <c r="F15" s="40"/>
      <c r="G15" s="40"/>
      <c r="H15" s="40"/>
      <c r="I15" s="40"/>
      <c r="J15" s="40"/>
      <c r="K15" s="40"/>
      <c r="L15" s="40"/>
      <c r="M15" s="40"/>
      <c r="N15" s="40"/>
      <c r="O15" s="40"/>
      <c r="P15" s="40"/>
      <c r="Q15" s="40"/>
      <c r="R15" s="40"/>
      <c r="S15" s="40"/>
      <c r="T15" s="40">
        <f>((SUM(S3:T9))/(SUM(G3:H9)))-1</f>
        <v>2.7652323521510045</v>
      </c>
      <c r="U15" s="40">
        <f>((SUM(S3:U9))/(SUM(G3:I9)))-1</f>
        <v>3.2492072016714966</v>
      </c>
      <c r="V15" s="40">
        <f>((SUM(S3:V9))/(SUM(G3:J9)))-1</f>
        <v>2.8599675898707724</v>
      </c>
      <c r="W15" s="40">
        <f>((SUM(S3:W9))/(SUM(G3:K9)))-1</f>
        <v>2.5126673007935794</v>
      </c>
      <c r="X15" s="40">
        <f>((SUM(S3:X9))/(SUM(G3:L9)))-1</f>
        <v>2.4958144385454313</v>
      </c>
    </row>
    <row r="16" spans="1:24" x14ac:dyDescent="0.25">
      <c r="A16" s="34" t="s">
        <v>572</v>
      </c>
      <c r="B16" s="40"/>
      <c r="C16" s="40"/>
      <c r="D16" s="40"/>
      <c r="E16" s="40"/>
      <c r="F16" s="40"/>
      <c r="G16" s="40"/>
      <c r="H16" s="40"/>
      <c r="I16" s="40"/>
      <c r="J16" s="40"/>
      <c r="K16" s="40"/>
      <c r="L16" s="40"/>
      <c r="M16" s="40"/>
      <c r="N16" s="40"/>
      <c r="O16" s="40"/>
      <c r="P16" s="40"/>
      <c r="Q16" s="40"/>
      <c r="R16" s="40"/>
      <c r="S16" s="40">
        <f>(S10/G10)-1</f>
        <v>0.6613471928310497</v>
      </c>
      <c r="T16" s="40">
        <f>(T10/H10)-1</f>
        <v>-1.1369162110177022E-2</v>
      </c>
      <c r="U16" s="40">
        <f>(U10/I10)-1</f>
        <v>3.9725316721384019E-2</v>
      </c>
      <c r="V16" s="40">
        <f>(V10/J10)-1</f>
        <v>-0.30547640271840137</v>
      </c>
      <c r="W16" s="40">
        <f t="shared" ref="W16:X16" si="1">(W10/K10)-1</f>
        <v>-0.76703544031665483</v>
      </c>
      <c r="X16" s="40">
        <f t="shared" si="1"/>
        <v>4.8559494957679972E-2</v>
      </c>
    </row>
    <row r="17" spans="1:24" x14ac:dyDescent="0.25">
      <c r="A17" s="34" t="s">
        <v>533</v>
      </c>
      <c r="B17" s="40"/>
      <c r="C17" s="40"/>
      <c r="D17" s="40"/>
      <c r="E17" s="40"/>
      <c r="F17" s="40"/>
      <c r="G17" s="40"/>
      <c r="H17" s="40"/>
      <c r="I17" s="40"/>
      <c r="J17" s="40"/>
      <c r="K17" s="40"/>
      <c r="L17" s="40"/>
      <c r="M17" s="40"/>
      <c r="N17" s="40"/>
      <c r="O17" s="40"/>
      <c r="P17" s="40"/>
      <c r="Q17" s="40"/>
      <c r="R17" s="40"/>
      <c r="S17" s="40"/>
      <c r="T17" s="40">
        <f>(SUM(S10:T10)/SUM(G10:H10))-1</f>
        <v>0.30988291019539438</v>
      </c>
      <c r="U17" s="40">
        <f>(SUM(S10:U10)/SUM(G10:I10))-1</f>
        <v>0.21577110577363046</v>
      </c>
      <c r="V17" s="40">
        <f>(SUM(S10:V10)/SUM(G10:J10))-1</f>
        <v>0.10401965898794652</v>
      </c>
      <c r="W17" s="40">
        <f>(SUM(S10:W10)/SUM(G10:K10))-1</f>
        <v>-1.4586617324744422E-2</v>
      </c>
      <c r="X17" s="40">
        <f>(SUM(S10:X10)/SUM(G10:L10))-1</f>
        <v>-5.4364316172317295E-3</v>
      </c>
    </row>
    <row r="18" spans="1:24" ht="15.6" customHeight="1" x14ac:dyDescent="0.25">
      <c r="A18" s="34" t="s">
        <v>527</v>
      </c>
      <c r="B18" s="40"/>
      <c r="C18" s="40"/>
      <c r="D18" s="40"/>
      <c r="E18" s="40"/>
      <c r="F18" s="40"/>
      <c r="G18" s="40"/>
      <c r="H18" s="40"/>
      <c r="I18" s="40"/>
      <c r="J18" s="40"/>
      <c r="K18" s="40"/>
      <c r="L18" s="40"/>
      <c r="M18" s="40"/>
      <c r="N18" s="40"/>
      <c r="O18" s="40"/>
      <c r="P18" s="40"/>
      <c r="Q18" s="40"/>
      <c r="R18" s="40"/>
      <c r="S18" s="40">
        <f>(S2/G2)-1</f>
        <v>0.11138833253094971</v>
      </c>
      <c r="T18" s="40">
        <f>(T2/H2)-1</f>
        <v>-0.60202830004670638</v>
      </c>
      <c r="U18" s="40">
        <f>(U2/I2)-1</f>
        <v>-1</v>
      </c>
      <c r="V18" s="40">
        <f>(V2/J2)-1</f>
        <v>-0.99971679058015928</v>
      </c>
      <c r="W18" s="40">
        <f t="shared" ref="W18:X18" si="2">(W2/K2)-1</f>
        <v>-0.99807224877013923</v>
      </c>
      <c r="X18" s="40">
        <f t="shared" si="2"/>
        <v>-0.99072155315552823</v>
      </c>
    </row>
    <row r="19" spans="1:24" x14ac:dyDescent="0.25">
      <c r="A19" s="34" t="s">
        <v>528</v>
      </c>
      <c r="B19" s="40"/>
      <c r="C19" s="40"/>
      <c r="D19" s="40"/>
      <c r="E19" s="40"/>
      <c r="F19" s="40"/>
      <c r="G19" s="40"/>
      <c r="H19" s="40"/>
      <c r="I19" s="40"/>
      <c r="J19" s="40"/>
      <c r="K19" s="40"/>
      <c r="L19" s="40"/>
      <c r="M19" s="40"/>
      <c r="N19" s="40"/>
      <c r="O19" s="40"/>
      <c r="P19" s="40"/>
      <c r="Q19" s="40"/>
      <c r="R19" s="40"/>
      <c r="S19" s="40"/>
      <c r="T19" s="40">
        <f>(SUM(S2:T2)/SUM(G2:H2))-1</f>
        <v>-0.18514082768855378</v>
      </c>
      <c r="U19" s="40">
        <f>(SUM(S2:U2)/SUM(G2:I2))-1</f>
        <v>-0.40375468086421518</v>
      </c>
      <c r="V19" s="40">
        <f>(SUM(S2:V2)/SUM(G2:J2))-1</f>
        <v>-0.4928747079728496</v>
      </c>
      <c r="W19" s="40">
        <f>(SUM(S2:W2)/SUM(G2:K2))-1</f>
        <v>-0.54650984104845179</v>
      </c>
      <c r="X19" s="40">
        <f>(SUM(S2:X2)/SUM(G2:L2))-1</f>
        <v>-0.5951172573077157</v>
      </c>
    </row>
    <row r="20" spans="1:24" x14ac:dyDescent="0.25">
      <c r="A20" s="34" t="s">
        <v>529</v>
      </c>
      <c r="B20" s="40"/>
      <c r="C20" s="40"/>
      <c r="D20" s="40"/>
      <c r="E20" s="40"/>
      <c r="F20" s="40"/>
      <c r="G20" s="40"/>
      <c r="H20" s="40"/>
      <c r="I20" s="40"/>
      <c r="J20" s="40"/>
      <c r="K20" s="40"/>
      <c r="L20" s="40"/>
      <c r="M20" s="40"/>
      <c r="N20" s="40"/>
      <c r="O20" s="40"/>
      <c r="P20" s="40"/>
      <c r="Q20" s="40"/>
      <c r="R20" s="40"/>
      <c r="S20" s="40">
        <f>(S11/G11)-1</f>
        <v>0.18134973893267392</v>
      </c>
      <c r="T20" s="40">
        <f>(T11/H11)-1</f>
        <v>-0.16527490935886635</v>
      </c>
      <c r="U20" s="40">
        <f>(U11/I11)-1</f>
        <v>-0.44877449209304432</v>
      </c>
      <c r="V20" s="40">
        <f>(V11/J11)-1</f>
        <v>-0.28193132855953307</v>
      </c>
      <c r="W20" s="40">
        <f t="shared" ref="W20:X20" si="3">(W11/K11)-1</f>
        <v>-0.34402431954455182</v>
      </c>
      <c r="X20" s="40">
        <f t="shared" si="3"/>
        <v>-0.5098703887783641</v>
      </c>
    </row>
    <row r="21" spans="1:24" x14ac:dyDescent="0.25">
      <c r="A21" s="34" t="s">
        <v>530</v>
      </c>
      <c r="B21" s="40"/>
      <c r="C21" s="40"/>
      <c r="D21" s="40"/>
      <c r="E21" s="40"/>
      <c r="F21" s="40"/>
      <c r="G21" s="40"/>
      <c r="H21" s="40"/>
      <c r="I21" s="40"/>
      <c r="J21" s="40"/>
      <c r="K21" s="40"/>
      <c r="L21" s="40"/>
      <c r="M21" s="40"/>
      <c r="N21" s="40"/>
      <c r="O21" s="40"/>
      <c r="P21" s="40"/>
      <c r="Q21" s="40"/>
      <c r="R21" s="40"/>
      <c r="S21" s="40"/>
      <c r="T21" s="40">
        <f>(SUM(S11:T11)/SUM(G11:H11))-1</f>
        <v>3.4105719138071811E-2</v>
      </c>
      <c r="U21" s="40">
        <f>(SUM(S11:U11)/SUM(G11:I11))-1</f>
        <v>-9.9574820892851634E-2</v>
      </c>
      <c r="V21" s="40">
        <f>(SUM(S11:V11)/SUM(G11:J11))-1</f>
        <v>-0.13121005823943543</v>
      </c>
      <c r="W21" s="40">
        <f>(SUM(S11:W11)/SUM(G11:K11))-1</f>
        <v>-0.15803113829160964</v>
      </c>
      <c r="X21" s="40">
        <f>(SUM(S11:X11)/SUM(G11:L11))-1</f>
        <v>-0.19728190698583403</v>
      </c>
    </row>
    <row r="22" spans="1:24" x14ac:dyDescent="0.25">
      <c r="X22" s="39"/>
    </row>
    <row r="23" spans="1:24" x14ac:dyDescent="0.25">
      <c r="A23" s="34" t="s">
        <v>661</v>
      </c>
      <c r="B23" s="25" t="s">
        <v>683</v>
      </c>
      <c r="C23" s="25" t="s">
        <v>684</v>
      </c>
      <c r="D23" s="25" t="s">
        <v>685</v>
      </c>
      <c r="E23" s="25" t="s">
        <v>686</v>
      </c>
      <c r="F23" s="25" t="s">
        <v>687</v>
      </c>
      <c r="G23" s="25" t="s">
        <v>484</v>
      </c>
      <c r="H23" s="25" t="s">
        <v>485</v>
      </c>
      <c r="I23" s="25" t="s">
        <v>486</v>
      </c>
      <c r="J23" s="25" t="s">
        <v>487</v>
      </c>
      <c r="K23" s="25" t="s">
        <v>488</v>
      </c>
      <c r="L23" s="25" t="s">
        <v>489</v>
      </c>
      <c r="M23" s="25" t="s">
        <v>490</v>
      </c>
      <c r="N23" s="25" t="s">
        <v>491</v>
      </c>
      <c r="O23" s="25" t="s">
        <v>492</v>
      </c>
      <c r="P23" s="25" t="s">
        <v>493</v>
      </c>
      <c r="Q23" s="25" t="s">
        <v>494</v>
      </c>
      <c r="R23" s="25" t="s">
        <v>495</v>
      </c>
      <c r="S23" s="25" t="s">
        <v>496</v>
      </c>
      <c r="T23" s="25" t="s">
        <v>497</v>
      </c>
      <c r="U23" s="25" t="s">
        <v>574</v>
      </c>
      <c r="V23" s="25" t="s">
        <v>731</v>
      </c>
      <c r="W23" s="25" t="s">
        <v>732</v>
      </c>
      <c r="X23" s="25" t="s">
        <v>733</v>
      </c>
    </row>
    <row r="24" spans="1:24" x14ac:dyDescent="0.25">
      <c r="A24" s="34" t="s">
        <v>52</v>
      </c>
      <c r="G24" s="107">
        <f>G41*G2</f>
        <v>28658667.157199997</v>
      </c>
      <c r="H24" s="107">
        <f t="shared" ref="H24:X24" si="4">H41*H2</f>
        <v>19784323.461000003</v>
      </c>
      <c r="I24" s="107">
        <f t="shared" si="4"/>
        <v>14999890.276799999</v>
      </c>
      <c r="J24" s="107">
        <f t="shared" si="4"/>
        <v>10781804.5096</v>
      </c>
      <c r="K24" s="107">
        <f t="shared" si="4"/>
        <v>8366492.7560000001</v>
      </c>
      <c r="L24" s="107">
        <f t="shared" si="4"/>
        <v>8612060.4385000002</v>
      </c>
      <c r="M24" s="107">
        <f t="shared" si="4"/>
        <v>15679986.8368</v>
      </c>
      <c r="N24" s="107">
        <f t="shared" si="4"/>
        <v>13892338.176000001</v>
      </c>
      <c r="O24" s="107">
        <f t="shared" si="4"/>
        <v>24404828.211399999</v>
      </c>
      <c r="P24" s="107">
        <f t="shared" si="4"/>
        <v>26401526.4844</v>
      </c>
      <c r="Q24" s="107">
        <f t="shared" si="4"/>
        <v>22549945.698200002</v>
      </c>
      <c r="R24" s="107">
        <f t="shared" si="4"/>
        <v>28298938.998</v>
      </c>
      <c r="S24" s="107">
        <f t="shared" si="4"/>
        <v>30232576.280000001</v>
      </c>
      <c r="T24" s="107">
        <f t="shared" si="4"/>
        <v>5570292.3245999999</v>
      </c>
      <c r="U24" s="107">
        <f t="shared" si="4"/>
        <v>0</v>
      </c>
      <c r="V24" s="107">
        <f t="shared" si="4"/>
        <v>1116.2964000000002</v>
      </c>
      <c r="W24" s="107">
        <f t="shared" si="4"/>
        <v>4425.7073</v>
      </c>
      <c r="X24" s="107">
        <f t="shared" si="4"/>
        <v>40802.147999999994</v>
      </c>
    </row>
    <row r="25" spans="1:24" x14ac:dyDescent="0.25">
      <c r="A25" s="34" t="s">
        <v>39</v>
      </c>
      <c r="G25" s="107">
        <f>G41*G3</f>
        <v>83475.644400000005</v>
      </c>
      <c r="H25" s="107">
        <f t="shared" ref="H25:X25" si="5">H41*H3</f>
        <v>67234.119399999996</v>
      </c>
      <c r="I25" s="107">
        <f t="shared" si="5"/>
        <v>101051.17200000001</v>
      </c>
      <c r="J25" s="107">
        <f t="shared" si="5"/>
        <v>184985.99460000001</v>
      </c>
      <c r="K25" s="107">
        <f t="shared" si="5"/>
        <v>136639.37969999999</v>
      </c>
      <c r="L25" s="107">
        <f t="shared" si="5"/>
        <v>45348.146000000001</v>
      </c>
      <c r="M25" s="107">
        <f t="shared" si="5"/>
        <v>36647.582399999999</v>
      </c>
      <c r="N25" s="107">
        <f t="shared" si="5"/>
        <v>29206.380400000002</v>
      </c>
      <c r="O25" s="107">
        <f t="shared" si="5"/>
        <v>24041.938199999997</v>
      </c>
      <c r="P25" s="107">
        <f t="shared" si="5"/>
        <v>33005.4516</v>
      </c>
      <c r="Q25" s="107">
        <f t="shared" si="5"/>
        <v>36528.786800000002</v>
      </c>
      <c r="R25" s="107">
        <f t="shared" si="5"/>
        <v>55956.853999999999</v>
      </c>
      <c r="S25" s="107">
        <f t="shared" si="5"/>
        <v>52731.28</v>
      </c>
      <c r="T25" s="107">
        <f t="shared" si="5"/>
        <v>164152.44089999999</v>
      </c>
      <c r="U25" s="107">
        <f t="shared" si="5"/>
        <v>146813.95969999998</v>
      </c>
      <c r="V25" s="107">
        <f t="shared" si="5"/>
        <v>63094.107600000003</v>
      </c>
      <c r="W25" s="107">
        <f t="shared" si="5"/>
        <v>26237.632399999999</v>
      </c>
      <c r="X25" s="107">
        <f t="shared" si="5"/>
        <v>83828.915999999983</v>
      </c>
    </row>
    <row r="26" spans="1:24" x14ac:dyDescent="0.25">
      <c r="A26" s="34" t="s">
        <v>40</v>
      </c>
      <c r="G26" s="107">
        <f>G41*G4</f>
        <v>0</v>
      </c>
      <c r="H26" s="107">
        <f t="shared" ref="H26:X26" si="6">H41*H4</f>
        <v>0</v>
      </c>
      <c r="I26" s="107">
        <f t="shared" si="6"/>
        <v>161383.6728</v>
      </c>
      <c r="J26" s="107">
        <f t="shared" si="6"/>
        <v>404358.20560000004</v>
      </c>
      <c r="K26" s="107">
        <f t="shared" si="6"/>
        <v>200899.88770000002</v>
      </c>
      <c r="L26" s="107">
        <f t="shared" si="6"/>
        <v>89665.497000000003</v>
      </c>
      <c r="M26" s="107">
        <f t="shared" si="6"/>
        <v>86317.087999999989</v>
      </c>
      <c r="N26" s="107">
        <f t="shared" si="6"/>
        <v>45716.384299999998</v>
      </c>
      <c r="O26" s="107">
        <f t="shared" si="6"/>
        <v>46221.690199999997</v>
      </c>
      <c r="P26" s="107">
        <f t="shared" si="6"/>
        <v>70503.361600000004</v>
      </c>
      <c r="Q26" s="107">
        <f t="shared" si="6"/>
        <v>84390.500800000009</v>
      </c>
      <c r="R26" s="107">
        <f t="shared" si="6"/>
        <v>123002.84999999999</v>
      </c>
      <c r="S26" s="107">
        <f t="shared" si="6"/>
        <v>217281.08</v>
      </c>
      <c r="T26" s="107">
        <f t="shared" si="6"/>
        <v>707755.55799999996</v>
      </c>
      <c r="U26" s="107">
        <f t="shared" si="6"/>
        <v>540295.5673</v>
      </c>
      <c r="V26" s="107">
        <f t="shared" si="6"/>
        <v>326748.03080000001</v>
      </c>
      <c r="W26" s="107">
        <f t="shared" si="6"/>
        <v>131173.4032</v>
      </c>
      <c r="X26" s="107">
        <f t="shared" si="6"/>
        <v>240711.15399999995</v>
      </c>
    </row>
    <row r="27" spans="1:24" x14ac:dyDescent="0.25">
      <c r="A27" s="34" t="s">
        <v>41</v>
      </c>
      <c r="G27" s="107">
        <f>G41*G5</f>
        <v>619238.25</v>
      </c>
      <c r="H27" s="107">
        <f t="shared" ref="H27:X27" si="7">H41*H5</f>
        <v>807876.71830000007</v>
      </c>
      <c r="I27" s="107">
        <f t="shared" si="7"/>
        <v>344188.91519999999</v>
      </c>
      <c r="J27" s="107">
        <f t="shared" si="7"/>
        <v>147579.69500000001</v>
      </c>
      <c r="K27" s="107">
        <f t="shared" si="7"/>
        <v>856408.93360000011</v>
      </c>
      <c r="L27" s="107">
        <f t="shared" si="7"/>
        <v>362528.3235</v>
      </c>
      <c r="M27" s="107">
        <f t="shared" si="7"/>
        <v>557714.87199999997</v>
      </c>
      <c r="N27" s="107">
        <f t="shared" si="7"/>
        <v>735844.41139999998</v>
      </c>
      <c r="O27" s="107">
        <f t="shared" si="7"/>
        <v>92611.205399999992</v>
      </c>
      <c r="P27" s="107">
        <f t="shared" si="7"/>
        <v>0</v>
      </c>
      <c r="Q27" s="107">
        <f t="shared" si="7"/>
        <v>0</v>
      </c>
      <c r="R27" s="107">
        <f t="shared" si="7"/>
        <v>226378.19399999996</v>
      </c>
      <c r="S27" s="107">
        <f t="shared" si="7"/>
        <v>2209730.7200000002</v>
      </c>
      <c r="T27" s="107">
        <f t="shared" si="7"/>
        <v>2616368.8775999998</v>
      </c>
      <c r="U27" s="107">
        <f t="shared" si="7"/>
        <v>2221834.2029999997</v>
      </c>
      <c r="V27" s="107">
        <f t="shared" si="7"/>
        <v>1243926.5280000002</v>
      </c>
      <c r="W27" s="107">
        <f t="shared" si="7"/>
        <v>843289.36860000005</v>
      </c>
      <c r="X27" s="107">
        <f t="shared" si="7"/>
        <v>779003.76399999997</v>
      </c>
    </row>
    <row r="28" spans="1:24" x14ac:dyDescent="0.25">
      <c r="A28" s="34" t="s">
        <v>53</v>
      </c>
      <c r="G28" s="107">
        <f>G41*G6</f>
        <v>280184.03999999998</v>
      </c>
      <c r="H28" s="107">
        <f t="shared" ref="H28:X28" si="8">H41*H6</f>
        <v>243494.06</v>
      </c>
      <c r="I28" s="107">
        <f t="shared" si="8"/>
        <v>286848</v>
      </c>
      <c r="J28" s="107">
        <f t="shared" si="8"/>
        <v>623023.24000000011</v>
      </c>
      <c r="K28" s="107">
        <f t="shared" si="8"/>
        <v>447185.52</v>
      </c>
      <c r="L28" s="107">
        <f t="shared" si="8"/>
        <v>246024</v>
      </c>
      <c r="M28" s="107">
        <f t="shared" si="8"/>
        <v>246503.4</v>
      </c>
      <c r="N28" s="107">
        <f t="shared" si="8"/>
        <v>224045.17</v>
      </c>
      <c r="O28" s="107">
        <f t="shared" si="8"/>
        <v>195952.47</v>
      </c>
      <c r="P28" s="107">
        <f t="shared" si="8"/>
        <v>206197.08000000002</v>
      </c>
      <c r="Q28" s="107">
        <f t="shared" si="8"/>
        <v>214262.32</v>
      </c>
      <c r="R28" s="107">
        <f t="shared" si="8"/>
        <v>236933.59999999998</v>
      </c>
      <c r="S28" s="107">
        <f t="shared" si="8"/>
        <v>305660</v>
      </c>
      <c r="T28" s="107">
        <f t="shared" si="8"/>
        <v>686298.88</v>
      </c>
      <c r="U28" s="107">
        <f t="shared" si="8"/>
        <v>621324.74</v>
      </c>
      <c r="V28" s="107">
        <f t="shared" si="8"/>
        <v>352643.28</v>
      </c>
      <c r="W28" s="107">
        <f t="shared" si="8"/>
        <v>191600.85</v>
      </c>
      <c r="X28" s="107">
        <f t="shared" si="8"/>
        <v>293068.24</v>
      </c>
    </row>
    <row r="29" spans="1:24" x14ac:dyDescent="0.25">
      <c r="A29" s="34" t="s">
        <v>54</v>
      </c>
      <c r="G29" s="107">
        <f>G41*G7</f>
        <v>342646.95600000001</v>
      </c>
      <c r="H29" s="107">
        <f t="shared" ref="H29:X29" si="9">H41*H7</f>
        <v>316727.92310000001</v>
      </c>
      <c r="I29" s="107">
        <f t="shared" si="9"/>
        <v>350763.11279999994</v>
      </c>
      <c r="J29" s="107">
        <f t="shared" si="9"/>
        <v>739729.00720000011</v>
      </c>
      <c r="K29" s="107">
        <f t="shared" si="9"/>
        <v>547700.45429999998</v>
      </c>
      <c r="L29" s="107">
        <f t="shared" si="9"/>
        <v>183681.4045</v>
      </c>
      <c r="M29" s="107">
        <f t="shared" si="9"/>
        <v>415763.86279999994</v>
      </c>
      <c r="N29" s="107">
        <f t="shared" si="9"/>
        <v>257362.55080000003</v>
      </c>
      <c r="O29" s="107">
        <f t="shared" si="9"/>
        <v>227661.32549999998</v>
      </c>
      <c r="P29" s="107">
        <f t="shared" si="9"/>
        <v>162458.908</v>
      </c>
      <c r="Q29" s="107">
        <f t="shared" si="9"/>
        <v>339259.13709999999</v>
      </c>
      <c r="R29" s="107">
        <f t="shared" si="9"/>
        <v>225231.65</v>
      </c>
      <c r="S29" s="107">
        <f t="shared" si="9"/>
        <v>472282.44</v>
      </c>
      <c r="T29" s="107">
        <f t="shared" si="9"/>
        <v>1604110.0031000001</v>
      </c>
      <c r="U29" s="107">
        <f t="shared" si="9"/>
        <v>1124104.2659999998</v>
      </c>
      <c r="V29" s="107">
        <f t="shared" si="9"/>
        <v>918022.60800000012</v>
      </c>
      <c r="W29" s="107">
        <f t="shared" si="9"/>
        <v>479957.58160000003</v>
      </c>
      <c r="X29" s="107">
        <f t="shared" si="9"/>
        <v>398640.27199999994</v>
      </c>
    </row>
    <row r="30" spans="1:24" x14ac:dyDescent="0.25">
      <c r="A30" s="34" t="s">
        <v>42</v>
      </c>
      <c r="G30" s="107">
        <f>G41*G8</f>
        <v>272805.12</v>
      </c>
      <c r="H30" s="107">
        <f t="shared" ref="H30:X30" si="10">H41*H8</f>
        <v>258512.54</v>
      </c>
      <c r="I30" s="107">
        <f t="shared" si="10"/>
        <v>260397.62640000001</v>
      </c>
      <c r="J30" s="107">
        <f t="shared" si="10"/>
        <v>489714.88000000006</v>
      </c>
      <c r="K30" s="107">
        <f t="shared" si="10"/>
        <v>391223.3</v>
      </c>
      <c r="L30" s="107">
        <f t="shared" si="10"/>
        <v>231444.80000000002</v>
      </c>
      <c r="M30" s="107">
        <f t="shared" si="10"/>
        <v>248882.91999999998</v>
      </c>
      <c r="N30" s="107">
        <f t="shared" si="10"/>
        <v>209031.46</v>
      </c>
      <c r="O30" s="107">
        <f t="shared" si="10"/>
        <v>183332.03</v>
      </c>
      <c r="P30" s="107">
        <f t="shared" si="10"/>
        <v>189892.2</v>
      </c>
      <c r="Q30" s="107">
        <f t="shared" si="10"/>
        <v>192889.52000000002</v>
      </c>
      <c r="R30" s="107">
        <f t="shared" si="10"/>
        <v>222036.99999999997</v>
      </c>
      <c r="S30" s="107">
        <f t="shared" si="10"/>
        <v>256768</v>
      </c>
      <c r="T30" s="107">
        <f t="shared" si="10"/>
        <v>698763.62599999993</v>
      </c>
      <c r="U30" s="107">
        <f t="shared" si="10"/>
        <v>632583.75</v>
      </c>
      <c r="V30" s="107">
        <f t="shared" si="10"/>
        <v>386644.91600000003</v>
      </c>
      <c r="W30" s="107">
        <f t="shared" si="10"/>
        <v>203464.46539999999</v>
      </c>
      <c r="X30" s="107">
        <f t="shared" si="10"/>
        <v>285565.59999999998</v>
      </c>
    </row>
    <row r="31" spans="1:24" x14ac:dyDescent="0.25">
      <c r="A31" s="34" t="s">
        <v>43</v>
      </c>
      <c r="G31" s="107">
        <f>G41*G9</f>
        <v>257832.36000000002</v>
      </c>
      <c r="H31" s="107">
        <f t="shared" ref="H31:X31" si="11">H41*H9</f>
        <v>226250.62</v>
      </c>
      <c r="I31" s="107">
        <f t="shared" si="11"/>
        <v>252840.97439999998</v>
      </c>
      <c r="J31" s="107">
        <f t="shared" si="11"/>
        <v>550077.22000000009</v>
      </c>
      <c r="K31" s="107">
        <f t="shared" si="11"/>
        <v>395321.22000000003</v>
      </c>
      <c r="L31" s="107">
        <f t="shared" si="11"/>
        <v>218232.40000000002</v>
      </c>
      <c r="M31" s="107">
        <f t="shared" si="11"/>
        <v>208616.98</v>
      </c>
      <c r="N31" s="107">
        <f t="shared" si="11"/>
        <v>188578</v>
      </c>
      <c r="O31" s="107">
        <f t="shared" si="11"/>
        <v>163058.76999999999</v>
      </c>
      <c r="P31" s="107">
        <f t="shared" si="11"/>
        <v>161491.22</v>
      </c>
      <c r="Q31" s="107">
        <f t="shared" si="11"/>
        <v>173587.21000000002</v>
      </c>
      <c r="R31" s="107">
        <f t="shared" si="11"/>
        <v>196338.59999999998</v>
      </c>
      <c r="S31" s="107">
        <f t="shared" si="11"/>
        <v>249186.68000000002</v>
      </c>
      <c r="T31" s="107">
        <f t="shared" si="11"/>
        <v>713500.95</v>
      </c>
      <c r="U31" s="107">
        <f t="shared" si="11"/>
        <v>631642.23</v>
      </c>
      <c r="V31" s="107">
        <f t="shared" si="11"/>
        <v>365629.60000000003</v>
      </c>
      <c r="W31" s="107">
        <f t="shared" si="11"/>
        <v>193832.24</v>
      </c>
      <c r="X31" s="107">
        <f t="shared" si="11"/>
        <v>290160.24</v>
      </c>
    </row>
    <row r="32" spans="1:24" x14ac:dyDescent="0.25">
      <c r="A32" s="34" t="s">
        <v>38</v>
      </c>
      <c r="G32" s="107">
        <f>G41*G10</f>
        <v>484785.01439999999</v>
      </c>
      <c r="H32" s="107">
        <f t="shared" ref="H32:X32" si="12">H41*H10</f>
        <v>514755.62079999998</v>
      </c>
      <c r="I32" s="107">
        <f t="shared" si="12"/>
        <v>452698.13520000002</v>
      </c>
      <c r="J32" s="107">
        <f t="shared" si="12"/>
        <v>388938.60980000003</v>
      </c>
      <c r="K32" s="107">
        <f t="shared" si="12"/>
        <v>279369.93329999998</v>
      </c>
      <c r="L32" s="107">
        <f t="shared" si="12"/>
        <v>309240.77799999999</v>
      </c>
      <c r="M32" s="107">
        <f t="shared" si="12"/>
        <v>651447.13919999998</v>
      </c>
      <c r="N32" s="107">
        <f t="shared" si="12"/>
        <v>962054.60190000001</v>
      </c>
      <c r="O32" s="107">
        <f t="shared" si="12"/>
        <v>590495.61899999995</v>
      </c>
      <c r="P32" s="107">
        <f t="shared" si="12"/>
        <v>280759.42879999999</v>
      </c>
      <c r="Q32" s="107">
        <f t="shared" si="12"/>
        <v>377442.98009999999</v>
      </c>
      <c r="R32" s="107">
        <f t="shared" si="12"/>
        <v>307918.36999999994</v>
      </c>
      <c r="S32" s="107">
        <f t="shared" si="12"/>
        <v>764474.36</v>
      </c>
      <c r="T32" s="107">
        <f t="shared" si="12"/>
        <v>360030.95609999995</v>
      </c>
      <c r="U32" s="107">
        <f t="shared" si="12"/>
        <v>308983.32599999994</v>
      </c>
      <c r="V32" s="107">
        <f t="shared" si="12"/>
        <v>98752.577600000019</v>
      </c>
      <c r="W32" s="107">
        <f t="shared" si="12"/>
        <v>17859.0265</v>
      </c>
      <c r="X32" s="107">
        <f t="shared" si="12"/>
        <v>165573.37760000001</v>
      </c>
    </row>
    <row r="33" spans="1:24" x14ac:dyDescent="0.25">
      <c r="A33" s="34" t="s">
        <v>37</v>
      </c>
      <c r="G33" s="107">
        <f>G41*G11</f>
        <v>30999634.541999999</v>
      </c>
      <c r="H33" s="107">
        <f t="shared" ref="H33:S33" si="13">SUM(H24:H32)</f>
        <v>22219175.062599998</v>
      </c>
      <c r="I33" s="107">
        <f t="shared" si="13"/>
        <v>17210061.885600001</v>
      </c>
      <c r="J33" s="107">
        <f t="shared" si="13"/>
        <v>14310211.361800004</v>
      </c>
      <c r="K33" s="107">
        <f t="shared" si="13"/>
        <v>11621241.384600002</v>
      </c>
      <c r="L33" s="107">
        <f t="shared" si="13"/>
        <v>10298225.787500001</v>
      </c>
      <c r="M33" s="107">
        <f t="shared" si="13"/>
        <v>18131880.681199998</v>
      </c>
      <c r="N33" s="107">
        <f t="shared" si="13"/>
        <v>16544177.1348</v>
      </c>
      <c r="O33" s="107">
        <f t="shared" si="13"/>
        <v>25928203.2597</v>
      </c>
      <c r="P33" s="107">
        <f t="shared" si="13"/>
        <v>27505834.134399999</v>
      </c>
      <c r="Q33" s="107">
        <f t="shared" si="13"/>
        <v>23968306.153000001</v>
      </c>
      <c r="R33" s="107">
        <f t="shared" si="13"/>
        <v>29892736.116</v>
      </c>
      <c r="S33" s="107">
        <f t="shared" si="13"/>
        <v>34760690.839999996</v>
      </c>
      <c r="T33" s="107">
        <f>SUM(T24:T32)</f>
        <v>13121273.6163</v>
      </c>
      <c r="U33" s="107">
        <f>SUM(U24:U32)</f>
        <v>6227582.0420000004</v>
      </c>
      <c r="V33" s="107">
        <f t="shared" ref="V33:X33" si="14">SUM(V24:V32)</f>
        <v>3756577.9444000004</v>
      </c>
      <c r="W33" s="107">
        <f t="shared" si="14"/>
        <v>2091840.2750000004</v>
      </c>
      <c r="X33" s="107">
        <f t="shared" si="14"/>
        <v>2577353.7116</v>
      </c>
    </row>
    <row r="35" spans="1:24" x14ac:dyDescent="0.25">
      <c r="A35" s="34" t="s">
        <v>676</v>
      </c>
      <c r="I35" s="107">
        <f>G33+H33+I33</f>
        <v>70428871.490199998</v>
      </c>
      <c r="J35" s="107"/>
      <c r="K35" s="107"/>
      <c r="L35" s="107">
        <f>J33+K33+L33</f>
        <v>36229678.533900008</v>
      </c>
      <c r="M35" s="107"/>
      <c r="N35" s="107"/>
      <c r="O35" s="107">
        <f>M33+N33+O33</f>
        <v>60604261.0757</v>
      </c>
      <c r="P35" s="107"/>
      <c r="Q35" s="107"/>
      <c r="R35" s="107">
        <f>P33+Q33+R33</f>
        <v>81366876.403400004</v>
      </c>
      <c r="S35" s="107"/>
      <c r="T35" s="107"/>
      <c r="U35" s="107">
        <f>S33+T33+U33</f>
        <v>54109546.498300001</v>
      </c>
      <c r="X35" s="107">
        <f>V33+W33+X33</f>
        <v>8425771.9310000017</v>
      </c>
    </row>
    <row r="36" spans="1:24" x14ac:dyDescent="0.25">
      <c r="A36" s="34" t="s">
        <v>677</v>
      </c>
      <c r="L36" s="40">
        <f>(L35/I35)-1</f>
        <v>-0.48558484940453328</v>
      </c>
      <c r="M36" s="40"/>
      <c r="N36" s="40"/>
      <c r="O36" s="40">
        <f>(O35/L35)-1</f>
        <v>0.67277943189566991</v>
      </c>
      <c r="P36" s="40"/>
      <c r="Q36" s="40"/>
      <c r="R36" s="40">
        <f>(R35/O35)-1</f>
        <v>0.34259332527403785</v>
      </c>
      <c r="S36" s="40"/>
      <c r="T36" s="40"/>
      <c r="U36" s="40">
        <f>(U35/R35)-1</f>
        <v>-0.33499294934174251</v>
      </c>
      <c r="X36" s="40">
        <f>(X35/U35)-1</f>
        <v>-0.84428307985791895</v>
      </c>
    </row>
    <row r="37" spans="1:24" x14ac:dyDescent="0.25">
      <c r="A37" s="34" t="s">
        <v>678</v>
      </c>
      <c r="L37" s="40"/>
      <c r="M37" s="40"/>
      <c r="N37" s="40"/>
      <c r="O37" s="40"/>
      <c r="P37" s="40"/>
      <c r="Q37" s="40"/>
      <c r="R37" s="40"/>
      <c r="S37" s="40"/>
      <c r="T37" s="40"/>
      <c r="U37" s="40">
        <f>(U35/I35)-1</f>
        <v>-0.23171356641957253</v>
      </c>
      <c r="X37" s="40">
        <f>(X35/L35)-1</f>
        <v>-0.76743453787159521</v>
      </c>
    </row>
    <row r="40" spans="1:24" x14ac:dyDescent="0.25">
      <c r="A40" s="25" t="s">
        <v>576</v>
      </c>
      <c r="G40" s="25" t="s">
        <v>484</v>
      </c>
      <c r="H40" s="25" t="s">
        <v>485</v>
      </c>
      <c r="I40" s="25" t="s">
        <v>486</v>
      </c>
      <c r="J40" s="25" t="s">
        <v>487</v>
      </c>
      <c r="K40" s="25" t="s">
        <v>488</v>
      </c>
      <c r="L40" s="25" t="s">
        <v>489</v>
      </c>
      <c r="M40" s="25" t="s">
        <v>490</v>
      </c>
      <c r="N40" s="25" t="s">
        <v>491</v>
      </c>
      <c r="O40" s="25" t="s">
        <v>492</v>
      </c>
      <c r="P40" s="25" t="s">
        <v>493</v>
      </c>
      <c r="Q40" s="25" t="s">
        <v>494</v>
      </c>
      <c r="R40" s="25" t="s">
        <v>495</v>
      </c>
      <c r="S40" s="25" t="s">
        <v>496</v>
      </c>
      <c r="T40" s="25" t="s">
        <v>497</v>
      </c>
      <c r="U40" s="25" t="s">
        <v>574</v>
      </c>
      <c r="V40" s="25" t="s">
        <v>731</v>
      </c>
      <c r="W40" s="25" t="s">
        <v>732</v>
      </c>
      <c r="X40" s="25" t="s">
        <v>733</v>
      </c>
    </row>
    <row r="41" spans="1:24" x14ac:dyDescent="0.25">
      <c r="A41" s="25" t="s">
        <v>573</v>
      </c>
      <c r="G41" s="62">
        <f>PTF!B8</f>
        <v>71.64</v>
      </c>
      <c r="H41" s="62">
        <f>PTF!C8</f>
        <v>69.53</v>
      </c>
      <c r="I41" s="62">
        <f>PTF!D8</f>
        <v>59.76</v>
      </c>
      <c r="J41" s="62">
        <f>PTF!E8</f>
        <v>65.540000000000006</v>
      </c>
      <c r="K41" s="62">
        <f>PTF!F8</f>
        <v>64.03</v>
      </c>
      <c r="L41" s="62">
        <f>PTF!G8</f>
        <v>56.95</v>
      </c>
      <c r="M41" s="62">
        <f>PTF!H8</f>
        <v>74.36</v>
      </c>
      <c r="N41" s="62">
        <f>PTF!I8</f>
        <v>72.53</v>
      </c>
      <c r="O41" s="62">
        <f>PTF!J8</f>
        <v>67.13</v>
      </c>
      <c r="P41" s="62">
        <f>PTF!K8</f>
        <v>66.28</v>
      </c>
      <c r="Q41" s="62">
        <f>PTF!L8</f>
        <v>66.790000000000006</v>
      </c>
      <c r="R41" s="62">
        <f>PTF!M8</f>
        <v>70.599999999999994</v>
      </c>
      <c r="S41" s="62">
        <f>PTF!N8</f>
        <v>68</v>
      </c>
      <c r="T41" s="62">
        <f>PTF!O8</f>
        <v>49.19</v>
      </c>
      <c r="U41" s="62">
        <f>PTF!P8</f>
        <v>39.229999999999997</v>
      </c>
      <c r="V41" s="62">
        <f>PTF!Q8</f>
        <v>23.96</v>
      </c>
      <c r="W41" s="62">
        <f>PTF!R8</f>
        <v>17.57</v>
      </c>
      <c r="X41" s="62">
        <f>PTF!S8</f>
        <v>29.08</v>
      </c>
    </row>
    <row r="43" spans="1:24" x14ac:dyDescent="0.25">
      <c r="A43" s="25" t="s">
        <v>679</v>
      </c>
      <c r="B43" s="25" t="s">
        <v>683</v>
      </c>
      <c r="C43" s="25" t="s">
        <v>684</v>
      </c>
      <c r="D43" s="25" t="s">
        <v>685</v>
      </c>
      <c r="E43" s="25" t="s">
        <v>686</v>
      </c>
      <c r="F43" s="25" t="s">
        <v>687</v>
      </c>
      <c r="G43" s="25" t="s">
        <v>484</v>
      </c>
      <c r="H43" s="25" t="s">
        <v>485</v>
      </c>
      <c r="I43" s="25" t="s">
        <v>486</v>
      </c>
      <c r="J43" s="25" t="s">
        <v>487</v>
      </c>
      <c r="K43" s="25" t="s">
        <v>488</v>
      </c>
      <c r="L43" s="25" t="s">
        <v>489</v>
      </c>
      <c r="M43" s="25" t="s">
        <v>490</v>
      </c>
      <c r="N43" s="25" t="s">
        <v>491</v>
      </c>
      <c r="O43" s="25" t="s">
        <v>492</v>
      </c>
      <c r="P43" s="25" t="s">
        <v>493</v>
      </c>
      <c r="Q43" s="25" t="s">
        <v>494</v>
      </c>
      <c r="R43" s="25" t="s">
        <v>495</v>
      </c>
      <c r="S43" s="25" t="s">
        <v>496</v>
      </c>
      <c r="T43" s="25" t="s">
        <v>497</v>
      </c>
      <c r="U43" s="25" t="s">
        <v>574</v>
      </c>
      <c r="V43" s="25" t="s">
        <v>731</v>
      </c>
      <c r="W43" s="25" t="s">
        <v>732</v>
      </c>
      <c r="X43" s="25" t="s">
        <v>733</v>
      </c>
    </row>
    <row r="44" spans="1:24" x14ac:dyDescent="0.25">
      <c r="A44" s="34" t="s">
        <v>52</v>
      </c>
      <c r="G44" s="110">
        <f t="shared" ref="G44:G52" si="15">$G$60*G24</f>
        <v>1016809510.7374558</v>
      </c>
      <c r="H44" s="110">
        <f t="shared" ref="H44:H52" si="16">$H$60*H24</f>
        <v>714609763.41132009</v>
      </c>
      <c r="I44" s="110">
        <f>$I$60*I24</f>
        <v>555595935.85267198</v>
      </c>
      <c r="J44" s="110">
        <f>$J$60*J24</f>
        <v>410247661.59028</v>
      </c>
      <c r="K44" s="110">
        <f>$K$60*K24</f>
        <v>323950599.51231998</v>
      </c>
      <c r="L44" s="110">
        <f>$L$60*L24</f>
        <v>339056819.463745</v>
      </c>
      <c r="M44" s="110">
        <f>$M$60*M24</f>
        <v>629394671.62915194</v>
      </c>
      <c r="N44" s="110">
        <f>$N$60*N24</f>
        <v>566112780.67200005</v>
      </c>
      <c r="O44" s="110">
        <f>$O$60*O24</f>
        <v>1006455115.438136</v>
      </c>
      <c r="P44" s="110">
        <f>$P$60*P24</f>
        <v>1102263730.7237</v>
      </c>
      <c r="Q44" s="110">
        <f>$Q$60*Q24</f>
        <v>951607708.46404016</v>
      </c>
      <c r="R44" s="110">
        <f>$R$60*R24</f>
        <v>1205817790.7047799</v>
      </c>
      <c r="S44" s="110">
        <f>$S$60*S24</f>
        <v>1304233340.7192001</v>
      </c>
      <c r="T44" s="110">
        <f>$T$60*T24</f>
        <v>242920448.27580598</v>
      </c>
      <c r="U44" s="110">
        <f>$U$60*U24</f>
        <v>0</v>
      </c>
      <c r="V44" s="110">
        <f t="shared" ref="V44:V53" si="17">$V$60*V24</f>
        <v>49876.123152000007</v>
      </c>
      <c r="W44" s="110">
        <f t="shared" ref="W44:W53" si="18">$W$60*W24</f>
        <v>200750.083128</v>
      </c>
      <c r="X44" s="110">
        <f t="shared" ref="X44:X53" si="19">$X$60*X24</f>
        <v>1883835.1731599998</v>
      </c>
    </row>
    <row r="45" spans="1:24" x14ac:dyDescent="0.25">
      <c r="A45" s="34" t="s">
        <v>39</v>
      </c>
      <c r="G45" s="110">
        <f t="shared" si="15"/>
        <v>2961715.8633119999</v>
      </c>
      <c r="H45" s="110">
        <f t="shared" si="16"/>
        <v>2428496.3927279995</v>
      </c>
      <c r="I45" s="110">
        <f t="shared" ref="I45:I52" si="20">$I$60*I25</f>
        <v>3742935.4108800003</v>
      </c>
      <c r="J45" s="110">
        <f t="shared" ref="J45:J52" si="21">$J$60*J25</f>
        <v>7038717.0945299994</v>
      </c>
      <c r="K45" s="110">
        <f t="shared" ref="K45:K52" si="22">$K$60*K25</f>
        <v>5290676.7819839995</v>
      </c>
      <c r="L45" s="110">
        <f t="shared" ref="L45:L52" si="23">$L$60*L25</f>
        <v>1785356.5080199998</v>
      </c>
      <c r="M45" s="110">
        <f t="shared" ref="M45:M52" si="24">$M$60*M25</f>
        <v>1471033.9575360001</v>
      </c>
      <c r="N45" s="110">
        <f t="shared" ref="N45:N52" si="25">$N$60*N25</f>
        <v>1190160.0013000001</v>
      </c>
      <c r="O45" s="110">
        <f t="shared" ref="O45:O52" si="26">$O$60*O25</f>
        <v>991489.53136799997</v>
      </c>
      <c r="P45" s="110">
        <f t="shared" ref="P45:P52" si="27">$P$60*P25</f>
        <v>1377977.6043</v>
      </c>
      <c r="Q45" s="110">
        <f t="shared" ref="Q45:Q52" si="28">$Q$60*Q25</f>
        <v>1541514.8029600002</v>
      </c>
      <c r="R45" s="110">
        <f t="shared" ref="R45:R52" si="29">$R$60*R25</f>
        <v>2384321.5489400001</v>
      </c>
      <c r="S45" s="110">
        <f t="shared" ref="S45:S52" si="30">$S$60*S25</f>
        <v>2274827.4191999999</v>
      </c>
      <c r="T45" s="110">
        <f t="shared" ref="T45:T52" si="31">$T$60*T25</f>
        <v>7158687.9476489993</v>
      </c>
      <c r="U45" s="110">
        <f t="shared" ref="U45:U52" si="32">$U$60*U25</f>
        <v>6474495.6227699993</v>
      </c>
      <c r="V45" s="110">
        <f t="shared" si="17"/>
        <v>2819044.7275680001</v>
      </c>
      <c r="W45" s="110">
        <f t="shared" si="18"/>
        <v>1190139.0056639998</v>
      </c>
      <c r="X45" s="110">
        <f t="shared" si="19"/>
        <v>3870381.0517199994</v>
      </c>
    </row>
    <row r="46" spans="1:24" x14ac:dyDescent="0.25">
      <c r="A46" s="34" t="s">
        <v>40</v>
      </c>
      <c r="G46" s="110">
        <f t="shared" si="15"/>
        <v>0</v>
      </c>
      <c r="H46" s="110">
        <f t="shared" si="16"/>
        <v>0</v>
      </c>
      <c r="I46" s="110">
        <f t="shared" si="20"/>
        <v>5977651.2405119995</v>
      </c>
      <c r="J46" s="110">
        <f t="shared" si="21"/>
        <v>15385829.72308</v>
      </c>
      <c r="K46" s="110">
        <f t="shared" si="22"/>
        <v>7778843.6517440006</v>
      </c>
      <c r="L46" s="110">
        <f t="shared" si="23"/>
        <v>3530130.6168899997</v>
      </c>
      <c r="M46" s="110">
        <f t="shared" si="24"/>
        <v>3464767.9123199997</v>
      </c>
      <c r="N46" s="110">
        <f t="shared" si="25"/>
        <v>1862942.660225</v>
      </c>
      <c r="O46" s="110">
        <f t="shared" si="26"/>
        <v>1906182.503848</v>
      </c>
      <c r="P46" s="110">
        <f t="shared" si="27"/>
        <v>2943515.3467999999</v>
      </c>
      <c r="Q46" s="110">
        <f t="shared" si="28"/>
        <v>3561279.1337600006</v>
      </c>
      <c r="R46" s="110">
        <f t="shared" si="29"/>
        <v>5241151.4384999992</v>
      </c>
      <c r="S46" s="110">
        <f t="shared" si="30"/>
        <v>9373505.7911999989</v>
      </c>
      <c r="T46" s="110">
        <f t="shared" si="31"/>
        <v>30865219.884379998</v>
      </c>
      <c r="U46" s="110">
        <f t="shared" si="32"/>
        <v>23827034.517930001</v>
      </c>
      <c r="V46" s="110">
        <f t="shared" si="17"/>
        <v>14599102.016144</v>
      </c>
      <c r="W46" s="110">
        <f t="shared" si="18"/>
        <v>5950025.5691520004</v>
      </c>
      <c r="X46" s="110">
        <f t="shared" si="19"/>
        <v>11113633.980179999</v>
      </c>
    </row>
    <row r="47" spans="1:24" x14ac:dyDescent="0.25">
      <c r="A47" s="34" t="s">
        <v>41</v>
      </c>
      <c r="G47" s="110">
        <f t="shared" si="15"/>
        <v>21970573.109999999</v>
      </c>
      <c r="H47" s="110">
        <f t="shared" si="16"/>
        <v>29180507.064996</v>
      </c>
      <c r="I47" s="110">
        <f t="shared" si="20"/>
        <v>12748757.419008</v>
      </c>
      <c r="J47" s="110">
        <f t="shared" si="21"/>
        <v>5615407.39475</v>
      </c>
      <c r="K47" s="110">
        <f t="shared" si="22"/>
        <v>33160153.908992004</v>
      </c>
      <c r="L47" s="110">
        <f t="shared" si="23"/>
        <v>14272740.096194999</v>
      </c>
      <c r="M47" s="110">
        <f t="shared" si="24"/>
        <v>22386674.962079998</v>
      </c>
      <c r="N47" s="110">
        <f t="shared" si="25"/>
        <v>29985659.76455</v>
      </c>
      <c r="O47" s="110">
        <f t="shared" si="26"/>
        <v>3819286.110696</v>
      </c>
      <c r="P47" s="110">
        <f t="shared" si="27"/>
        <v>0</v>
      </c>
      <c r="Q47" s="110">
        <f t="shared" si="28"/>
        <v>0</v>
      </c>
      <c r="R47" s="110">
        <f t="shared" si="29"/>
        <v>9645974.8463399988</v>
      </c>
      <c r="S47" s="110">
        <f t="shared" si="30"/>
        <v>95327783.260800004</v>
      </c>
      <c r="T47" s="110">
        <f t="shared" si="31"/>
        <v>114099846.75213599</v>
      </c>
      <c r="U47" s="110">
        <f t="shared" si="32"/>
        <v>97982888.352299988</v>
      </c>
      <c r="V47" s="110">
        <f t="shared" si="17"/>
        <v>55578637.271040007</v>
      </c>
      <c r="W47" s="110">
        <f t="shared" si="18"/>
        <v>38251605.759695999</v>
      </c>
      <c r="X47" s="110">
        <f t="shared" si="19"/>
        <v>35966603.783880003</v>
      </c>
    </row>
    <row r="48" spans="1:24" x14ac:dyDescent="0.25">
      <c r="A48" s="34" t="s">
        <v>53</v>
      </c>
      <c r="G48" s="110">
        <f t="shared" si="15"/>
        <v>9940929.7391999979</v>
      </c>
      <c r="H48" s="110">
        <f t="shared" si="16"/>
        <v>8795005.4471999984</v>
      </c>
      <c r="I48" s="110">
        <f t="shared" si="20"/>
        <v>10624849.92</v>
      </c>
      <c r="J48" s="110">
        <f t="shared" si="21"/>
        <v>23706034.282000002</v>
      </c>
      <c r="K48" s="110">
        <f t="shared" si="22"/>
        <v>17315023.334400002</v>
      </c>
      <c r="L48" s="110">
        <f t="shared" si="23"/>
        <v>9685964.879999999</v>
      </c>
      <c r="M48" s="110">
        <f t="shared" si="24"/>
        <v>9894646.4759999998</v>
      </c>
      <c r="N48" s="110">
        <f t="shared" si="25"/>
        <v>9129840.6775000002</v>
      </c>
      <c r="O48" s="110">
        <f t="shared" si="26"/>
        <v>8081079.8628000002</v>
      </c>
      <c r="P48" s="110">
        <f t="shared" si="27"/>
        <v>8608728.0899999999</v>
      </c>
      <c r="Q48" s="110">
        <f t="shared" si="28"/>
        <v>9041869.904000001</v>
      </c>
      <c r="R48" s="110">
        <f t="shared" si="29"/>
        <v>10095740.695999999</v>
      </c>
      <c r="S48" s="110">
        <f t="shared" si="30"/>
        <v>13186172.4</v>
      </c>
      <c r="T48" s="110">
        <f t="shared" si="31"/>
        <v>29929494.156799998</v>
      </c>
      <c r="U48" s="110">
        <f t="shared" si="32"/>
        <v>27400421.034000002</v>
      </c>
      <c r="V48" s="110">
        <f t="shared" si="17"/>
        <v>15756101.750400001</v>
      </c>
      <c r="W48" s="110">
        <f t="shared" si="18"/>
        <v>8691014.5559999999</v>
      </c>
      <c r="X48" s="110">
        <f t="shared" si="19"/>
        <v>13530960.640799999</v>
      </c>
    </row>
    <row r="49" spans="1:24" x14ac:dyDescent="0.25">
      <c r="A49" s="34" t="s">
        <v>54</v>
      </c>
      <c r="G49" s="110">
        <f t="shared" si="15"/>
        <v>12157113.998879999</v>
      </c>
      <c r="H49" s="110">
        <f t="shared" si="16"/>
        <v>11440212.582372</v>
      </c>
      <c r="I49" s="110">
        <f t="shared" si="20"/>
        <v>12992265.698111998</v>
      </c>
      <c r="J49" s="110">
        <f t="shared" si="21"/>
        <v>28146688.723960001</v>
      </c>
      <c r="K49" s="110">
        <f t="shared" si="22"/>
        <v>21206961.590496</v>
      </c>
      <c r="L49" s="110">
        <f t="shared" si="23"/>
        <v>7231536.8951650001</v>
      </c>
      <c r="M49" s="110">
        <f t="shared" si="24"/>
        <v>16688761.452791998</v>
      </c>
      <c r="N49" s="110">
        <f t="shared" si="25"/>
        <v>10487523.945100002</v>
      </c>
      <c r="O49" s="110">
        <f t="shared" si="26"/>
        <v>9388753.0636199992</v>
      </c>
      <c r="P49" s="110">
        <f t="shared" si="27"/>
        <v>6782659.409</v>
      </c>
      <c r="Q49" s="110">
        <f t="shared" si="28"/>
        <v>14316735.585620001</v>
      </c>
      <c r="R49" s="110">
        <f t="shared" si="29"/>
        <v>9597120.6064999998</v>
      </c>
      <c r="S49" s="110">
        <f t="shared" si="30"/>
        <v>20374264.461600002</v>
      </c>
      <c r="T49" s="110">
        <f t="shared" si="31"/>
        <v>69955237.235191002</v>
      </c>
      <c r="U49" s="110">
        <f t="shared" si="32"/>
        <v>49572998.13059999</v>
      </c>
      <c r="V49" s="110">
        <f t="shared" si="17"/>
        <v>41017250.125440009</v>
      </c>
      <c r="W49" s="110">
        <f t="shared" si="18"/>
        <v>21770875.901376002</v>
      </c>
      <c r="X49" s="110">
        <f t="shared" si="19"/>
        <v>18405221.358239997</v>
      </c>
    </row>
    <row r="50" spans="1:24" x14ac:dyDescent="0.25">
      <c r="A50" s="34" t="s">
        <v>42</v>
      </c>
      <c r="G50" s="110">
        <f t="shared" si="15"/>
        <v>9679125.6575999986</v>
      </c>
      <c r="H50" s="110">
        <f t="shared" si="16"/>
        <v>9337472.9447999988</v>
      </c>
      <c r="I50" s="110">
        <f t="shared" si="20"/>
        <v>9645128.0818559993</v>
      </c>
      <c r="J50" s="110">
        <f t="shared" si="21"/>
        <v>18633651.184</v>
      </c>
      <c r="K50" s="110">
        <f t="shared" si="22"/>
        <v>15148166.175999999</v>
      </c>
      <c r="L50" s="110">
        <f t="shared" si="23"/>
        <v>9111981.7760000005</v>
      </c>
      <c r="M50" s="110">
        <f t="shared" si="24"/>
        <v>9990160.4088000003</v>
      </c>
      <c r="N50" s="110">
        <f t="shared" si="25"/>
        <v>8518031.9949999992</v>
      </c>
      <c r="O50" s="110">
        <f t="shared" si="26"/>
        <v>7560612.9172</v>
      </c>
      <c r="P50" s="110">
        <f t="shared" si="27"/>
        <v>7927999.3500000006</v>
      </c>
      <c r="Q50" s="110">
        <f t="shared" si="28"/>
        <v>8139937.7440000009</v>
      </c>
      <c r="R50" s="110">
        <f t="shared" si="29"/>
        <v>9460996.5699999984</v>
      </c>
      <c r="S50" s="110">
        <f t="shared" si="30"/>
        <v>11076971.52</v>
      </c>
      <c r="T50" s="110">
        <f t="shared" si="31"/>
        <v>30473081.729859997</v>
      </c>
      <c r="U50" s="110">
        <f t="shared" si="32"/>
        <v>27896943.375</v>
      </c>
      <c r="V50" s="110">
        <f t="shared" si="17"/>
        <v>17275294.84688</v>
      </c>
      <c r="W50" s="110">
        <f t="shared" si="18"/>
        <v>9229148.1505439989</v>
      </c>
      <c r="X50" s="110">
        <f t="shared" si="19"/>
        <v>13184563.752</v>
      </c>
    </row>
    <row r="51" spans="1:24" x14ac:dyDescent="0.25">
      <c r="A51" s="34" t="s">
        <v>43</v>
      </c>
      <c r="G51" s="110">
        <f t="shared" si="15"/>
        <v>9147892.1327999998</v>
      </c>
      <c r="H51" s="110">
        <f t="shared" si="16"/>
        <v>8172172.3943999996</v>
      </c>
      <c r="I51" s="110">
        <f t="shared" si="20"/>
        <v>9365229.6917759981</v>
      </c>
      <c r="J51" s="110">
        <f t="shared" si="21"/>
        <v>20930438.221000001</v>
      </c>
      <c r="K51" s="110">
        <f t="shared" si="22"/>
        <v>15306837.638400001</v>
      </c>
      <c r="L51" s="110">
        <f t="shared" si="23"/>
        <v>8591809.5879999995</v>
      </c>
      <c r="M51" s="110">
        <f t="shared" si="24"/>
        <v>8373885.5772000002</v>
      </c>
      <c r="N51" s="110">
        <f t="shared" si="25"/>
        <v>7684553.5</v>
      </c>
      <c r="O51" s="110">
        <f t="shared" si="26"/>
        <v>6724543.6748000002</v>
      </c>
      <c r="P51" s="110">
        <f t="shared" si="27"/>
        <v>6742258.4349999996</v>
      </c>
      <c r="Q51" s="110">
        <f t="shared" si="28"/>
        <v>7325380.262000001</v>
      </c>
      <c r="R51" s="110">
        <f t="shared" si="29"/>
        <v>8365987.7459999993</v>
      </c>
      <c r="S51" s="110">
        <f t="shared" si="30"/>
        <v>10749913.375200002</v>
      </c>
      <c r="T51" s="110">
        <f t="shared" si="31"/>
        <v>31115776.429499999</v>
      </c>
      <c r="U51" s="110">
        <f t="shared" si="32"/>
        <v>27855422.342999998</v>
      </c>
      <c r="V51" s="110">
        <f t="shared" si="17"/>
        <v>16336330.528000001</v>
      </c>
      <c r="W51" s="110">
        <f t="shared" si="18"/>
        <v>8792230.4063999988</v>
      </c>
      <c r="X51" s="110">
        <f t="shared" si="19"/>
        <v>13396698.2808</v>
      </c>
    </row>
    <row r="52" spans="1:24" x14ac:dyDescent="0.25">
      <c r="A52" s="34" t="s">
        <v>38</v>
      </c>
      <c r="G52" s="110">
        <f t="shared" si="15"/>
        <v>17200172.310911998</v>
      </c>
      <c r="H52" s="110">
        <f t="shared" si="16"/>
        <v>18592973.023295999</v>
      </c>
      <c r="I52" s="110">
        <f t="shared" si="20"/>
        <v>16767938.927808</v>
      </c>
      <c r="J52" s="110">
        <f t="shared" si="21"/>
        <v>14799114.10289</v>
      </c>
      <c r="K52" s="110">
        <f t="shared" si="22"/>
        <v>10817203.817375999</v>
      </c>
      <c r="L52" s="110">
        <f t="shared" si="23"/>
        <v>12174809.42986</v>
      </c>
      <c r="M52" s="110">
        <f t="shared" si="24"/>
        <v>26149088.167487998</v>
      </c>
      <c r="N52" s="110">
        <f t="shared" si="25"/>
        <v>39203725.027424999</v>
      </c>
      <c r="O52" s="110">
        <f t="shared" si="26"/>
        <v>24352039.32756</v>
      </c>
      <c r="P52" s="110">
        <f t="shared" si="27"/>
        <v>11721706.1524</v>
      </c>
      <c r="Q52" s="110">
        <f t="shared" si="28"/>
        <v>15928093.760220001</v>
      </c>
      <c r="R52" s="110">
        <f t="shared" si="29"/>
        <v>13120401.745699998</v>
      </c>
      <c r="S52" s="110">
        <f t="shared" si="30"/>
        <v>32979423.8904</v>
      </c>
      <c r="T52" s="110">
        <f t="shared" si="31"/>
        <v>15700949.995520998</v>
      </c>
      <c r="U52" s="110">
        <f t="shared" si="32"/>
        <v>13626164.676599998</v>
      </c>
      <c r="V52" s="110">
        <f t="shared" si="17"/>
        <v>4412265.1671680007</v>
      </c>
      <c r="W52" s="110">
        <f t="shared" si="18"/>
        <v>810085.44203999999</v>
      </c>
      <c r="X52" s="110">
        <f t="shared" si="19"/>
        <v>7644522.8437920008</v>
      </c>
    </row>
    <row r="53" spans="1:24" x14ac:dyDescent="0.25">
      <c r="A53" s="34" t="s">
        <v>37</v>
      </c>
      <c r="G53" s="110">
        <f>SUM(G44:G52)</f>
        <v>1099867033.5501599</v>
      </c>
      <c r="H53" s="110">
        <f>SUM(H44:H52)</f>
        <v>802556603.26111197</v>
      </c>
      <c r="I53" s="110">
        <f>SUM(I44:I52)</f>
        <v>637460692.24262404</v>
      </c>
      <c r="J53" s="110">
        <f t="shared" ref="J53:U53" si="33">SUM(J44:J52)</f>
        <v>544503542.31648993</v>
      </c>
      <c r="K53" s="110">
        <f t="shared" si="33"/>
        <v>449974466.41171199</v>
      </c>
      <c r="L53" s="110">
        <f t="shared" si="33"/>
        <v>405441149.25387502</v>
      </c>
      <c r="M53" s="110">
        <f t="shared" si="33"/>
        <v>727813690.54336798</v>
      </c>
      <c r="N53" s="110">
        <f t="shared" si="33"/>
        <v>674175218.24310005</v>
      </c>
      <c r="O53" s="110">
        <f t="shared" si="33"/>
        <v>1069279102.4300278</v>
      </c>
      <c r="P53" s="110">
        <f t="shared" si="33"/>
        <v>1148368575.1111999</v>
      </c>
      <c r="Q53" s="110">
        <f t="shared" si="33"/>
        <v>1011462519.6566002</v>
      </c>
      <c r="R53" s="110">
        <f t="shared" si="33"/>
        <v>1273729485.9027596</v>
      </c>
      <c r="S53" s="110">
        <f t="shared" si="33"/>
        <v>1499576202.8376002</v>
      </c>
      <c r="T53" s="110">
        <f t="shared" si="33"/>
        <v>572218742.40684295</v>
      </c>
      <c r="U53" s="110">
        <f t="shared" si="33"/>
        <v>274636368.05219996</v>
      </c>
      <c r="V53" s="110">
        <f t="shared" si="17"/>
        <v>167843902.555792</v>
      </c>
      <c r="W53" s="110">
        <f t="shared" si="18"/>
        <v>94885874.874000013</v>
      </c>
      <c r="X53" s="110">
        <f t="shared" si="19"/>
        <v>118996420.864572</v>
      </c>
    </row>
    <row r="55" spans="1:24" x14ac:dyDescent="0.25">
      <c r="A55" s="34" t="s">
        <v>676</v>
      </c>
      <c r="I55" s="107">
        <f>SUM(G53:I53)</f>
        <v>2539884329.053896</v>
      </c>
      <c r="J55" s="107"/>
      <c r="K55" s="107"/>
      <c r="L55" s="107">
        <f>SUM(J53:L53)</f>
        <v>1399919157.9820769</v>
      </c>
      <c r="M55" s="107"/>
      <c r="N55" s="107"/>
      <c r="O55" s="107">
        <f>SUM(M53:O53)</f>
        <v>2471268011.216496</v>
      </c>
      <c r="P55" s="107"/>
      <c r="Q55" s="107"/>
      <c r="R55" s="107">
        <f>SUM(P53:R53)</f>
        <v>3433560580.6705599</v>
      </c>
      <c r="S55" s="107"/>
      <c r="T55" s="107"/>
      <c r="U55" s="107">
        <f>SUM(S53:U53)</f>
        <v>2346431313.2966433</v>
      </c>
      <c r="X55" s="107">
        <f>SUM(V53:X53)</f>
        <v>381726198.29436404</v>
      </c>
    </row>
    <row r="56" spans="1:24" x14ac:dyDescent="0.25">
      <c r="A56" s="34" t="s">
        <v>677</v>
      </c>
      <c r="L56" s="40">
        <f>(L55/I55)-1</f>
        <v>-0.44882562486475708</v>
      </c>
      <c r="M56" s="40"/>
      <c r="N56" s="40"/>
      <c r="O56" s="40">
        <f>(O55/L55)-1</f>
        <v>0.76529337221066562</v>
      </c>
      <c r="P56" s="40"/>
      <c r="Q56" s="40"/>
      <c r="R56" s="40">
        <f>(R55/O55)-1</f>
        <v>0.38939223309104776</v>
      </c>
      <c r="S56" s="40"/>
      <c r="T56" s="40"/>
      <c r="U56" s="40">
        <f>(U55/R55)-1</f>
        <v>-0.31661863591222983</v>
      </c>
      <c r="X56" s="40">
        <f>(X55/U55)-1</f>
        <v>-0.83731626997508235</v>
      </c>
    </row>
    <row r="57" spans="1:24" x14ac:dyDescent="0.25">
      <c r="A57" s="34" t="s">
        <v>678</v>
      </c>
      <c r="L57" s="40"/>
      <c r="M57" s="40"/>
      <c r="N57" s="40"/>
      <c r="O57" s="40"/>
      <c r="P57" s="40"/>
      <c r="Q57" s="40"/>
      <c r="R57" s="40"/>
      <c r="S57" s="40"/>
      <c r="T57" s="40"/>
      <c r="U57" s="40">
        <f>(U55/I55)-1</f>
        <v>-7.6166073212205587E-2</v>
      </c>
      <c r="X57" s="40">
        <f>(X55/L55)-1</f>
        <v>-0.72732268422941937</v>
      </c>
    </row>
    <row r="59" spans="1:24" x14ac:dyDescent="0.25">
      <c r="A59" s="25" t="s">
        <v>578</v>
      </c>
      <c r="G59" s="25" t="s">
        <v>484</v>
      </c>
      <c r="H59" s="25" t="s">
        <v>485</v>
      </c>
      <c r="I59" s="25" t="s">
        <v>486</v>
      </c>
      <c r="J59" s="25" t="s">
        <v>487</v>
      </c>
      <c r="K59" s="25" t="s">
        <v>488</v>
      </c>
      <c r="L59" s="25" t="s">
        <v>489</v>
      </c>
      <c r="M59" s="25" t="s">
        <v>490</v>
      </c>
      <c r="N59" s="25" t="s">
        <v>491</v>
      </c>
      <c r="O59" s="25" t="s">
        <v>492</v>
      </c>
      <c r="P59" s="25" t="s">
        <v>493</v>
      </c>
      <c r="Q59" s="25" t="s">
        <v>494</v>
      </c>
      <c r="R59" s="25" t="s">
        <v>495</v>
      </c>
      <c r="S59" s="25" t="s">
        <v>496</v>
      </c>
      <c r="T59" s="25" t="s">
        <v>497</v>
      </c>
      <c r="U59" s="25" t="s">
        <v>574</v>
      </c>
      <c r="V59" s="25" t="s">
        <v>731</v>
      </c>
      <c r="W59" s="25" t="s">
        <v>732</v>
      </c>
      <c r="X59" s="25" t="s">
        <v>733</v>
      </c>
    </row>
    <row r="60" spans="1:24" x14ac:dyDescent="0.25">
      <c r="A60" s="25" t="s">
        <v>576</v>
      </c>
      <c r="G60" s="62" t="str">
        <f>PTF!B5</f>
        <v>35,48</v>
      </c>
      <c r="H60" s="62">
        <f>PTF!C5</f>
        <v>36.119999999999997</v>
      </c>
      <c r="I60" s="62">
        <f>PTF!D5</f>
        <v>37.04</v>
      </c>
      <c r="J60" s="62">
        <f>PTF!E5</f>
        <v>38.049999999999997</v>
      </c>
      <c r="K60" s="62">
        <f>PTF!F5</f>
        <v>38.72</v>
      </c>
      <c r="L60" s="62">
        <f>PTF!G5</f>
        <v>39.369999999999997</v>
      </c>
      <c r="M60" s="62">
        <f>PTF!H5</f>
        <v>40.14</v>
      </c>
      <c r="N60" s="62">
        <f>PTF!I5</f>
        <v>40.75</v>
      </c>
      <c r="O60" s="62">
        <f>PTF!J5</f>
        <v>41.24</v>
      </c>
      <c r="P60" s="62">
        <f>PTF!K5</f>
        <v>41.75</v>
      </c>
      <c r="Q60" s="62">
        <f>PTF!L5</f>
        <v>42.2</v>
      </c>
      <c r="R60" s="62">
        <f>PTF!M5</f>
        <v>42.61</v>
      </c>
      <c r="S60" s="62">
        <f>PTF!N5</f>
        <v>43.14</v>
      </c>
      <c r="T60" s="62">
        <f>PTF!O5</f>
        <v>43.61</v>
      </c>
      <c r="U60" s="62">
        <f>PTF!P5</f>
        <v>44.1</v>
      </c>
      <c r="V60" s="62">
        <f>PTF!Q5</f>
        <v>44.68</v>
      </c>
      <c r="W60" s="62">
        <f>PTF!R5</f>
        <v>45.36</v>
      </c>
      <c r="X60" s="62">
        <f>PTF!S5</f>
        <v>46.17</v>
      </c>
    </row>
    <row r="65" spans="1:19" x14ac:dyDescent="0.25">
      <c r="A65" s="25" t="s">
        <v>715</v>
      </c>
      <c r="B65" s="25" t="s">
        <v>484</v>
      </c>
      <c r="C65" s="25" t="s">
        <v>485</v>
      </c>
      <c r="D65" s="25" t="s">
        <v>486</v>
      </c>
      <c r="E65" s="25" t="s">
        <v>487</v>
      </c>
      <c r="F65" s="25" t="s">
        <v>488</v>
      </c>
      <c r="G65" s="25" t="s">
        <v>489</v>
      </c>
      <c r="H65" s="25" t="s">
        <v>490</v>
      </c>
      <c r="I65" s="25" t="s">
        <v>491</v>
      </c>
      <c r="J65" s="25" t="s">
        <v>492</v>
      </c>
      <c r="K65" s="25" t="s">
        <v>493</v>
      </c>
      <c r="L65" s="25" t="s">
        <v>494</v>
      </c>
      <c r="M65" s="25" t="s">
        <v>495</v>
      </c>
      <c r="N65" s="25" t="s">
        <v>496</v>
      </c>
      <c r="O65" s="25" t="s">
        <v>497</v>
      </c>
      <c r="P65" s="25" t="s">
        <v>574</v>
      </c>
      <c r="Q65" s="25" t="s">
        <v>731</v>
      </c>
      <c r="R65" s="25" t="s">
        <v>732</v>
      </c>
      <c r="S65" s="25" t="s">
        <v>733</v>
      </c>
    </row>
    <row r="66" spans="1:19" x14ac:dyDescent="0.25">
      <c r="A66" s="25" t="s">
        <v>753</v>
      </c>
      <c r="B66" s="31">
        <f>SUM(G3:G9)</f>
        <v>25909.86</v>
      </c>
      <c r="C66" s="31">
        <f t="shared" ref="C66:S66" si="34">SUM(H3:H9)</f>
        <v>27615.360000000001</v>
      </c>
      <c r="D66" s="31">
        <f t="shared" si="34"/>
        <v>29408.859999999997</v>
      </c>
      <c r="E66" s="31">
        <f t="shared" si="34"/>
        <v>47901.56</v>
      </c>
      <c r="F66" s="31">
        <f t="shared" si="34"/>
        <v>46468.51</v>
      </c>
      <c r="G66" s="31">
        <f t="shared" si="34"/>
        <v>24177.78</v>
      </c>
      <c r="H66" s="31">
        <f t="shared" si="34"/>
        <v>24212.57</v>
      </c>
      <c r="I66" s="31">
        <f t="shared" si="34"/>
        <v>23297.73</v>
      </c>
      <c r="J66" s="31">
        <f t="shared" si="34"/>
        <v>13896.61</v>
      </c>
      <c r="K66" s="31">
        <f t="shared" si="34"/>
        <v>12425.29</v>
      </c>
      <c r="L66" s="31">
        <f t="shared" si="34"/>
        <v>15584.93</v>
      </c>
      <c r="M66" s="31">
        <f t="shared" si="34"/>
        <v>18213.580000000002</v>
      </c>
      <c r="N66" s="31">
        <f t="shared" si="34"/>
        <v>55347.65</v>
      </c>
      <c r="O66" s="31">
        <f t="shared" si="34"/>
        <v>146187.24000000002</v>
      </c>
      <c r="P66" s="31">
        <f t="shared" si="34"/>
        <v>150869.20000000001</v>
      </c>
      <c r="Q66" s="31">
        <f t="shared" si="34"/>
        <v>152617.24</v>
      </c>
      <c r="R66" s="31">
        <f t="shared" si="34"/>
        <v>117789.16</v>
      </c>
      <c r="S66" s="31">
        <f t="shared" si="34"/>
        <v>81532.950000000012</v>
      </c>
    </row>
    <row r="67" spans="1:19" x14ac:dyDescent="0.25">
      <c r="A67" s="25" t="s">
        <v>754</v>
      </c>
      <c r="B67" s="31">
        <f>G10</f>
        <v>6766.96</v>
      </c>
      <c r="C67" s="31">
        <f t="shared" ref="C67:S67" si="35">H10</f>
        <v>7403.36</v>
      </c>
      <c r="D67" s="31">
        <f t="shared" si="35"/>
        <v>7575.27</v>
      </c>
      <c r="E67" s="31">
        <f t="shared" si="35"/>
        <v>5934.37</v>
      </c>
      <c r="F67" s="31">
        <f t="shared" si="35"/>
        <v>4363.1099999999997</v>
      </c>
      <c r="G67" s="31">
        <f t="shared" si="35"/>
        <v>5430.04</v>
      </c>
      <c r="H67" s="31">
        <f t="shared" si="35"/>
        <v>8760.7199999999993</v>
      </c>
      <c r="I67" s="31">
        <f t="shared" si="35"/>
        <v>13264.23</v>
      </c>
      <c r="J67" s="31">
        <f t="shared" si="35"/>
        <v>8796.2999999999993</v>
      </c>
      <c r="K67" s="31">
        <f t="shared" si="35"/>
        <v>4235.96</v>
      </c>
      <c r="L67" s="31">
        <f t="shared" si="35"/>
        <v>5651.19</v>
      </c>
      <c r="M67" s="31">
        <f t="shared" si="35"/>
        <v>4361.45</v>
      </c>
      <c r="N67" s="31">
        <f t="shared" si="35"/>
        <v>11242.27</v>
      </c>
      <c r="O67" s="31">
        <f t="shared" si="35"/>
        <v>7319.19</v>
      </c>
      <c r="P67" s="31">
        <f t="shared" si="35"/>
        <v>7876.2</v>
      </c>
      <c r="Q67" s="31">
        <f t="shared" si="35"/>
        <v>4121.5600000000004</v>
      </c>
      <c r="R67" s="31">
        <f t="shared" si="35"/>
        <v>1016.45</v>
      </c>
      <c r="S67" s="31">
        <f t="shared" si="35"/>
        <v>5693.72</v>
      </c>
    </row>
    <row r="68" spans="1:19" x14ac:dyDescent="0.25">
      <c r="A68" s="25" t="s">
        <v>755</v>
      </c>
      <c r="B68" s="31">
        <f>G2</f>
        <v>400037.23</v>
      </c>
      <c r="C68" s="31">
        <f t="shared" ref="C68:S68" si="36">H2</f>
        <v>284543.7</v>
      </c>
      <c r="D68" s="31">
        <f t="shared" si="36"/>
        <v>251002.18</v>
      </c>
      <c r="E68" s="31">
        <f t="shared" si="36"/>
        <v>164507.24</v>
      </c>
      <c r="F68" s="31">
        <f t="shared" si="36"/>
        <v>130665.2</v>
      </c>
      <c r="G68" s="31">
        <f t="shared" si="36"/>
        <v>151221.43</v>
      </c>
      <c r="H68" s="31">
        <f t="shared" si="36"/>
        <v>210865.88</v>
      </c>
      <c r="I68" s="31">
        <f t="shared" si="36"/>
        <v>191539.20000000001</v>
      </c>
      <c r="J68" s="31">
        <f t="shared" si="36"/>
        <v>363545.78</v>
      </c>
      <c r="K68" s="31">
        <f t="shared" si="36"/>
        <v>398333.23</v>
      </c>
      <c r="L68" s="31">
        <f t="shared" si="36"/>
        <v>337624.58</v>
      </c>
      <c r="M68" s="31">
        <f t="shared" si="36"/>
        <v>400834.83</v>
      </c>
      <c r="N68" s="31">
        <f t="shared" si="36"/>
        <v>444596.71</v>
      </c>
      <c r="O68" s="31">
        <f t="shared" si="36"/>
        <v>113240.34</v>
      </c>
      <c r="P68" s="31">
        <f t="shared" si="36"/>
        <v>0</v>
      </c>
      <c r="Q68" s="31">
        <f t="shared" si="36"/>
        <v>46.59</v>
      </c>
      <c r="R68" s="31">
        <f t="shared" si="36"/>
        <v>251.89</v>
      </c>
      <c r="S68" s="31">
        <f t="shared" si="36"/>
        <v>1403.1</v>
      </c>
    </row>
    <row r="69" spans="1:19" x14ac:dyDescent="0.25">
      <c r="A69" s="25" t="s">
        <v>522</v>
      </c>
      <c r="B69" s="31">
        <f>SUM(B66:B68)</f>
        <v>432714.05</v>
      </c>
      <c r="C69" s="31">
        <f t="shared" ref="C69:S69" si="37">SUM(C66:C68)</f>
        <v>319562.42000000004</v>
      </c>
      <c r="D69" s="31">
        <f t="shared" si="37"/>
        <v>287986.31</v>
      </c>
      <c r="E69" s="31">
        <f t="shared" si="37"/>
        <v>218343.16999999998</v>
      </c>
      <c r="F69" s="31">
        <f t="shared" si="37"/>
        <v>181496.82</v>
      </c>
      <c r="G69" s="31">
        <f t="shared" si="37"/>
        <v>180829.25</v>
      </c>
      <c r="H69" s="31">
        <f t="shared" si="37"/>
        <v>243839.17</v>
      </c>
      <c r="I69" s="31">
        <f t="shared" si="37"/>
        <v>228101.16</v>
      </c>
      <c r="J69" s="31">
        <f t="shared" si="37"/>
        <v>386238.69</v>
      </c>
      <c r="K69" s="31">
        <f t="shared" si="37"/>
        <v>414994.48</v>
      </c>
      <c r="L69" s="31">
        <f t="shared" si="37"/>
        <v>358860.7</v>
      </c>
      <c r="M69" s="31">
        <f t="shared" si="37"/>
        <v>423409.86000000004</v>
      </c>
      <c r="N69" s="31">
        <f t="shared" si="37"/>
        <v>511186.63</v>
      </c>
      <c r="O69" s="31">
        <f t="shared" si="37"/>
        <v>266746.77</v>
      </c>
      <c r="P69" s="31">
        <f t="shared" si="37"/>
        <v>158745.40000000002</v>
      </c>
      <c r="Q69" s="31">
        <f t="shared" si="37"/>
        <v>156785.38999999998</v>
      </c>
      <c r="R69" s="31">
        <f t="shared" si="37"/>
        <v>119057.5</v>
      </c>
      <c r="S69" s="31">
        <f t="shared" si="37"/>
        <v>88629.770000000019</v>
      </c>
    </row>
    <row r="71" spans="1:19" x14ac:dyDescent="0.25">
      <c r="A71" s="25" t="s">
        <v>715</v>
      </c>
      <c r="B71" s="25" t="s">
        <v>756</v>
      </c>
      <c r="C71" s="25" t="s">
        <v>757</v>
      </c>
      <c r="D71" s="25" t="s">
        <v>758</v>
      </c>
      <c r="E71" s="25" t="s">
        <v>759</v>
      </c>
      <c r="F71" s="25" t="s">
        <v>760</v>
      </c>
      <c r="G71" s="25" t="s">
        <v>761</v>
      </c>
    </row>
    <row r="72" spans="1:19" x14ac:dyDescent="0.25">
      <c r="A72" s="25" t="s">
        <v>753</v>
      </c>
      <c r="B72" s="31">
        <f>SUM(B66:D66)</f>
        <v>82934.080000000002</v>
      </c>
      <c r="C72" s="31">
        <f>SUM(E66:G66)</f>
        <v>118547.85</v>
      </c>
      <c r="D72" s="31">
        <f>SUM(H66:J66)</f>
        <v>61406.91</v>
      </c>
      <c r="E72" s="31">
        <f>SUM(K66:M66)</f>
        <v>46223.8</v>
      </c>
      <c r="F72" s="31">
        <f>SUM(N66:P66)</f>
        <v>352404.09</v>
      </c>
      <c r="G72" s="31">
        <f>SUM(Q66:S66)</f>
        <v>351939.35000000003</v>
      </c>
    </row>
    <row r="73" spans="1:19" x14ac:dyDescent="0.25">
      <c r="A73" s="25" t="s">
        <v>754</v>
      </c>
      <c r="B73" s="31">
        <f t="shared" ref="B73:B74" si="38">SUM(B67:D67)</f>
        <v>21745.59</v>
      </c>
      <c r="C73" s="31">
        <f t="shared" ref="C73:C75" si="39">SUM(E67:G67)</f>
        <v>15727.52</v>
      </c>
      <c r="D73" s="31">
        <f t="shared" ref="D73:D75" si="40">SUM(H67:J67)</f>
        <v>30821.249999999996</v>
      </c>
      <c r="E73" s="31">
        <f t="shared" ref="E73:E75" si="41">SUM(K67:M67)</f>
        <v>14248.599999999999</v>
      </c>
      <c r="F73" s="31">
        <f t="shared" ref="F73:F75" si="42">SUM(N67:P67)</f>
        <v>26437.66</v>
      </c>
      <c r="G73" s="31">
        <f t="shared" ref="G73:G75" si="43">SUM(Q67:S67)</f>
        <v>10831.73</v>
      </c>
    </row>
    <row r="74" spans="1:19" x14ac:dyDescent="0.25">
      <c r="A74" s="25" t="s">
        <v>755</v>
      </c>
      <c r="B74" s="31">
        <f t="shared" si="38"/>
        <v>935583.10999999987</v>
      </c>
      <c r="C74" s="31">
        <f t="shared" si="39"/>
        <v>446393.87</v>
      </c>
      <c r="D74" s="31">
        <f t="shared" si="40"/>
        <v>765950.8600000001</v>
      </c>
      <c r="E74" s="31">
        <f t="shared" si="41"/>
        <v>1136792.6400000001</v>
      </c>
      <c r="F74" s="31">
        <f t="shared" si="42"/>
        <v>557837.05000000005</v>
      </c>
      <c r="G74" s="31">
        <f t="shared" si="43"/>
        <v>1701.58</v>
      </c>
    </row>
    <row r="75" spans="1:19" x14ac:dyDescent="0.25">
      <c r="A75" s="25" t="s">
        <v>522</v>
      </c>
      <c r="B75" s="31">
        <f>SUM(B69:D69)</f>
        <v>1040262.78</v>
      </c>
      <c r="C75" s="31">
        <f t="shared" si="39"/>
        <v>580669.24</v>
      </c>
      <c r="D75" s="31">
        <f t="shared" si="40"/>
        <v>858179.02</v>
      </c>
      <c r="E75" s="31">
        <f t="shared" si="41"/>
        <v>1197265.04</v>
      </c>
      <c r="F75" s="31">
        <f t="shared" si="42"/>
        <v>936678.8</v>
      </c>
      <c r="G75" s="31">
        <f t="shared" si="43"/>
        <v>364472.66000000003</v>
      </c>
    </row>
  </sheetData>
  <phoneticPr fontId="48" type="noConversion"/>
  <conditionalFormatting sqref="L56:U57">
    <cfRule type="colorScale" priority="24">
      <colorScale>
        <cfvo type="min"/>
        <cfvo type="percentile" val="50"/>
        <cfvo type="max"/>
        <color rgb="FFF8696B"/>
        <color rgb="FFFFEB84"/>
        <color rgb="FF63BE7B"/>
      </colorScale>
    </cfRule>
  </conditionalFormatting>
  <conditionalFormatting sqref="L36:X37">
    <cfRule type="colorScale" priority="4">
      <colorScale>
        <cfvo type="min"/>
        <cfvo type="percentile" val="50"/>
        <cfvo type="max"/>
        <color rgb="FFF8696B"/>
        <color rgb="FFFFEB84"/>
        <color rgb="FF63BE7B"/>
      </colorScale>
    </cfRule>
  </conditionalFormatting>
  <conditionalFormatting sqref="L56:X57">
    <cfRule type="colorScale" priority="1">
      <colorScale>
        <cfvo type="min"/>
        <cfvo type="percentile" val="50"/>
        <cfvo type="max"/>
        <color rgb="FFF8696B"/>
        <color rgb="FFFFEB84"/>
        <color rgb="FF63BE7B"/>
      </colorScale>
    </cfRule>
  </conditionalFormatting>
  <conditionalFormatting sqref="O36 L36 R36 U36:U37">
    <cfRule type="colorScale" priority="25">
      <colorScale>
        <cfvo type="min"/>
        <cfvo type="percentile" val="50"/>
        <cfvo type="max"/>
        <color rgb="FFF8696B"/>
        <color rgb="FFFFEB84"/>
        <color rgb="FF63BE7B"/>
      </colorScale>
    </cfRule>
  </conditionalFormatting>
  <conditionalFormatting sqref="S15 S17 S19 S21">
    <cfRule type="colorScale" priority="27">
      <colorScale>
        <cfvo type="min"/>
        <cfvo type="percentile" val="50"/>
        <cfvo type="max"/>
        <color rgb="FFF8696B"/>
        <color rgb="FFFFEB84"/>
        <color rgb="FF63BE7B"/>
      </colorScale>
    </cfRule>
  </conditionalFormatting>
  <conditionalFormatting sqref="S14:U21">
    <cfRule type="colorScale" priority="26">
      <colorScale>
        <cfvo type="min"/>
        <cfvo type="percentile" val="50"/>
        <cfvo type="max"/>
        <color rgb="FFF8696B"/>
        <color rgb="FFFFEB84"/>
        <color rgb="FF63BE7B"/>
      </colorScale>
    </cfRule>
  </conditionalFormatting>
  <conditionalFormatting sqref="S14:X21">
    <cfRule type="colorScale" priority="5">
      <colorScale>
        <cfvo type="min"/>
        <cfvo type="percentile" val="50"/>
        <cfvo type="max"/>
        <color rgb="FFF8696B"/>
        <color rgb="FFFFEB84"/>
        <color rgb="FF63BE7B"/>
      </colorScale>
    </cfRule>
  </conditionalFormatting>
  <conditionalFormatting sqref="V14:X14">
    <cfRule type="colorScale" priority="17">
      <colorScale>
        <cfvo type="min"/>
        <cfvo type="percentile" val="50"/>
        <cfvo type="max"/>
        <color rgb="FFF8696B"/>
        <color rgb="FFFFEB84"/>
        <color rgb="FF63BE7B"/>
      </colorScale>
    </cfRule>
  </conditionalFormatting>
  <conditionalFormatting sqref="V15:X15">
    <cfRule type="colorScale" priority="12">
      <colorScale>
        <cfvo type="min"/>
        <cfvo type="percentile" val="50"/>
        <cfvo type="max"/>
        <color rgb="FFF8696B"/>
        <color rgb="FFFFEB84"/>
        <color rgb="FF63BE7B"/>
      </colorScale>
    </cfRule>
    <cfRule type="colorScale" priority="22">
      <colorScale>
        <cfvo type="min"/>
        <cfvo type="percentile" val="50"/>
        <cfvo type="max"/>
        <color rgb="FFF8696B"/>
        <color rgb="FFFFEB84"/>
        <color rgb="FF63BE7B"/>
      </colorScale>
    </cfRule>
  </conditionalFormatting>
  <conditionalFormatting sqref="V16:X16">
    <cfRule type="colorScale" priority="16">
      <colorScale>
        <cfvo type="min"/>
        <cfvo type="percentile" val="50"/>
        <cfvo type="max"/>
        <color rgb="FFF8696B"/>
        <color rgb="FFFFEB84"/>
        <color rgb="FF63BE7B"/>
      </colorScale>
    </cfRule>
  </conditionalFormatting>
  <conditionalFormatting sqref="V17:X17">
    <cfRule type="colorScale" priority="11">
      <colorScale>
        <cfvo type="min"/>
        <cfvo type="percentile" val="50"/>
        <cfvo type="max"/>
        <color rgb="FFF8696B"/>
        <color rgb="FFFFEB84"/>
        <color rgb="FF63BE7B"/>
      </colorScale>
    </cfRule>
  </conditionalFormatting>
  <conditionalFormatting sqref="V18:X18">
    <cfRule type="colorScale" priority="15">
      <colorScale>
        <cfvo type="min"/>
        <cfvo type="percentile" val="50"/>
        <cfvo type="max"/>
        <color rgb="FFF8696B"/>
        <color rgb="FFFFEB84"/>
        <color rgb="FF63BE7B"/>
      </colorScale>
    </cfRule>
  </conditionalFormatting>
  <conditionalFormatting sqref="V19:X19">
    <cfRule type="colorScale" priority="10">
      <colorScale>
        <cfvo type="min"/>
        <cfvo type="percentile" val="50"/>
        <cfvo type="max"/>
        <color rgb="FFF8696B"/>
        <color rgb="FFFFEB84"/>
        <color rgb="FF63BE7B"/>
      </colorScale>
    </cfRule>
  </conditionalFormatting>
  <conditionalFormatting sqref="V20:X20">
    <cfRule type="colorScale" priority="14">
      <colorScale>
        <cfvo type="min"/>
        <cfvo type="percentile" val="50"/>
        <cfvo type="max"/>
        <color rgb="FFF8696B"/>
        <color rgb="FFFFEB84"/>
        <color rgb="FF63BE7B"/>
      </colorScale>
    </cfRule>
  </conditionalFormatting>
  <conditionalFormatting sqref="V21:X21">
    <cfRule type="colorScale" priority="9">
      <colorScale>
        <cfvo type="min"/>
        <cfvo type="percentile" val="50"/>
        <cfvo type="max"/>
        <color rgb="FFF8696B"/>
        <color rgb="FFFFEB84"/>
        <color rgb="FF63BE7B"/>
      </colorScale>
    </cfRule>
  </conditionalFormatting>
  <conditionalFormatting sqref="X36">
    <cfRule type="colorScale" priority="7">
      <colorScale>
        <cfvo type="min"/>
        <cfvo type="percentile" val="50"/>
        <cfvo type="max"/>
        <color rgb="FFF8696B"/>
        <color rgb="FFFFEB84"/>
        <color rgb="FF63BE7B"/>
      </colorScale>
    </cfRule>
  </conditionalFormatting>
  <conditionalFormatting sqref="X37">
    <cfRule type="colorScale" priority="6">
      <colorScale>
        <cfvo type="min"/>
        <cfvo type="percentile" val="50"/>
        <cfvo type="max"/>
        <color rgb="FFF8696B"/>
        <color rgb="FFFFEB84"/>
        <color rgb="FF63BE7B"/>
      </colorScale>
    </cfRule>
  </conditionalFormatting>
  <conditionalFormatting sqref="X56">
    <cfRule type="colorScale" priority="3">
      <colorScale>
        <cfvo type="min"/>
        <cfvo type="percentile" val="50"/>
        <cfvo type="max"/>
        <color rgb="FFF8696B"/>
        <color rgb="FFFFEB84"/>
        <color rgb="FF63BE7B"/>
      </colorScale>
    </cfRule>
  </conditionalFormatting>
  <conditionalFormatting sqref="X57">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r:id="rId1"/>
  <ignoredErrors>
    <ignoredError sqref="S14:V21" formulaRange="1"/>
  </ignoredErrors>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B476E-D714-4D49-ADE5-5928D311A104}">
  <dimension ref="A1:AE125"/>
  <sheetViews>
    <sheetView zoomScale="53" zoomScaleNormal="85" workbookViewId="0">
      <selection activeCell="E21" sqref="E21"/>
    </sheetView>
  </sheetViews>
  <sheetFormatPr defaultRowHeight="15" x14ac:dyDescent="0.25"/>
  <cols>
    <col min="1" max="1" width="31.42578125" customWidth="1"/>
    <col min="2" max="2" width="14" customWidth="1"/>
    <col min="3" max="3" width="22.140625" customWidth="1"/>
    <col min="4" max="4" width="8.5703125" customWidth="1"/>
    <col min="5" max="5" width="11.140625" bestFit="1" customWidth="1"/>
    <col min="6" max="6" width="14.5703125" bestFit="1" customWidth="1"/>
    <col min="7" max="7" width="26.28515625" customWidth="1"/>
    <col min="8" max="8" width="47.7109375" customWidth="1"/>
    <col min="9" max="9" width="14" customWidth="1"/>
    <col min="10" max="10" width="20.7109375" customWidth="1"/>
    <col min="11" max="11" width="12.28515625" customWidth="1"/>
    <col min="12" max="12" width="11.140625" customWidth="1"/>
    <col min="13" max="13" width="14.5703125" customWidth="1"/>
    <col min="14" max="15" width="15.28515625" bestFit="1" customWidth="1"/>
    <col min="16" max="16" width="19.42578125" bestFit="1" customWidth="1"/>
    <col min="17" max="18" width="15.28515625" bestFit="1" customWidth="1"/>
    <col min="19" max="19" width="19.42578125" bestFit="1" customWidth="1"/>
    <col min="20" max="21" width="15.28515625" bestFit="1" customWidth="1"/>
    <col min="22" max="22" width="19.42578125" bestFit="1" customWidth="1"/>
    <col min="23" max="24" width="15.28515625" bestFit="1" customWidth="1"/>
    <col min="25" max="25" width="19.42578125" bestFit="1" customWidth="1"/>
    <col min="26" max="27" width="15.28515625" bestFit="1" customWidth="1"/>
    <col min="28" max="28" width="19.42578125" bestFit="1" customWidth="1"/>
    <col min="29" max="30" width="15.28515625" bestFit="1" customWidth="1"/>
    <col min="31" max="31" width="16.85546875" bestFit="1" customWidth="1"/>
    <col min="32" max="32" width="18.28515625" bestFit="1" customWidth="1"/>
  </cols>
  <sheetData>
    <row r="1" spans="1:31" x14ac:dyDescent="0.25">
      <c r="A1" s="46" t="e" cm="1">
        <f t="array" ref="A1">A1:M37SANTRAL ADI</f>
        <v>#NAME?</v>
      </c>
      <c r="B1" s="46" t="s">
        <v>36</v>
      </c>
      <c r="C1" s="46" t="s">
        <v>338</v>
      </c>
      <c r="D1" s="46" t="s">
        <v>454</v>
      </c>
      <c r="E1" s="46" t="s">
        <v>553</v>
      </c>
      <c r="F1" s="46" t="s">
        <v>554</v>
      </c>
      <c r="H1" t="s">
        <v>35</v>
      </c>
      <c r="I1" t="s">
        <v>36</v>
      </c>
      <c r="J1" t="s">
        <v>338</v>
      </c>
      <c r="K1" t="s">
        <v>454</v>
      </c>
      <c r="L1" t="s">
        <v>551</v>
      </c>
      <c r="M1" t="s">
        <v>552</v>
      </c>
      <c r="N1" t="s">
        <v>484</v>
      </c>
      <c r="O1" t="s">
        <v>485</v>
      </c>
      <c r="P1" t="s">
        <v>486</v>
      </c>
      <c r="Q1" t="s">
        <v>487</v>
      </c>
      <c r="R1" t="s">
        <v>488</v>
      </c>
      <c r="S1" t="s">
        <v>489</v>
      </c>
      <c r="T1" t="s">
        <v>490</v>
      </c>
      <c r="U1" t="s">
        <v>491</v>
      </c>
      <c r="V1" t="s">
        <v>492</v>
      </c>
      <c r="W1" t="s">
        <v>493</v>
      </c>
      <c r="X1" t="s">
        <v>494</v>
      </c>
      <c r="Y1" t="s">
        <v>495</v>
      </c>
      <c r="Z1" t="s">
        <v>496</v>
      </c>
      <c r="AA1" t="s">
        <v>497</v>
      </c>
      <c r="AB1" t="s">
        <v>574</v>
      </c>
      <c r="AC1" t="s">
        <v>731</v>
      </c>
      <c r="AD1" t="s">
        <v>732</v>
      </c>
      <c r="AE1" t="s">
        <v>733</v>
      </c>
    </row>
    <row r="2" spans="1:31" x14ac:dyDescent="0.25">
      <c r="A2" s="47" t="s">
        <v>45</v>
      </c>
      <c r="B2" s="47">
        <v>6.66</v>
      </c>
      <c r="C2" s="46" t="s">
        <v>358</v>
      </c>
      <c r="D2" s="46">
        <v>1479</v>
      </c>
      <c r="E2" s="46" t="s">
        <v>524</v>
      </c>
      <c r="F2" s="46" t="s">
        <v>543</v>
      </c>
      <c r="H2" s="48" t="s">
        <v>45</v>
      </c>
      <c r="I2" s="48">
        <v>6.66</v>
      </c>
      <c r="J2" s="49" t="s">
        <v>358</v>
      </c>
      <c r="K2" s="49">
        <v>1479</v>
      </c>
      <c r="L2" s="49" t="s">
        <v>524</v>
      </c>
      <c r="M2" s="49" t="s">
        <v>543</v>
      </c>
      <c r="N2" s="63">
        <v>0</v>
      </c>
      <c r="O2" s="63">
        <v>0</v>
      </c>
      <c r="P2" s="63">
        <v>0</v>
      </c>
      <c r="Q2" s="63">
        <v>0</v>
      </c>
      <c r="R2" s="63">
        <v>0</v>
      </c>
      <c r="S2" s="63">
        <v>1783.2</v>
      </c>
      <c r="T2" s="63">
        <v>3565.35</v>
      </c>
      <c r="U2" s="63">
        <v>236.8</v>
      </c>
      <c r="V2" s="63">
        <v>0</v>
      </c>
      <c r="W2" s="63">
        <v>0</v>
      </c>
      <c r="X2" s="63">
        <v>0</v>
      </c>
      <c r="Y2" s="63">
        <v>0</v>
      </c>
      <c r="Z2" s="63">
        <v>0</v>
      </c>
      <c r="AA2" s="63">
        <v>0</v>
      </c>
      <c r="AB2" s="63">
        <v>536.70000000000005</v>
      </c>
      <c r="AC2" s="253">
        <v>1481.96</v>
      </c>
      <c r="AD2" s="254">
        <v>436.65</v>
      </c>
      <c r="AE2" s="63">
        <v>2303.3000000000002</v>
      </c>
    </row>
    <row r="3" spans="1:31" x14ac:dyDescent="0.25">
      <c r="A3" s="47" t="s">
        <v>55</v>
      </c>
      <c r="B3" s="47">
        <v>28.48</v>
      </c>
      <c r="C3" s="46" t="s">
        <v>449</v>
      </c>
      <c r="D3" s="46">
        <v>919</v>
      </c>
      <c r="E3" s="46" t="s">
        <v>524</v>
      </c>
      <c r="F3" s="46" t="s">
        <v>543</v>
      </c>
      <c r="H3" s="48" t="s">
        <v>55</v>
      </c>
      <c r="I3" s="48">
        <v>28.48</v>
      </c>
      <c r="J3" s="49" t="s">
        <v>449</v>
      </c>
      <c r="K3" s="49">
        <v>919</v>
      </c>
      <c r="L3" s="49" t="s">
        <v>524</v>
      </c>
      <c r="M3" s="49" t="s">
        <v>543</v>
      </c>
      <c r="N3" s="63">
        <v>1971.1</v>
      </c>
      <c r="O3" s="63">
        <v>839.8</v>
      </c>
      <c r="P3" s="63">
        <v>1476.7</v>
      </c>
      <c r="Q3" s="63">
        <v>1491.4</v>
      </c>
      <c r="R3" s="63">
        <v>1597.6</v>
      </c>
      <c r="S3" s="63">
        <v>1327.6</v>
      </c>
      <c r="T3" s="63">
        <v>988.8</v>
      </c>
      <c r="U3" s="63">
        <v>1138.3</v>
      </c>
      <c r="V3" s="63">
        <v>1650.1</v>
      </c>
      <c r="W3" s="63">
        <v>393.2</v>
      </c>
      <c r="X3" s="63">
        <v>560.4</v>
      </c>
      <c r="Y3" s="63">
        <v>735.6</v>
      </c>
      <c r="Z3" s="63">
        <v>1048.9000000000001</v>
      </c>
      <c r="AA3" s="63">
        <v>4675.5</v>
      </c>
      <c r="AB3" s="63">
        <v>5132.6000000000004</v>
      </c>
      <c r="AC3" s="253">
        <v>8171.3</v>
      </c>
      <c r="AD3" s="254">
        <v>12244.67</v>
      </c>
      <c r="AE3" s="63">
        <v>9130.1</v>
      </c>
    </row>
    <row r="4" spans="1:31" x14ac:dyDescent="0.25">
      <c r="A4" s="47" t="s">
        <v>46</v>
      </c>
      <c r="B4" s="47">
        <v>26.28</v>
      </c>
      <c r="C4" s="46" t="s">
        <v>356</v>
      </c>
      <c r="D4" s="46">
        <v>920</v>
      </c>
      <c r="E4" s="46" t="s">
        <v>524</v>
      </c>
      <c r="F4" s="46" t="s">
        <v>543</v>
      </c>
      <c r="H4" s="48" t="s">
        <v>46</v>
      </c>
      <c r="I4" s="48">
        <v>26.28</v>
      </c>
      <c r="J4" s="49" t="s">
        <v>356</v>
      </c>
      <c r="K4" s="49">
        <v>920</v>
      </c>
      <c r="L4" s="49" t="s">
        <v>524</v>
      </c>
      <c r="M4" s="49" t="s">
        <v>543</v>
      </c>
      <c r="N4" s="63">
        <v>1613.17</v>
      </c>
      <c r="O4" s="63">
        <v>1535.83</v>
      </c>
      <c r="P4" s="63">
        <v>5095.1099999999997</v>
      </c>
      <c r="Q4" s="63">
        <v>11098.17</v>
      </c>
      <c r="R4" s="63">
        <v>9297.52</v>
      </c>
      <c r="S4" s="63">
        <v>2707.54</v>
      </c>
      <c r="T4" s="63">
        <v>631.89</v>
      </c>
      <c r="U4" s="63">
        <v>0</v>
      </c>
      <c r="V4" s="63">
        <v>123.43</v>
      </c>
      <c r="W4" s="63">
        <v>433.77</v>
      </c>
      <c r="X4" s="63">
        <v>1552.56</v>
      </c>
      <c r="Y4" s="63">
        <v>2582.36</v>
      </c>
      <c r="Z4" s="63">
        <v>3026.74</v>
      </c>
      <c r="AA4" s="63">
        <v>11880.73</v>
      </c>
      <c r="AB4" s="63">
        <v>12929.92</v>
      </c>
      <c r="AC4" s="253">
        <v>10562.16</v>
      </c>
      <c r="AD4" s="254">
        <v>6762.42</v>
      </c>
      <c r="AE4" s="63">
        <v>9734.4699999999993</v>
      </c>
    </row>
    <row r="5" spans="1:31" x14ac:dyDescent="0.25">
      <c r="A5" s="47" t="s">
        <v>47</v>
      </c>
      <c r="B5" s="47">
        <v>48.77</v>
      </c>
      <c r="C5" s="46" t="s">
        <v>459</v>
      </c>
      <c r="D5" s="46">
        <v>1186</v>
      </c>
      <c r="E5" s="46" t="s">
        <v>524</v>
      </c>
      <c r="F5" s="46" t="s">
        <v>543</v>
      </c>
      <c r="H5" s="48" t="s">
        <v>47</v>
      </c>
      <c r="I5" s="48">
        <v>48.77</v>
      </c>
      <c r="J5" s="49" t="s">
        <v>459</v>
      </c>
      <c r="K5" s="49">
        <v>1186</v>
      </c>
      <c r="L5" s="49" t="s">
        <v>524</v>
      </c>
      <c r="M5" s="49" t="s">
        <v>543</v>
      </c>
      <c r="N5" s="63">
        <v>14670.3</v>
      </c>
      <c r="O5" s="63">
        <v>5749.7</v>
      </c>
      <c r="P5" s="63">
        <v>11029.16</v>
      </c>
      <c r="Q5" s="63">
        <v>14418.99</v>
      </c>
      <c r="R5" s="63">
        <v>5635.4</v>
      </c>
      <c r="S5" s="63">
        <v>2606.5700000000002</v>
      </c>
      <c r="T5" s="63">
        <v>2255.1999999999998</v>
      </c>
      <c r="U5" s="63">
        <v>1579.7</v>
      </c>
      <c r="V5" s="63">
        <v>892.8</v>
      </c>
      <c r="W5" s="63">
        <v>1036.5</v>
      </c>
      <c r="X5" s="63">
        <v>1641.8</v>
      </c>
      <c r="Y5" s="63">
        <v>8699.7999999999993</v>
      </c>
      <c r="Z5" s="63">
        <v>19123.05</v>
      </c>
      <c r="AA5" s="63">
        <v>26463.279999999999</v>
      </c>
      <c r="AB5" s="63">
        <v>22069.09</v>
      </c>
      <c r="AC5" s="253">
        <v>15586.67</v>
      </c>
      <c r="AD5" s="254">
        <v>7256.94</v>
      </c>
      <c r="AE5" s="63">
        <v>15212.08</v>
      </c>
    </row>
    <row r="6" spans="1:31" x14ac:dyDescent="0.25">
      <c r="A6" s="47" t="s">
        <v>48</v>
      </c>
      <c r="B6" s="47">
        <v>8.6999999999999993</v>
      </c>
      <c r="C6" s="46" t="s">
        <v>348</v>
      </c>
      <c r="D6" s="46">
        <v>1465</v>
      </c>
      <c r="E6" s="46" t="s">
        <v>524</v>
      </c>
      <c r="F6" s="46" t="s">
        <v>543</v>
      </c>
      <c r="H6" s="48" t="s">
        <v>48</v>
      </c>
      <c r="I6" s="48">
        <v>8.6999999999999993</v>
      </c>
      <c r="J6" s="49" t="s">
        <v>348</v>
      </c>
      <c r="K6" s="49">
        <v>1465</v>
      </c>
      <c r="L6" s="49" t="s">
        <v>524</v>
      </c>
      <c r="M6" s="49" t="s">
        <v>543</v>
      </c>
      <c r="N6" s="63">
        <v>3735.32</v>
      </c>
      <c r="O6" s="63">
        <v>1301.76</v>
      </c>
      <c r="P6" s="63">
        <v>709.99</v>
      </c>
      <c r="Q6" s="63">
        <v>2947.06</v>
      </c>
      <c r="R6" s="63">
        <v>1366.86</v>
      </c>
      <c r="S6" s="63">
        <v>383.35</v>
      </c>
      <c r="T6" s="63">
        <v>100.78</v>
      </c>
      <c r="U6" s="63">
        <v>52.57</v>
      </c>
      <c r="V6" s="63">
        <v>74</v>
      </c>
      <c r="W6" s="63">
        <v>469.02</v>
      </c>
      <c r="X6" s="63">
        <v>447.83</v>
      </c>
      <c r="Y6" s="63">
        <v>1527.29</v>
      </c>
      <c r="Z6" s="63">
        <v>3488.33</v>
      </c>
      <c r="AA6" s="63">
        <v>5186.0200000000004</v>
      </c>
      <c r="AB6" s="63">
        <v>2724.87</v>
      </c>
      <c r="AC6" s="253">
        <v>2522.04</v>
      </c>
      <c r="AD6" s="254">
        <v>823.12</v>
      </c>
      <c r="AE6" s="63">
        <v>832.75</v>
      </c>
    </row>
    <row r="7" spans="1:31" x14ac:dyDescent="0.25">
      <c r="A7" s="47" t="s">
        <v>49</v>
      </c>
      <c r="B7" s="47">
        <v>9.19</v>
      </c>
      <c r="C7" s="46" t="s">
        <v>361</v>
      </c>
      <c r="D7" s="46">
        <v>1364</v>
      </c>
      <c r="E7" s="46" t="s">
        <v>524</v>
      </c>
      <c r="F7" s="46" t="s">
        <v>543</v>
      </c>
      <c r="H7" s="48" t="s">
        <v>49</v>
      </c>
      <c r="I7" s="48">
        <v>9.19</v>
      </c>
      <c r="J7" s="49" t="s">
        <v>361</v>
      </c>
      <c r="K7" s="49">
        <v>1364</v>
      </c>
      <c r="L7" s="49" t="s">
        <v>524</v>
      </c>
      <c r="M7" s="49" t="s">
        <v>543</v>
      </c>
      <c r="N7" s="63">
        <v>1047.4000000000001</v>
      </c>
      <c r="O7" s="63">
        <v>809.78</v>
      </c>
      <c r="P7" s="63">
        <v>4544.7299999999996</v>
      </c>
      <c r="Q7" s="63">
        <v>5297.17</v>
      </c>
      <c r="R7" s="63">
        <v>2807.56</v>
      </c>
      <c r="S7" s="63">
        <v>843.86</v>
      </c>
      <c r="T7" s="63">
        <v>575.6</v>
      </c>
      <c r="U7" s="63">
        <v>497.93</v>
      </c>
      <c r="V7" s="63">
        <v>1852.79</v>
      </c>
      <c r="W7" s="63">
        <v>1679.51</v>
      </c>
      <c r="X7" s="63">
        <v>571.74</v>
      </c>
      <c r="Y7" s="63">
        <v>1153.3800000000001</v>
      </c>
      <c r="Z7" s="63">
        <v>2050.39</v>
      </c>
      <c r="AA7" s="63">
        <v>2365.2600000000002</v>
      </c>
      <c r="AB7" s="63">
        <v>2841.38</v>
      </c>
      <c r="AC7" s="253">
        <v>2800</v>
      </c>
      <c r="AD7" s="254">
        <v>1653.61</v>
      </c>
      <c r="AE7" s="63">
        <v>1673.23</v>
      </c>
    </row>
    <row r="8" spans="1:31" x14ac:dyDescent="0.25">
      <c r="A8" s="47" t="s">
        <v>50</v>
      </c>
      <c r="B8" s="47">
        <v>11.45</v>
      </c>
      <c r="C8" s="46" t="s">
        <v>352</v>
      </c>
      <c r="D8" s="46">
        <v>1461</v>
      </c>
      <c r="E8" s="46" t="s">
        <v>524</v>
      </c>
      <c r="F8" s="46" t="s">
        <v>543</v>
      </c>
      <c r="H8" s="48" t="s">
        <v>50</v>
      </c>
      <c r="I8" s="48">
        <v>11.45</v>
      </c>
      <c r="J8" s="49" t="s">
        <v>352</v>
      </c>
      <c r="K8" s="49">
        <v>1461</v>
      </c>
      <c r="L8" s="49" t="s">
        <v>524</v>
      </c>
      <c r="M8" s="49" t="s">
        <v>543</v>
      </c>
      <c r="N8" s="63">
        <v>6379.1</v>
      </c>
      <c r="O8" s="63">
        <v>2185.46</v>
      </c>
      <c r="P8" s="63">
        <v>1441.23</v>
      </c>
      <c r="Q8" s="63">
        <v>3970.51</v>
      </c>
      <c r="R8" s="63">
        <v>2775.63</v>
      </c>
      <c r="S8" s="63">
        <v>945.68</v>
      </c>
      <c r="T8" s="63">
        <v>567.72</v>
      </c>
      <c r="U8" s="63">
        <v>600.66999999999996</v>
      </c>
      <c r="V8" s="63">
        <v>469.31</v>
      </c>
      <c r="W8" s="63">
        <v>1038.76</v>
      </c>
      <c r="X8" s="63">
        <v>747.24</v>
      </c>
      <c r="Y8" s="63">
        <v>2001.44</v>
      </c>
      <c r="Z8" s="63">
        <v>4280.0200000000004</v>
      </c>
      <c r="AA8" s="63">
        <v>6389.28</v>
      </c>
      <c r="AB8" s="63">
        <v>3875.18</v>
      </c>
      <c r="AC8" s="253">
        <v>3260.28</v>
      </c>
      <c r="AD8" s="254">
        <v>865.75</v>
      </c>
      <c r="AE8" s="63">
        <v>1041.27</v>
      </c>
    </row>
    <row r="9" spans="1:31" x14ac:dyDescent="0.25">
      <c r="A9" s="47" t="s">
        <v>51</v>
      </c>
      <c r="B9" s="47">
        <v>7.08</v>
      </c>
      <c r="C9" s="46" t="s">
        <v>351</v>
      </c>
      <c r="D9" s="46">
        <v>1634</v>
      </c>
      <c r="E9" s="46" t="s">
        <v>524</v>
      </c>
      <c r="F9" s="46" t="s">
        <v>543</v>
      </c>
      <c r="H9" s="48" t="s">
        <v>51</v>
      </c>
      <c r="I9" s="48">
        <v>7.08</v>
      </c>
      <c r="J9" s="49" t="s">
        <v>351</v>
      </c>
      <c r="K9" s="49">
        <v>1634</v>
      </c>
      <c r="L9" s="49" t="s">
        <v>524</v>
      </c>
      <c r="M9" s="49" t="s">
        <v>543</v>
      </c>
      <c r="N9" s="63">
        <v>394.14</v>
      </c>
      <c r="O9" s="63">
        <v>284.74</v>
      </c>
      <c r="P9" s="63">
        <v>812.71</v>
      </c>
      <c r="Q9" s="63">
        <v>3149.52</v>
      </c>
      <c r="R9" s="63">
        <v>3820.48</v>
      </c>
      <c r="S9" s="63">
        <v>170.15</v>
      </c>
      <c r="T9" s="63">
        <v>0</v>
      </c>
      <c r="U9" s="63">
        <v>0</v>
      </c>
      <c r="V9" s="63">
        <v>0</v>
      </c>
      <c r="W9" s="63">
        <v>66.069999999999993</v>
      </c>
      <c r="X9" s="63">
        <v>215.17</v>
      </c>
      <c r="Y9" s="63">
        <v>445.23</v>
      </c>
      <c r="Z9" s="63">
        <v>370</v>
      </c>
      <c r="AA9" s="63">
        <v>482.98</v>
      </c>
      <c r="AB9" s="63">
        <v>542.41999999999996</v>
      </c>
      <c r="AC9" s="253">
        <v>825.45</v>
      </c>
      <c r="AD9" s="254">
        <v>1049.7</v>
      </c>
      <c r="AE9" s="63">
        <v>1191.6099999999999</v>
      </c>
    </row>
    <row r="10" spans="1:31" x14ac:dyDescent="0.25">
      <c r="A10" s="47" t="s">
        <v>56</v>
      </c>
      <c r="B10" s="47">
        <v>31.61</v>
      </c>
      <c r="C10" s="46" t="s">
        <v>349</v>
      </c>
      <c r="D10" s="46">
        <v>2168</v>
      </c>
      <c r="E10" s="46" t="s">
        <v>524</v>
      </c>
      <c r="F10" s="46" t="s">
        <v>543</v>
      </c>
      <c r="H10" s="48" t="s">
        <v>56</v>
      </c>
      <c r="I10" s="48">
        <v>31.61</v>
      </c>
      <c r="J10" s="49" t="s">
        <v>349</v>
      </c>
      <c r="K10" s="49">
        <v>2168</v>
      </c>
      <c r="L10" s="49" t="s">
        <v>524</v>
      </c>
      <c r="M10" s="49" t="s">
        <v>543</v>
      </c>
      <c r="N10" s="63">
        <v>4898.75</v>
      </c>
      <c r="O10" s="63">
        <v>2475.86</v>
      </c>
      <c r="P10" s="63">
        <v>3160.82</v>
      </c>
      <c r="Q10" s="63">
        <v>7615.87</v>
      </c>
      <c r="R10" s="63">
        <v>9656.0499999999993</v>
      </c>
      <c r="S10" s="63">
        <v>2953.8</v>
      </c>
      <c r="T10" s="63">
        <v>202.66</v>
      </c>
      <c r="U10" s="63">
        <v>0</v>
      </c>
      <c r="V10" s="63">
        <v>0.99</v>
      </c>
      <c r="W10" s="63">
        <v>0</v>
      </c>
      <c r="X10" s="63">
        <v>410.59</v>
      </c>
      <c r="Y10" s="63">
        <v>1380.99</v>
      </c>
      <c r="Z10" s="63">
        <v>7912.18</v>
      </c>
      <c r="AA10" s="63">
        <v>30015.67</v>
      </c>
      <c r="AB10" s="63">
        <v>34475.760000000002</v>
      </c>
      <c r="AC10" s="253">
        <v>35030.699999999997</v>
      </c>
      <c r="AD10" s="254">
        <v>31353.14</v>
      </c>
      <c r="AE10" s="63">
        <v>14630.6</v>
      </c>
    </row>
    <row r="11" spans="1:31" x14ac:dyDescent="0.25">
      <c r="A11" s="47" t="s">
        <v>57</v>
      </c>
      <c r="B11" s="47">
        <v>28.89</v>
      </c>
      <c r="C11" s="46" t="s">
        <v>350</v>
      </c>
      <c r="D11" s="46">
        <v>1666</v>
      </c>
      <c r="E11" s="46" t="s">
        <v>524</v>
      </c>
      <c r="F11" s="46" t="s">
        <v>543</v>
      </c>
      <c r="H11" s="48" t="s">
        <v>57</v>
      </c>
      <c r="I11" s="48">
        <v>28.89</v>
      </c>
      <c r="J11" s="49" t="s">
        <v>350</v>
      </c>
      <c r="K11" s="49">
        <v>1666</v>
      </c>
      <c r="L11" s="49" t="s">
        <v>524</v>
      </c>
      <c r="M11" s="49" t="s">
        <v>543</v>
      </c>
      <c r="N11" s="63">
        <v>223.48</v>
      </c>
      <c r="O11" s="63">
        <v>180.18</v>
      </c>
      <c r="P11" s="63">
        <v>8108.39</v>
      </c>
      <c r="Q11" s="63">
        <v>16278.7</v>
      </c>
      <c r="R11" s="63">
        <v>18201.310000000001</v>
      </c>
      <c r="S11" s="63">
        <v>7351.71</v>
      </c>
      <c r="T11" s="63">
        <v>1488.6</v>
      </c>
      <c r="U11" s="63">
        <v>432.96</v>
      </c>
      <c r="V11" s="63">
        <v>612.79999999999995</v>
      </c>
      <c r="W11" s="63">
        <v>2190.7199999999998</v>
      </c>
      <c r="X11" s="63">
        <v>4198.1499999999996</v>
      </c>
      <c r="Y11" s="63">
        <v>3672.38</v>
      </c>
      <c r="Z11" s="63">
        <v>973.75</v>
      </c>
      <c r="AA11" s="63">
        <v>2181.33</v>
      </c>
      <c r="AB11" s="63">
        <v>2729.57</v>
      </c>
      <c r="AC11" s="253">
        <v>6927.21</v>
      </c>
      <c r="AD11" s="254">
        <v>5197.8900000000003</v>
      </c>
      <c r="AE11" s="63">
        <v>12392.07</v>
      </c>
    </row>
    <row r="12" spans="1:31" x14ac:dyDescent="0.25">
      <c r="A12" s="47" t="s">
        <v>58</v>
      </c>
      <c r="B12" s="47">
        <v>3.53</v>
      </c>
      <c r="C12" s="46" t="s">
        <v>357</v>
      </c>
      <c r="D12" s="46">
        <v>1678</v>
      </c>
      <c r="E12" s="46" t="s">
        <v>524</v>
      </c>
      <c r="F12" s="46" t="s">
        <v>543</v>
      </c>
      <c r="H12" s="48" t="s">
        <v>58</v>
      </c>
      <c r="I12" s="48">
        <v>3.53</v>
      </c>
      <c r="J12" s="49" t="s">
        <v>357</v>
      </c>
      <c r="K12" s="49">
        <v>1678</v>
      </c>
      <c r="L12" s="49" t="s">
        <v>524</v>
      </c>
      <c r="M12" s="49" t="s">
        <v>543</v>
      </c>
      <c r="N12" s="63">
        <v>1923.85</v>
      </c>
      <c r="O12" s="63">
        <v>1570.54</v>
      </c>
      <c r="P12" s="63">
        <v>1471.7</v>
      </c>
      <c r="Q12" s="63">
        <v>1326.9</v>
      </c>
      <c r="R12" s="63">
        <v>1123.2</v>
      </c>
      <c r="S12" s="63">
        <v>805.1</v>
      </c>
      <c r="T12" s="63">
        <v>792</v>
      </c>
      <c r="U12" s="63">
        <v>833.86</v>
      </c>
      <c r="V12" s="63">
        <v>776</v>
      </c>
      <c r="W12" s="63">
        <v>1304.4000000000001</v>
      </c>
      <c r="X12" s="63">
        <v>1180.8</v>
      </c>
      <c r="Y12" s="63">
        <v>1258.5999999999999</v>
      </c>
      <c r="Z12" s="63">
        <v>1539.4</v>
      </c>
      <c r="AA12" s="63">
        <v>1752.1</v>
      </c>
      <c r="AB12" s="63">
        <v>1903.76</v>
      </c>
      <c r="AC12" s="253">
        <v>1025.5</v>
      </c>
      <c r="AD12" s="254">
        <v>1070.7</v>
      </c>
      <c r="AE12" s="63">
        <v>1637.9</v>
      </c>
    </row>
    <row r="13" spans="1:31" x14ac:dyDescent="0.25">
      <c r="A13" s="47" t="s">
        <v>59</v>
      </c>
      <c r="B13" s="47">
        <v>18.11</v>
      </c>
      <c r="C13" s="46" t="s">
        <v>450</v>
      </c>
      <c r="D13" s="46">
        <v>2204</v>
      </c>
      <c r="E13" s="46">
        <v>73</v>
      </c>
      <c r="F13" s="46">
        <v>2027</v>
      </c>
      <c r="H13" s="48" t="s">
        <v>59</v>
      </c>
      <c r="I13" s="48">
        <v>18.11</v>
      </c>
      <c r="J13" s="49" t="s">
        <v>450</v>
      </c>
      <c r="K13" s="49">
        <v>2204</v>
      </c>
      <c r="L13" s="49">
        <v>73</v>
      </c>
      <c r="M13" s="49">
        <v>2027</v>
      </c>
      <c r="N13" s="63">
        <v>768.72</v>
      </c>
      <c r="O13" s="63">
        <v>364.75</v>
      </c>
      <c r="P13" s="63">
        <v>6347.09</v>
      </c>
      <c r="Q13" s="63">
        <v>7435.57</v>
      </c>
      <c r="R13" s="63">
        <v>3593.17</v>
      </c>
      <c r="S13" s="63">
        <v>1447.6</v>
      </c>
      <c r="T13" s="63">
        <v>348.89</v>
      </c>
      <c r="U13" s="63">
        <v>92.44</v>
      </c>
      <c r="V13" s="63">
        <v>664.64</v>
      </c>
      <c r="W13" s="63">
        <v>834.74</v>
      </c>
      <c r="X13" s="63">
        <v>2334.13</v>
      </c>
      <c r="Y13" s="63">
        <v>1563.67</v>
      </c>
      <c r="Z13" s="63">
        <v>1123.6400000000001</v>
      </c>
      <c r="AA13" s="63">
        <v>3366.34</v>
      </c>
      <c r="AB13" s="63">
        <v>3083.27</v>
      </c>
      <c r="AC13" s="253">
        <v>8873.02</v>
      </c>
      <c r="AD13" s="63">
        <v>11842.19</v>
      </c>
      <c r="AE13" s="63">
        <v>3208.76</v>
      </c>
    </row>
    <row r="14" spans="1:31" x14ac:dyDescent="0.25">
      <c r="A14" s="47" t="s">
        <v>60</v>
      </c>
      <c r="B14" s="47">
        <v>9.6199999999999992</v>
      </c>
      <c r="C14" s="46" t="s">
        <v>359</v>
      </c>
      <c r="D14" s="46">
        <v>2108</v>
      </c>
      <c r="E14" s="46">
        <v>133</v>
      </c>
      <c r="F14" s="46">
        <v>2026</v>
      </c>
      <c r="H14" s="48" t="s">
        <v>60</v>
      </c>
      <c r="I14" s="48">
        <v>9.06</v>
      </c>
      <c r="J14" s="49" t="s">
        <v>359</v>
      </c>
      <c r="K14" s="49">
        <v>2108</v>
      </c>
      <c r="L14" s="49">
        <v>133</v>
      </c>
      <c r="M14" s="49">
        <v>2026</v>
      </c>
      <c r="N14" s="63">
        <v>435.79</v>
      </c>
      <c r="O14" s="63">
        <v>281.02</v>
      </c>
      <c r="P14" s="63">
        <v>1020.79</v>
      </c>
      <c r="Q14" s="63">
        <v>1015.38</v>
      </c>
      <c r="R14" s="63">
        <v>1360.51</v>
      </c>
      <c r="S14" s="63">
        <v>1700.25</v>
      </c>
      <c r="T14" s="63">
        <v>1540.19</v>
      </c>
      <c r="U14" s="63">
        <v>1502.01</v>
      </c>
      <c r="V14" s="63">
        <v>1326.51</v>
      </c>
      <c r="W14" s="63">
        <v>1164.58</v>
      </c>
      <c r="X14" s="63">
        <v>554.95000000000005</v>
      </c>
      <c r="Y14" s="63">
        <v>610.94000000000005</v>
      </c>
      <c r="Z14" s="63">
        <v>248.53</v>
      </c>
      <c r="AA14" s="63">
        <v>648.54</v>
      </c>
      <c r="AB14" s="63">
        <v>987.47</v>
      </c>
      <c r="AC14" s="253">
        <v>1235.23</v>
      </c>
      <c r="AD14" s="63">
        <v>1201.49</v>
      </c>
      <c r="AE14" s="63">
        <v>1261.54</v>
      </c>
    </row>
    <row r="15" spans="1:31" x14ac:dyDescent="0.25">
      <c r="A15" s="47" t="s">
        <v>61</v>
      </c>
      <c r="B15" s="47">
        <v>12.1</v>
      </c>
      <c r="C15" s="46" t="s">
        <v>462</v>
      </c>
      <c r="D15" s="46">
        <v>2321</v>
      </c>
      <c r="E15" s="46">
        <v>133</v>
      </c>
      <c r="F15" s="46">
        <v>2028</v>
      </c>
      <c r="H15" s="48" t="s">
        <v>61</v>
      </c>
      <c r="I15" s="48">
        <v>12.1</v>
      </c>
      <c r="J15" s="49" t="s">
        <v>462</v>
      </c>
      <c r="K15" s="49">
        <v>2321</v>
      </c>
      <c r="L15" s="49">
        <v>133</v>
      </c>
      <c r="M15" s="49">
        <v>2028</v>
      </c>
      <c r="N15" s="63">
        <v>1514.1</v>
      </c>
      <c r="O15" s="63">
        <v>1145.68</v>
      </c>
      <c r="P15" s="63">
        <v>1907.08</v>
      </c>
      <c r="Q15" s="63">
        <v>1759.86</v>
      </c>
      <c r="R15" s="63">
        <v>2110.9299999999998</v>
      </c>
      <c r="S15" s="63">
        <v>1775.12</v>
      </c>
      <c r="T15" s="63">
        <v>1937.85</v>
      </c>
      <c r="U15" s="63">
        <v>1745.2</v>
      </c>
      <c r="V15" s="63">
        <v>1919.53</v>
      </c>
      <c r="W15" s="63">
        <v>1797.69</v>
      </c>
      <c r="X15" s="63">
        <v>1543.78</v>
      </c>
      <c r="Y15" s="63">
        <v>949.63</v>
      </c>
      <c r="Z15" s="63">
        <v>825.7</v>
      </c>
      <c r="AA15" s="63">
        <v>1192.1199999999999</v>
      </c>
      <c r="AB15" s="63">
        <v>1501.17</v>
      </c>
      <c r="AC15" s="253">
        <v>1541.58</v>
      </c>
      <c r="AD15" s="63">
        <v>1782.87</v>
      </c>
      <c r="AE15" s="63">
        <v>1711.36</v>
      </c>
    </row>
    <row r="16" spans="1:31" x14ac:dyDescent="0.25">
      <c r="A16" s="47" t="s">
        <v>62</v>
      </c>
      <c r="B16" s="47">
        <v>12.09</v>
      </c>
      <c r="C16" s="46" t="s">
        <v>355</v>
      </c>
      <c r="D16" s="46">
        <v>2322</v>
      </c>
      <c r="E16" s="46">
        <v>133</v>
      </c>
      <c r="F16" s="46">
        <v>2028</v>
      </c>
      <c r="H16" s="48" t="s">
        <v>62</v>
      </c>
      <c r="I16" s="48">
        <v>12.09</v>
      </c>
      <c r="J16" s="49" t="s">
        <v>355</v>
      </c>
      <c r="K16" s="49">
        <v>2322</v>
      </c>
      <c r="L16" s="49">
        <v>133</v>
      </c>
      <c r="M16" s="49">
        <v>2028</v>
      </c>
      <c r="N16" s="63">
        <v>1471.55</v>
      </c>
      <c r="O16" s="63">
        <v>1134.06</v>
      </c>
      <c r="P16" s="63">
        <v>1863.18</v>
      </c>
      <c r="Q16" s="63">
        <v>1693.46</v>
      </c>
      <c r="R16" s="63">
        <v>1227.43</v>
      </c>
      <c r="S16" s="63">
        <v>1575.05</v>
      </c>
      <c r="T16" s="63">
        <v>1744.36</v>
      </c>
      <c r="U16" s="63">
        <v>1654.59</v>
      </c>
      <c r="V16" s="63">
        <v>1936.02</v>
      </c>
      <c r="W16" s="63">
        <v>1789.19</v>
      </c>
      <c r="X16" s="63">
        <v>1463.42</v>
      </c>
      <c r="Y16" s="63">
        <v>924.58</v>
      </c>
      <c r="Z16" s="63">
        <v>849.17</v>
      </c>
      <c r="AA16" s="63">
        <v>1202.6400000000001</v>
      </c>
      <c r="AB16" s="63">
        <v>1494.92</v>
      </c>
      <c r="AC16" s="253">
        <v>1736.58</v>
      </c>
      <c r="AD16" s="63">
        <v>1983.67</v>
      </c>
      <c r="AE16" s="63">
        <v>2128.38</v>
      </c>
    </row>
    <row r="17" spans="1:31" x14ac:dyDescent="0.25">
      <c r="A17" s="47" t="s">
        <v>63</v>
      </c>
      <c r="B17" s="47">
        <v>12.1</v>
      </c>
      <c r="C17" s="46" t="s">
        <v>460</v>
      </c>
      <c r="D17" s="46">
        <v>2330</v>
      </c>
      <c r="E17" s="46">
        <v>133</v>
      </c>
      <c r="F17" s="46">
        <v>2028</v>
      </c>
      <c r="H17" s="48" t="s">
        <v>63</v>
      </c>
      <c r="I17" s="48">
        <v>12.1</v>
      </c>
      <c r="J17" s="49" t="s">
        <v>460</v>
      </c>
      <c r="K17" s="49">
        <v>2330</v>
      </c>
      <c r="L17" s="49">
        <v>133</v>
      </c>
      <c r="M17" s="49">
        <v>2028</v>
      </c>
      <c r="N17" s="63">
        <v>1077.9000000000001</v>
      </c>
      <c r="O17" s="63">
        <v>1064.5999999999999</v>
      </c>
      <c r="P17" s="63">
        <v>1715.8</v>
      </c>
      <c r="Q17" s="63">
        <v>1612.8</v>
      </c>
      <c r="R17" s="63">
        <v>2026</v>
      </c>
      <c r="S17" s="63">
        <v>2198.1</v>
      </c>
      <c r="T17" s="63">
        <v>2239.8000000000002</v>
      </c>
      <c r="U17" s="63">
        <v>2252.9</v>
      </c>
      <c r="V17" s="63">
        <v>1972</v>
      </c>
      <c r="W17" s="63">
        <v>1709</v>
      </c>
      <c r="X17" s="63">
        <v>1225.3</v>
      </c>
      <c r="Y17" s="63">
        <v>843.6</v>
      </c>
      <c r="Z17" s="63">
        <v>422.2</v>
      </c>
      <c r="AA17" s="63">
        <v>750.54</v>
      </c>
      <c r="AB17" s="63">
        <v>1496.48</v>
      </c>
      <c r="AC17" s="253">
        <v>1636.23</v>
      </c>
      <c r="AD17" s="63">
        <v>1685.11</v>
      </c>
      <c r="AE17" s="63">
        <v>2058.6799999999998</v>
      </c>
    </row>
    <row r="18" spans="1:31" x14ac:dyDescent="0.25">
      <c r="A18" s="47" t="s">
        <v>64</v>
      </c>
      <c r="B18" s="47">
        <v>12.08</v>
      </c>
      <c r="C18" s="46" t="s">
        <v>354</v>
      </c>
      <c r="D18" s="46">
        <v>2331</v>
      </c>
      <c r="E18" s="46">
        <v>133</v>
      </c>
      <c r="F18" s="46">
        <v>2028</v>
      </c>
      <c r="H18" s="48" t="s">
        <v>64</v>
      </c>
      <c r="I18" s="48">
        <v>12.08</v>
      </c>
      <c r="J18" s="49" t="s">
        <v>354</v>
      </c>
      <c r="K18" s="49">
        <v>2331</v>
      </c>
      <c r="L18" s="49">
        <v>133</v>
      </c>
      <c r="M18" s="49">
        <v>2028</v>
      </c>
      <c r="N18" s="63">
        <v>1305.5</v>
      </c>
      <c r="O18" s="63">
        <v>1192.96</v>
      </c>
      <c r="P18" s="63">
        <v>1741.12</v>
      </c>
      <c r="Q18" s="63">
        <v>1850.5</v>
      </c>
      <c r="R18" s="63">
        <v>2064.0300000000002</v>
      </c>
      <c r="S18" s="63">
        <v>2188.11</v>
      </c>
      <c r="T18" s="63">
        <v>2215.96</v>
      </c>
      <c r="U18" s="63">
        <v>2168.94</v>
      </c>
      <c r="V18" s="63">
        <v>2000.24</v>
      </c>
      <c r="W18" s="63">
        <v>1752.22</v>
      </c>
      <c r="X18" s="63">
        <v>1265.33</v>
      </c>
      <c r="Y18" s="63">
        <v>801.95</v>
      </c>
      <c r="Z18" s="63">
        <v>939.25</v>
      </c>
      <c r="AA18" s="63">
        <v>1064.7</v>
      </c>
      <c r="AB18" s="63">
        <v>1649.33</v>
      </c>
      <c r="AC18" s="253">
        <v>1714.47</v>
      </c>
      <c r="AD18" s="63">
        <v>1750.93</v>
      </c>
      <c r="AE18" s="63">
        <v>2079.4699999999998</v>
      </c>
    </row>
    <row r="19" spans="1:31" x14ac:dyDescent="0.25">
      <c r="A19" s="47" t="s">
        <v>65</v>
      </c>
      <c r="B19" s="47">
        <v>12.7</v>
      </c>
      <c r="C19" s="46" t="s">
        <v>362</v>
      </c>
      <c r="D19" s="46">
        <v>2329</v>
      </c>
      <c r="E19" s="46">
        <v>133</v>
      </c>
      <c r="F19" s="46">
        <v>2028</v>
      </c>
      <c r="H19" s="48" t="s">
        <v>65</v>
      </c>
      <c r="I19" s="48">
        <v>12.08</v>
      </c>
      <c r="J19" s="49" t="s">
        <v>362</v>
      </c>
      <c r="K19" s="49">
        <v>2329</v>
      </c>
      <c r="L19" s="49">
        <v>133</v>
      </c>
      <c r="M19" s="49">
        <v>2028</v>
      </c>
      <c r="N19" s="63">
        <v>1290.1300000000001</v>
      </c>
      <c r="O19" s="63">
        <v>1196.46</v>
      </c>
      <c r="P19" s="63">
        <v>1720.82</v>
      </c>
      <c r="Q19" s="63">
        <v>1826.81</v>
      </c>
      <c r="R19" s="63">
        <v>2063.88</v>
      </c>
      <c r="S19" s="63">
        <v>2164.5100000000002</v>
      </c>
      <c r="T19" s="63">
        <v>2208.7600000000002</v>
      </c>
      <c r="U19" s="63">
        <v>2120</v>
      </c>
      <c r="V19" s="63">
        <v>2001.75</v>
      </c>
      <c r="W19" s="63">
        <v>1761.31</v>
      </c>
      <c r="X19" s="63">
        <v>1273.4100000000001</v>
      </c>
      <c r="Y19" s="63">
        <v>797.33</v>
      </c>
      <c r="Z19" s="63">
        <v>889.14</v>
      </c>
      <c r="AA19" s="63">
        <v>1025.1099999999999</v>
      </c>
      <c r="AB19" s="63">
        <v>1639.74</v>
      </c>
      <c r="AC19" s="253">
        <v>1725.1</v>
      </c>
      <c r="AD19" s="63">
        <v>1741.73</v>
      </c>
      <c r="AE19" s="63">
        <v>2066.02</v>
      </c>
    </row>
    <row r="20" spans="1:31" x14ac:dyDescent="0.25">
      <c r="A20" s="47" t="s">
        <v>66</v>
      </c>
      <c r="B20" s="47">
        <v>12.97</v>
      </c>
      <c r="C20" s="46" t="s">
        <v>461</v>
      </c>
      <c r="D20" s="46">
        <v>2442</v>
      </c>
      <c r="E20" s="46">
        <v>133</v>
      </c>
      <c r="F20" s="46">
        <v>2029</v>
      </c>
      <c r="H20" s="48" t="s">
        <v>66</v>
      </c>
      <c r="I20" s="48">
        <v>12.97</v>
      </c>
      <c r="J20" s="49" t="s">
        <v>461</v>
      </c>
      <c r="K20" s="49">
        <v>2442</v>
      </c>
      <c r="L20" s="49">
        <v>133</v>
      </c>
      <c r="M20" s="49">
        <v>2029</v>
      </c>
      <c r="N20" s="63">
        <v>1664.88</v>
      </c>
      <c r="O20" s="63">
        <v>1262.27</v>
      </c>
      <c r="P20" s="63">
        <v>2021.63</v>
      </c>
      <c r="Q20" s="63">
        <v>1481.15</v>
      </c>
      <c r="R20" s="63">
        <v>953.6</v>
      </c>
      <c r="S20" s="63">
        <v>1655.11</v>
      </c>
      <c r="T20" s="63">
        <v>1300.22</v>
      </c>
      <c r="U20" s="63">
        <v>1827.48</v>
      </c>
      <c r="V20" s="63">
        <v>2079.36</v>
      </c>
      <c r="W20" s="63">
        <v>1942.98</v>
      </c>
      <c r="X20" s="63">
        <v>873.36</v>
      </c>
      <c r="Y20" s="63">
        <v>899.74</v>
      </c>
      <c r="Z20" s="63">
        <v>847.19</v>
      </c>
      <c r="AA20" s="63">
        <v>1320.56</v>
      </c>
      <c r="AB20" s="63">
        <v>1531.83</v>
      </c>
      <c r="AC20" s="253">
        <v>1784.98</v>
      </c>
      <c r="AD20" s="63">
        <v>1461.59</v>
      </c>
      <c r="AE20" s="63">
        <v>1953.12</v>
      </c>
    </row>
    <row r="21" spans="1:31" x14ac:dyDescent="0.25">
      <c r="A21" s="47" t="s">
        <v>67</v>
      </c>
      <c r="B21" s="47">
        <v>12.97</v>
      </c>
      <c r="C21" s="46" t="s">
        <v>463</v>
      </c>
      <c r="D21" s="46">
        <v>3080</v>
      </c>
      <c r="E21" s="46">
        <v>133</v>
      </c>
      <c r="F21" s="46">
        <v>2030</v>
      </c>
      <c r="H21" s="48" t="s">
        <v>67</v>
      </c>
      <c r="I21" s="48">
        <v>12.97</v>
      </c>
      <c r="J21" s="49" t="s">
        <v>463</v>
      </c>
      <c r="K21" s="49">
        <v>3080</v>
      </c>
      <c r="L21" s="49">
        <v>133</v>
      </c>
      <c r="M21" s="49">
        <v>2030</v>
      </c>
      <c r="N21" s="63">
        <v>952.62</v>
      </c>
      <c r="O21" s="63">
        <v>1229.25</v>
      </c>
      <c r="P21" s="63">
        <v>1728.95</v>
      </c>
      <c r="Q21" s="63">
        <v>1689.42</v>
      </c>
      <c r="R21" s="63">
        <v>2021.66</v>
      </c>
      <c r="S21" s="63">
        <v>2450.21</v>
      </c>
      <c r="T21" s="63">
        <v>2417.79</v>
      </c>
      <c r="U21" s="63">
        <v>2248.0500000000002</v>
      </c>
      <c r="V21" s="63">
        <v>2118.3200000000002</v>
      </c>
      <c r="W21" s="63">
        <v>1722.28</v>
      </c>
      <c r="X21" s="63">
        <v>755.64</v>
      </c>
      <c r="Y21" s="63">
        <v>813.01</v>
      </c>
      <c r="Z21" s="63">
        <v>541.04999999999995</v>
      </c>
      <c r="AA21" s="63">
        <v>1034.18</v>
      </c>
      <c r="AB21" s="63">
        <v>1451.21</v>
      </c>
      <c r="AC21" s="253">
        <v>1690.69</v>
      </c>
      <c r="AD21" s="63">
        <v>1845.07</v>
      </c>
      <c r="AE21" s="63">
        <v>2268.41</v>
      </c>
    </row>
    <row r="22" spans="1:31" x14ac:dyDescent="0.25">
      <c r="A22" s="47" t="s">
        <v>68</v>
      </c>
      <c r="B22" s="47">
        <v>7.42</v>
      </c>
      <c r="C22" s="46" t="s">
        <v>464</v>
      </c>
      <c r="D22" s="50">
        <v>2511</v>
      </c>
      <c r="E22" s="46">
        <v>133</v>
      </c>
      <c r="F22" s="51">
        <v>45801</v>
      </c>
      <c r="H22" s="48" t="s">
        <v>71</v>
      </c>
      <c r="I22" s="48">
        <v>66.599999999999994</v>
      </c>
      <c r="J22" s="49" t="s">
        <v>451</v>
      </c>
      <c r="K22" s="49">
        <v>2071</v>
      </c>
      <c r="L22" s="49">
        <v>73</v>
      </c>
      <c r="M22" s="49">
        <v>2026</v>
      </c>
      <c r="N22" s="63">
        <v>5634</v>
      </c>
      <c r="O22" s="63">
        <v>5598.94</v>
      </c>
      <c r="P22" s="63">
        <v>10566.6</v>
      </c>
      <c r="Q22" s="63">
        <v>12493.32</v>
      </c>
      <c r="R22" s="63">
        <v>19640.61</v>
      </c>
      <c r="S22" s="63">
        <v>17711.259999999998</v>
      </c>
      <c r="T22" s="63">
        <v>23564.25</v>
      </c>
      <c r="U22" s="63">
        <v>24040.81</v>
      </c>
      <c r="V22" s="63">
        <v>18730.439999999999</v>
      </c>
      <c r="W22" s="63">
        <v>12376.04</v>
      </c>
      <c r="X22" s="63">
        <v>4629.3599999999997</v>
      </c>
      <c r="Y22" s="63">
        <v>10229.51</v>
      </c>
      <c r="Z22" s="63">
        <v>8433.4</v>
      </c>
      <c r="AA22" s="63">
        <v>10666.26</v>
      </c>
      <c r="AB22" s="63">
        <v>13286.1</v>
      </c>
      <c r="AC22" s="253">
        <v>15886.67</v>
      </c>
      <c r="AD22" s="63">
        <v>19429.63</v>
      </c>
      <c r="AE22" s="63">
        <v>24368.44</v>
      </c>
    </row>
    <row r="23" spans="1:31" x14ac:dyDescent="0.25">
      <c r="A23" s="47" t="s">
        <v>69</v>
      </c>
      <c r="B23" s="47">
        <v>0.56000000000000005</v>
      </c>
      <c r="C23" s="46"/>
      <c r="D23" s="46"/>
      <c r="E23" s="46">
        <v>133</v>
      </c>
      <c r="F23" s="52">
        <v>46624</v>
      </c>
      <c r="H23" s="48" t="s">
        <v>72</v>
      </c>
      <c r="I23" s="48">
        <v>23.3</v>
      </c>
      <c r="J23" s="49" t="s">
        <v>523</v>
      </c>
      <c r="K23" s="49">
        <v>2076</v>
      </c>
      <c r="L23" s="49">
        <v>73</v>
      </c>
      <c r="M23" s="49">
        <v>2026</v>
      </c>
      <c r="N23" s="63">
        <v>2902.99</v>
      </c>
      <c r="O23" s="63">
        <v>1838.06</v>
      </c>
      <c r="P23" s="63">
        <v>4596.9399999999996</v>
      </c>
      <c r="Q23" s="63">
        <v>5550</v>
      </c>
      <c r="R23" s="63">
        <v>7354.84</v>
      </c>
      <c r="S23" s="63">
        <v>7285.17</v>
      </c>
      <c r="T23" s="63">
        <v>8451.93</v>
      </c>
      <c r="U23" s="63">
        <v>8536.09</v>
      </c>
      <c r="V23" s="63">
        <v>7268.44</v>
      </c>
      <c r="W23" s="63">
        <v>5517.61</v>
      </c>
      <c r="X23" s="63">
        <v>3984</v>
      </c>
      <c r="Y23" s="63">
        <v>5282.44</v>
      </c>
      <c r="Z23" s="63">
        <v>4756.84</v>
      </c>
      <c r="AA23" s="63">
        <v>6623.94</v>
      </c>
      <c r="AB23" s="63">
        <v>6341.63</v>
      </c>
      <c r="AC23" s="253">
        <v>6751.11</v>
      </c>
      <c r="AD23" s="63">
        <v>7604.66</v>
      </c>
      <c r="AE23" s="63">
        <v>5405.78</v>
      </c>
    </row>
    <row r="24" spans="1:31" x14ac:dyDescent="0.25">
      <c r="A24" s="47" t="s">
        <v>70</v>
      </c>
      <c r="B24" s="47">
        <v>11.22</v>
      </c>
      <c r="C24" s="46"/>
      <c r="D24" s="46"/>
      <c r="E24" s="46">
        <v>133</v>
      </c>
      <c r="F24" s="52">
        <v>46610</v>
      </c>
      <c r="H24" s="48" t="s">
        <v>73</v>
      </c>
      <c r="I24" s="53">
        <v>60.1</v>
      </c>
      <c r="J24" s="49" t="s">
        <v>353</v>
      </c>
      <c r="K24" s="49">
        <v>2397</v>
      </c>
      <c r="L24" s="49">
        <v>73</v>
      </c>
      <c r="M24" s="49">
        <v>2029</v>
      </c>
      <c r="N24" s="63">
        <v>9698.34</v>
      </c>
      <c r="O24" s="63">
        <v>6391</v>
      </c>
      <c r="P24" s="63">
        <v>11415.89</v>
      </c>
      <c r="Q24" s="63">
        <v>7821.75</v>
      </c>
      <c r="R24" s="63">
        <v>7636.45</v>
      </c>
      <c r="S24" s="63">
        <v>10508.16</v>
      </c>
      <c r="T24" s="63">
        <v>11270.25</v>
      </c>
      <c r="U24" s="63">
        <v>13795.22</v>
      </c>
      <c r="V24" s="63">
        <v>11775.23</v>
      </c>
      <c r="W24" s="63">
        <v>5758.37</v>
      </c>
      <c r="X24" s="63">
        <v>9214.5</v>
      </c>
      <c r="Y24" s="63">
        <v>11115.61</v>
      </c>
      <c r="Z24" s="63">
        <v>17072.09</v>
      </c>
      <c r="AA24" s="63">
        <v>14596.77</v>
      </c>
      <c r="AB24" s="63">
        <v>19548.88</v>
      </c>
      <c r="AC24" s="253">
        <v>12625.07</v>
      </c>
      <c r="AD24" s="63">
        <v>13914.31</v>
      </c>
      <c r="AE24" s="63">
        <v>19072.939999999999</v>
      </c>
    </row>
    <row r="25" spans="1:31" x14ac:dyDescent="0.25">
      <c r="A25" s="47" t="s">
        <v>83</v>
      </c>
      <c r="B25" s="47">
        <v>5.58</v>
      </c>
      <c r="C25" s="46"/>
      <c r="D25" s="46"/>
      <c r="E25" s="46">
        <v>133</v>
      </c>
      <c r="F25" s="52">
        <v>46678</v>
      </c>
      <c r="H25" s="48" t="s">
        <v>74</v>
      </c>
      <c r="I25" s="48">
        <v>121.8</v>
      </c>
      <c r="J25" s="49" t="s">
        <v>360</v>
      </c>
      <c r="K25" s="49">
        <v>2412</v>
      </c>
      <c r="L25" s="49">
        <v>73</v>
      </c>
      <c r="M25" s="49">
        <v>2029</v>
      </c>
      <c r="N25" s="63">
        <v>29300.83</v>
      </c>
      <c r="O25" s="63">
        <v>21602.84</v>
      </c>
      <c r="P25" s="63">
        <v>42499.56</v>
      </c>
      <c r="Q25" s="63">
        <v>27865.919999999998</v>
      </c>
      <c r="R25" s="63">
        <v>27701.27</v>
      </c>
      <c r="S25" s="63">
        <v>34467.910000000003</v>
      </c>
      <c r="T25" s="63">
        <v>36606.019999999997</v>
      </c>
      <c r="U25" s="63">
        <v>46084.959999999999</v>
      </c>
      <c r="V25" s="63">
        <v>38072.949999999997</v>
      </c>
      <c r="W25" s="63">
        <v>21013.1</v>
      </c>
      <c r="X25" s="63">
        <v>30420.07</v>
      </c>
      <c r="Y25" s="63">
        <v>24293.38</v>
      </c>
      <c r="Z25" s="63">
        <v>40891.620000000003</v>
      </c>
      <c r="AA25" s="63">
        <v>31383.97</v>
      </c>
      <c r="AB25" s="63">
        <v>38317.1</v>
      </c>
      <c r="AC25" s="253">
        <v>25748.39</v>
      </c>
      <c r="AD25" s="63">
        <v>30786.21</v>
      </c>
      <c r="AE25" s="63">
        <v>39569.160000000003</v>
      </c>
    </row>
    <row r="26" spans="1:31" x14ac:dyDescent="0.25">
      <c r="A26" s="47" t="s">
        <v>71</v>
      </c>
      <c r="B26" s="47">
        <v>66.599999999999994</v>
      </c>
      <c r="C26" s="46" t="s">
        <v>451</v>
      </c>
      <c r="D26" s="46">
        <v>2071</v>
      </c>
      <c r="E26" s="46">
        <v>73</v>
      </c>
      <c r="F26" s="46">
        <v>2026</v>
      </c>
      <c r="H26" s="48" t="s">
        <v>75</v>
      </c>
      <c r="I26" s="48">
        <v>80.5</v>
      </c>
      <c r="J26" s="49" t="s">
        <v>452</v>
      </c>
      <c r="K26" s="49">
        <v>2448</v>
      </c>
      <c r="L26" s="49">
        <v>73</v>
      </c>
      <c r="M26" s="49">
        <v>2029</v>
      </c>
      <c r="N26" s="63">
        <v>11221.36</v>
      </c>
      <c r="O26" s="63">
        <v>10386.83</v>
      </c>
      <c r="P26" s="63">
        <v>14897.99</v>
      </c>
      <c r="Q26" s="63">
        <v>10215.290000000001</v>
      </c>
      <c r="R26" s="63">
        <v>8869.44</v>
      </c>
      <c r="S26" s="63">
        <v>12352.16</v>
      </c>
      <c r="T26" s="63">
        <v>11767.03</v>
      </c>
      <c r="U26" s="63">
        <v>15113.9</v>
      </c>
      <c r="V26" s="63">
        <v>11818.18</v>
      </c>
      <c r="W26" s="63">
        <v>7449.01</v>
      </c>
      <c r="X26" s="63">
        <v>18833.18</v>
      </c>
      <c r="Y26" s="63">
        <v>12663.8</v>
      </c>
      <c r="Z26" s="63">
        <v>29079.88</v>
      </c>
      <c r="AA26" s="63">
        <v>19717.72</v>
      </c>
      <c r="AB26" s="63">
        <v>21381.98</v>
      </c>
      <c r="AC26" s="253">
        <v>14844.64</v>
      </c>
      <c r="AD26" s="63">
        <v>14113.83</v>
      </c>
      <c r="AE26" s="63">
        <v>19438.57</v>
      </c>
    </row>
    <row r="27" spans="1:31" x14ac:dyDescent="0.25">
      <c r="A27" s="47" t="s">
        <v>72</v>
      </c>
      <c r="B27" s="47">
        <v>23.3</v>
      </c>
      <c r="C27" s="46"/>
      <c r="D27" s="46"/>
      <c r="E27" s="46">
        <v>73</v>
      </c>
      <c r="F27" s="46">
        <v>2026</v>
      </c>
      <c r="H27" s="48" t="s">
        <v>76</v>
      </c>
      <c r="I27" s="48">
        <v>98.8</v>
      </c>
      <c r="J27" s="49" t="s">
        <v>468</v>
      </c>
      <c r="K27" s="49">
        <v>2459</v>
      </c>
      <c r="L27" s="49">
        <v>73</v>
      </c>
      <c r="M27" s="49">
        <v>2029</v>
      </c>
      <c r="N27" s="63">
        <v>20394.189999999999</v>
      </c>
      <c r="O27" s="63">
        <v>19000.88</v>
      </c>
      <c r="P27" s="63">
        <v>23676.19</v>
      </c>
      <c r="Q27" s="63">
        <v>15002.71</v>
      </c>
      <c r="R27" s="63">
        <v>17546.73</v>
      </c>
      <c r="S27" s="63">
        <v>16741.73</v>
      </c>
      <c r="T27" s="63">
        <v>12517.6</v>
      </c>
      <c r="U27" s="63">
        <v>9951.18</v>
      </c>
      <c r="V27" s="63">
        <v>16509.68</v>
      </c>
      <c r="W27" s="63">
        <v>29683.13</v>
      </c>
      <c r="X27" s="63">
        <v>25677.32</v>
      </c>
      <c r="Y27" s="63">
        <v>23418.68</v>
      </c>
      <c r="Z27" s="63">
        <v>39815.160000000003</v>
      </c>
      <c r="AA27" s="63">
        <v>34373.440000000002</v>
      </c>
      <c r="AB27" s="63">
        <v>18571.37</v>
      </c>
      <c r="AC27" s="253">
        <v>20290.580000000002</v>
      </c>
      <c r="AD27" s="63">
        <v>19542.939999999999</v>
      </c>
      <c r="AE27" s="63">
        <v>13153.74</v>
      </c>
    </row>
    <row r="28" spans="1:31" x14ac:dyDescent="0.25">
      <c r="A28" s="47" t="s">
        <v>73</v>
      </c>
      <c r="B28" s="47">
        <v>60.1</v>
      </c>
      <c r="C28" s="46" t="s">
        <v>353</v>
      </c>
      <c r="D28" s="46">
        <v>2397</v>
      </c>
      <c r="E28" s="46">
        <v>73</v>
      </c>
      <c r="F28" s="46">
        <v>2029</v>
      </c>
      <c r="H28" s="48" t="s">
        <v>37</v>
      </c>
      <c r="I28" s="49"/>
      <c r="J28" s="49"/>
      <c r="K28" s="49"/>
      <c r="L28" s="49"/>
      <c r="M28" s="49"/>
      <c r="N28" s="63">
        <v>126489.51</v>
      </c>
      <c r="O28" s="63">
        <v>90623.25</v>
      </c>
      <c r="P28" s="63">
        <v>165570.17000000001</v>
      </c>
      <c r="Q28" s="63">
        <v>166908.23000000001</v>
      </c>
      <c r="R28" s="63">
        <v>162452.16</v>
      </c>
      <c r="S28" s="63">
        <v>138099.01</v>
      </c>
      <c r="T28" s="63">
        <v>131299.5</v>
      </c>
      <c r="U28" s="63">
        <v>138506.56</v>
      </c>
      <c r="V28" s="63">
        <v>126645.51</v>
      </c>
      <c r="W28" s="63">
        <v>104883.2</v>
      </c>
      <c r="X28" s="63">
        <v>115574.03</v>
      </c>
      <c r="Y28" s="63">
        <v>118664.94</v>
      </c>
      <c r="Z28" s="63">
        <v>190547.62</v>
      </c>
      <c r="AA28" s="63">
        <v>220358.98</v>
      </c>
      <c r="AB28" s="63">
        <v>222043.73</v>
      </c>
      <c r="AC28" s="253">
        <v>206277.61</v>
      </c>
      <c r="AD28" s="63">
        <v>199400.82</v>
      </c>
      <c r="AE28" s="63">
        <v>209523.75</v>
      </c>
    </row>
    <row r="29" spans="1:31" x14ac:dyDescent="0.25">
      <c r="A29" s="47" t="s">
        <v>74</v>
      </c>
      <c r="B29" s="47">
        <v>121.8</v>
      </c>
      <c r="C29" s="46" t="s">
        <v>360</v>
      </c>
      <c r="D29" s="46">
        <v>2412</v>
      </c>
      <c r="E29" s="46">
        <v>73</v>
      </c>
      <c r="F29" s="46">
        <v>2029</v>
      </c>
    </row>
    <row r="30" spans="1:31" ht="17.100000000000001" customHeight="1" x14ac:dyDescent="0.25">
      <c r="A30" s="47" t="s">
        <v>75</v>
      </c>
      <c r="B30" s="47">
        <v>80.5</v>
      </c>
      <c r="C30" s="46" t="s">
        <v>452</v>
      </c>
      <c r="D30" s="46">
        <v>2448</v>
      </c>
      <c r="E30" s="46">
        <v>73</v>
      </c>
      <c r="F30" s="46">
        <v>2029</v>
      </c>
      <c r="H30" s="54" t="s">
        <v>532</v>
      </c>
      <c r="Z30" s="55">
        <f>(SUM(Z2:Z13)/SUM(N2:N13))-1</f>
        <v>0.1943124485552683</v>
      </c>
      <c r="AA30" s="55">
        <f>(SUM(AA2:AA13)/SUM(O2:O13))-1</f>
        <v>4.4778759885307311</v>
      </c>
      <c r="AB30" s="55">
        <f>(SUM(AB2:AB13)/SUM(P2:P13))-1</f>
        <v>1.1006673887264995</v>
      </c>
      <c r="AC30" s="55">
        <f>(SUM(AC2:AC13)/SUM(Q2:Q13))-1</f>
        <v>0.29370213405702783</v>
      </c>
      <c r="AD30" s="55">
        <f>(SUM(AD2:AD13)/SUM(R2:R13))-1</f>
        <v>0.3454208934045353</v>
      </c>
      <c r="AE30" s="55">
        <f t="shared" ref="AE30" si="0">(SUM(AE2:AE13)/SUM(S2:S13))-1</f>
        <v>2.1290250945719316</v>
      </c>
    </row>
    <row r="31" spans="1:31" ht="24" customHeight="1" x14ac:dyDescent="0.25">
      <c r="A31" s="47" t="s">
        <v>76</v>
      </c>
      <c r="B31" s="47">
        <v>98.8</v>
      </c>
      <c r="C31" s="46" t="s">
        <v>468</v>
      </c>
      <c r="D31" s="46">
        <v>2459</v>
      </c>
      <c r="E31" s="46">
        <v>73</v>
      </c>
      <c r="F31" s="46">
        <v>2029</v>
      </c>
      <c r="H31" s="54" t="s">
        <v>526</v>
      </c>
      <c r="U31" s="63"/>
      <c r="V31" s="63"/>
      <c r="Z31" s="55"/>
      <c r="AA31" s="55">
        <f>(SUM(Z2:AA13)/SUM(N2:O13))-1</f>
        <v>1.543434140397967</v>
      </c>
      <c r="AB31" s="55">
        <f>(SUM(Z2:AB13)/SUM(N2:P13))-1</f>
        <v>1.3460070564003566</v>
      </c>
      <c r="AC31" s="55">
        <f>(SUM(Z2:AC13)/SUM(N2:Q13))-1</f>
        <v>0.8926407750689318</v>
      </c>
      <c r="AD31" s="55">
        <f>(SUM(Z2:AD13)/SUM(N2:R13))-1</f>
        <v>0.75263637373625203</v>
      </c>
      <c r="AE31" s="55">
        <f>(SUM(Z2:AE13)/SUM(N2:S13))-1</f>
        <v>0.87739096497188962</v>
      </c>
    </row>
    <row r="32" spans="1:31" ht="19.5" customHeight="1" x14ac:dyDescent="0.25">
      <c r="A32" s="47" t="s">
        <v>77</v>
      </c>
      <c r="B32" s="47">
        <v>12.96</v>
      </c>
      <c r="C32" s="46"/>
      <c r="D32" s="46"/>
      <c r="E32" s="46">
        <v>73</v>
      </c>
      <c r="F32" s="46">
        <v>2026</v>
      </c>
      <c r="H32" s="54" t="s">
        <v>534</v>
      </c>
      <c r="Z32" s="55">
        <f>(SUM(Z14:Z21)/SUM(N14:N21))-1</f>
        <v>-0.42731045758699904</v>
      </c>
      <c r="AA32" s="55">
        <f>(SUM(AA14:AA21)/SUM(O14:O21))-1</f>
        <v>-3.1495479820838668E-2</v>
      </c>
      <c r="AB32" s="55">
        <f>(SUM(AB14:AB21)/SUM(P14:P21))-1</f>
        <v>-0.14338996615733823</v>
      </c>
      <c r="AC32" s="55">
        <f>(SUM(AC14:AC21)/SUM(Q14:Q21))-1</f>
        <v>1.0478460684116397E-2</v>
      </c>
      <c r="AD32" s="55">
        <f t="shared" ref="AD32:AE32" si="1">(SUM(AD14:AD21)/SUM(R14:R21))-1</f>
        <v>-2.7160754524863995E-2</v>
      </c>
      <c r="AE32" s="55">
        <f t="shared" si="1"/>
        <v>-1.1427145263796068E-2</v>
      </c>
    </row>
    <row r="33" spans="1:31" ht="18.600000000000001" customHeight="1" x14ac:dyDescent="0.25">
      <c r="A33" s="47" t="s">
        <v>78</v>
      </c>
      <c r="B33" s="47">
        <v>5.76</v>
      </c>
      <c r="C33" s="46" t="s">
        <v>468</v>
      </c>
      <c r="D33" s="50">
        <v>2459</v>
      </c>
      <c r="E33" s="56">
        <v>73</v>
      </c>
      <c r="F33" s="57">
        <v>2029</v>
      </c>
      <c r="H33" s="54" t="s">
        <v>547</v>
      </c>
      <c r="Z33" s="55"/>
      <c r="AA33" s="55">
        <f>(SUM(Z14:AA21)/SUM(N14:O21))-1</f>
        <v>-0.24250539416217454</v>
      </c>
      <c r="AB33" s="55">
        <f>(SUM(Z14:AB21)/SUM(N14:P21))-1</f>
        <v>-0.19992930082966631</v>
      </c>
      <c r="AC33" s="55">
        <f>(SUM(Z14:AC21)/SUM(N14:Q21))-1</f>
        <v>-0.13929653343888826</v>
      </c>
      <c r="AD33" s="55">
        <f>(SUM(Z14:AD21)/SUM(N14:R21))-1</f>
        <v>-0.11287855503891564</v>
      </c>
      <c r="AE33" s="55">
        <f>(SUM(Z14:AE21)/SUM(N14:S21))-1</f>
        <v>-9.1461898480713288E-2</v>
      </c>
    </row>
    <row r="34" spans="1:31" x14ac:dyDescent="0.25">
      <c r="A34" s="47" t="s">
        <v>79</v>
      </c>
      <c r="B34" s="47">
        <v>8.41</v>
      </c>
      <c r="C34" s="46" t="s">
        <v>452</v>
      </c>
      <c r="D34" s="46">
        <v>2448</v>
      </c>
      <c r="E34" s="46">
        <v>73</v>
      </c>
      <c r="F34" s="46">
        <v>2029</v>
      </c>
      <c r="H34" s="54" t="s">
        <v>531</v>
      </c>
      <c r="Z34" s="55">
        <f>(SUM(Z22:Z27)/SUM(N22:N27))-1</f>
        <v>0.76937415502457251</v>
      </c>
      <c r="AA34" s="55">
        <f>(SUM(AA22:AA27)/SUM(O22:O27))-1</f>
        <v>0.81062519911352537</v>
      </c>
      <c r="AB34" s="55">
        <f>(SUM(AB22:AB27)/SUM(P22:P27))-1</f>
        <v>9.0976327032450399E-2</v>
      </c>
      <c r="AC34" s="55">
        <f>(SUM(AC22:AC27)/SUM(Q22:Q27))-1</f>
        <v>0.2178301457688061</v>
      </c>
      <c r="AD34" s="55">
        <f t="shared" ref="AD34:AE34" si="2">(SUM(AD22:AD27)/SUM(R22:R27))-1</f>
        <v>0.18751959169499188</v>
      </c>
      <c r="AE34" s="55">
        <f t="shared" si="2"/>
        <v>0.22149025517130494</v>
      </c>
    </row>
    <row r="35" spans="1:31" x14ac:dyDescent="0.25">
      <c r="A35" s="47" t="s">
        <v>80</v>
      </c>
      <c r="B35" s="47">
        <v>4.95</v>
      </c>
      <c r="C35" s="46"/>
      <c r="D35" s="46"/>
      <c r="E35" s="46">
        <v>73</v>
      </c>
      <c r="F35" s="46">
        <v>2029</v>
      </c>
      <c r="H35" s="54" t="s">
        <v>533</v>
      </c>
      <c r="Z35" s="55"/>
      <c r="AA35" s="55">
        <f>(SUM(Z22:AA27)/SUM(N22:O27))-1</f>
        <v>0.78794627445973919</v>
      </c>
      <c r="AB35" s="55">
        <f>(SUM(Z22:AB27)/SUM(N22:P27))-1</f>
        <v>0.48975852526928887</v>
      </c>
      <c r="AC35" s="55">
        <f>(SUM(Z22:AC27)/SUM(N22:Q27))-1</f>
        <v>0.42481520388180027</v>
      </c>
      <c r="AD35" s="55">
        <f>(SUM(Z22:AD27)/SUM(N22:R27))-1</f>
        <v>0.37459165009705186</v>
      </c>
      <c r="AE35" s="55">
        <f>(SUM(Z22:AE27)/SUM(N22:S27))-1</f>
        <v>0.34533326041499968</v>
      </c>
    </row>
    <row r="36" spans="1:31" x14ac:dyDescent="0.25">
      <c r="A36" s="47" t="s">
        <v>81</v>
      </c>
      <c r="B36" s="47">
        <v>39.94</v>
      </c>
      <c r="C36" s="46" t="s">
        <v>360</v>
      </c>
      <c r="D36" s="50">
        <v>2412</v>
      </c>
      <c r="E36" s="56">
        <v>73</v>
      </c>
      <c r="F36" s="56">
        <v>2029</v>
      </c>
      <c r="H36" s="54" t="s">
        <v>529</v>
      </c>
      <c r="Z36" s="55">
        <f>(Z28/N28)-1</f>
        <v>0.50643021701957736</v>
      </c>
      <c r="AA36" s="55">
        <f>(AA28/O28)-1</f>
        <v>1.4315943204420498</v>
      </c>
      <c r="AB36" s="55">
        <f>(AB28/P28)-1</f>
        <v>0.34108535372041948</v>
      </c>
      <c r="AC36" s="55">
        <f>(AC28/Q28)-1</f>
        <v>0.23587440835002549</v>
      </c>
      <c r="AD36" s="55">
        <f t="shared" ref="AD36:AE36" si="3">(AD28/R28)-1</f>
        <v>0.22744332854669347</v>
      </c>
      <c r="AE36" s="55">
        <f t="shared" si="3"/>
        <v>0.5171995078024092</v>
      </c>
    </row>
    <row r="37" spans="1:31" x14ac:dyDescent="0.25">
      <c r="A37" s="47" t="s">
        <v>82</v>
      </c>
      <c r="B37" s="47">
        <v>13.26</v>
      </c>
      <c r="C37" s="46"/>
      <c r="D37" s="46"/>
      <c r="E37" s="46">
        <v>73</v>
      </c>
      <c r="F37" s="46">
        <v>2026</v>
      </c>
      <c r="H37" s="54" t="s">
        <v>530</v>
      </c>
      <c r="Z37" s="55"/>
      <c r="AA37" s="55">
        <f>(SUM(Z28:AA28)/SUM(N28:O28))-1</f>
        <v>0.89259534999232648</v>
      </c>
      <c r="AB37" s="55">
        <f>(SUM(Z28:AB28)/SUM(N28:P28))-1</f>
        <v>0.65398109082106148</v>
      </c>
      <c r="AC37" s="55">
        <f>(SUM(Z28:AC28)/SUM(N28:Q28))-1</f>
        <v>0.52700407335518262</v>
      </c>
      <c r="AD37" s="55">
        <f>(SUM(Z28:AD28)/SUM(N28:R28))-1</f>
        <v>0.4586595096489352</v>
      </c>
      <c r="AE37" s="55">
        <f>(SUM(Z28:AE28)/SUM(N28:S28))-1</f>
        <v>0.46816887708673427</v>
      </c>
    </row>
    <row r="38" spans="1:31" x14ac:dyDescent="0.25">
      <c r="A38" s="47" t="s">
        <v>37</v>
      </c>
      <c r="B38" s="46">
        <v>886.54</v>
      </c>
      <c r="C38" s="46"/>
      <c r="D38" s="46"/>
      <c r="E38" s="46"/>
      <c r="F38" s="46"/>
    </row>
    <row r="39" spans="1:31" x14ac:dyDescent="0.25">
      <c r="H39" s="47" t="s">
        <v>661</v>
      </c>
      <c r="I39" t="s">
        <v>683</v>
      </c>
      <c r="J39" t="s">
        <v>684</v>
      </c>
      <c r="K39" t="s">
        <v>685</v>
      </c>
      <c r="L39" t="s">
        <v>686</v>
      </c>
      <c r="M39" t="s">
        <v>687</v>
      </c>
      <c r="N39" t="s">
        <v>484</v>
      </c>
      <c r="O39" t="s">
        <v>485</v>
      </c>
      <c r="P39" t="s">
        <v>486</v>
      </c>
      <c r="Q39" t="s">
        <v>487</v>
      </c>
      <c r="R39" t="s">
        <v>488</v>
      </c>
      <c r="S39" t="s">
        <v>489</v>
      </c>
      <c r="T39" t="s">
        <v>490</v>
      </c>
      <c r="U39" t="s">
        <v>491</v>
      </c>
      <c r="V39" t="s">
        <v>492</v>
      </c>
      <c r="W39" t="s">
        <v>493</v>
      </c>
      <c r="X39" t="s">
        <v>494</v>
      </c>
      <c r="Y39" t="s">
        <v>495</v>
      </c>
      <c r="Z39" t="s">
        <v>496</v>
      </c>
      <c r="AA39" t="s">
        <v>497</v>
      </c>
      <c r="AB39" t="s">
        <v>574</v>
      </c>
      <c r="AC39" t="s">
        <v>731</v>
      </c>
      <c r="AD39" t="s">
        <v>732</v>
      </c>
      <c r="AE39" t="s">
        <v>733</v>
      </c>
    </row>
    <row r="40" spans="1:31" x14ac:dyDescent="0.25">
      <c r="H40" s="48" t="s">
        <v>45</v>
      </c>
      <c r="N40" s="106">
        <f t="shared" ref="N40:N50" si="4">$N$75*N2</f>
        <v>0</v>
      </c>
      <c r="O40" s="106">
        <f t="shared" ref="O40:O50" si="5">$O$75*O2</f>
        <v>0</v>
      </c>
      <c r="P40" s="106">
        <f t="shared" ref="P40:P50" si="6">$P$75*P2</f>
        <v>0</v>
      </c>
      <c r="Q40" s="106">
        <f t="shared" ref="Q40:Q50" si="7">$Q$75*Q2</f>
        <v>0</v>
      </c>
      <c r="R40" s="106">
        <f t="shared" ref="R40:R50" si="8">$R$75*R2</f>
        <v>0</v>
      </c>
      <c r="S40" s="106">
        <f t="shared" ref="S40:S50" si="9">$S$75*S2</f>
        <v>101553.24</v>
      </c>
      <c r="T40" s="106">
        <f t="shared" ref="T40:T50" si="10">$T$75*T2</f>
        <v>265119.42599999998</v>
      </c>
      <c r="U40" s="106">
        <f t="shared" ref="U40:U50" si="11">$U$75*U2</f>
        <v>17175.103999999999</v>
      </c>
      <c r="V40" s="106">
        <f t="shared" ref="V40:V50" si="12">$V$75*V2</f>
        <v>0</v>
      </c>
      <c r="W40" s="106">
        <f t="shared" ref="W40:W50" si="13">$W$75*W2</f>
        <v>0</v>
      </c>
      <c r="X40" s="106">
        <f t="shared" ref="X40:X50" si="14">$X$75*X2</f>
        <v>0</v>
      </c>
      <c r="Y40" s="106">
        <f t="shared" ref="Y40:Y50" si="15">$Y$75*Y2</f>
        <v>0</v>
      </c>
      <c r="Z40" s="106">
        <f t="shared" ref="Z40:Z50" si="16">$Z$75*Z2</f>
        <v>0</v>
      </c>
      <c r="AA40" s="106">
        <f t="shared" ref="AA40:AA50" si="17">$AA$75*AA2</f>
        <v>0</v>
      </c>
      <c r="AB40" s="106">
        <f>$AB$75*AB2</f>
        <v>21054.741000000002</v>
      </c>
      <c r="AC40" s="106">
        <f>$AC$75*AC2</f>
        <v>35507.761600000005</v>
      </c>
      <c r="AD40" s="106">
        <f>$AD$75*AD2</f>
        <v>7671.9404999999997</v>
      </c>
      <c r="AE40" s="106">
        <f>$AE$75*AE2</f>
        <v>66979.964000000007</v>
      </c>
    </row>
    <row r="41" spans="1:31" x14ac:dyDescent="0.25">
      <c r="H41" s="48" t="s">
        <v>55</v>
      </c>
      <c r="N41" s="106">
        <f t="shared" si="4"/>
        <v>141209.60399999999</v>
      </c>
      <c r="O41" s="106">
        <f t="shared" si="5"/>
        <v>58391.293999999994</v>
      </c>
      <c r="P41" s="106">
        <f t="shared" si="6"/>
        <v>88247.592000000004</v>
      </c>
      <c r="Q41" s="106">
        <f t="shared" si="7"/>
        <v>97746.356000000014</v>
      </c>
      <c r="R41" s="106">
        <f t="shared" si="8"/>
        <v>102294.32799999999</v>
      </c>
      <c r="S41" s="106">
        <f t="shared" si="9"/>
        <v>75606.819999999992</v>
      </c>
      <c r="T41" s="106">
        <f t="shared" si="10"/>
        <v>73527.167999999991</v>
      </c>
      <c r="U41" s="106">
        <f t="shared" si="11"/>
        <v>82560.899000000005</v>
      </c>
      <c r="V41" s="106">
        <f t="shared" si="12"/>
        <v>110771.21299999999</v>
      </c>
      <c r="W41" s="106">
        <f t="shared" si="13"/>
        <v>26061.295999999998</v>
      </c>
      <c r="X41" s="106">
        <f t="shared" si="14"/>
        <v>37429.116000000002</v>
      </c>
      <c r="Y41" s="106">
        <f t="shared" si="15"/>
        <v>51933.36</v>
      </c>
      <c r="Z41" s="106">
        <f t="shared" si="16"/>
        <v>71325.200000000012</v>
      </c>
      <c r="AA41" s="106">
        <f t="shared" si="17"/>
        <v>229987.845</v>
      </c>
      <c r="AB41" s="106">
        <f t="shared" ref="AB41:AB50" si="18">$AA$75*AB3</f>
        <v>252472.59400000001</v>
      </c>
      <c r="AC41" s="106">
        <f t="shared" ref="AC41:AC50" si="19">$AC$75*AC3</f>
        <v>195784.348</v>
      </c>
      <c r="AD41" s="106">
        <f t="shared" ref="AD41:AD50" si="20">$AD$75*AD3</f>
        <v>215138.85190000001</v>
      </c>
      <c r="AE41" s="106">
        <f t="shared" ref="AE41:AE50" si="21">$AE$75*AE3</f>
        <v>265503.30800000002</v>
      </c>
    </row>
    <row r="42" spans="1:31" x14ac:dyDescent="0.25">
      <c r="H42" s="48" t="s">
        <v>46</v>
      </c>
      <c r="N42" s="106">
        <f t="shared" si="4"/>
        <v>115567.4988</v>
      </c>
      <c r="O42" s="106">
        <f t="shared" si="5"/>
        <v>106786.25989999999</v>
      </c>
      <c r="P42" s="106">
        <f t="shared" si="6"/>
        <v>304483.77359999996</v>
      </c>
      <c r="Q42" s="106">
        <f t="shared" si="7"/>
        <v>727374.06180000002</v>
      </c>
      <c r="R42" s="106">
        <f t="shared" si="8"/>
        <v>595320.20559999999</v>
      </c>
      <c r="S42" s="106">
        <f t="shared" si="9"/>
        <v>154194.40299999999</v>
      </c>
      <c r="T42" s="106">
        <f t="shared" si="10"/>
        <v>46987.340400000001</v>
      </c>
      <c r="U42" s="106">
        <f t="shared" si="11"/>
        <v>0</v>
      </c>
      <c r="V42" s="106">
        <f t="shared" si="12"/>
        <v>8285.8559000000005</v>
      </c>
      <c r="W42" s="106">
        <f t="shared" si="13"/>
        <v>28750.275600000001</v>
      </c>
      <c r="X42" s="106">
        <f t="shared" si="14"/>
        <v>103695.48240000001</v>
      </c>
      <c r="Y42" s="106">
        <f t="shared" si="15"/>
        <v>182314.61599999998</v>
      </c>
      <c r="Z42" s="106">
        <f t="shared" si="16"/>
        <v>205818.31999999998</v>
      </c>
      <c r="AA42" s="106">
        <f t="shared" si="17"/>
        <v>584413.10869999998</v>
      </c>
      <c r="AB42" s="106">
        <f t="shared" si="18"/>
        <v>636022.7648</v>
      </c>
      <c r="AC42" s="106">
        <f t="shared" si="19"/>
        <v>253069.3536</v>
      </c>
      <c r="AD42" s="106">
        <f t="shared" si="20"/>
        <v>118815.7194</v>
      </c>
      <c r="AE42" s="106">
        <f t="shared" si="21"/>
        <v>283078.38759999996</v>
      </c>
    </row>
    <row r="43" spans="1:31" x14ac:dyDescent="0.25">
      <c r="H43" s="48" t="s">
        <v>47</v>
      </c>
      <c r="N43" s="106">
        <f t="shared" si="4"/>
        <v>1050980.2919999999</v>
      </c>
      <c r="O43" s="106">
        <f t="shared" si="5"/>
        <v>399776.641</v>
      </c>
      <c r="P43" s="106">
        <f t="shared" si="6"/>
        <v>659102.60159999994</v>
      </c>
      <c r="Q43" s="106">
        <f t="shared" si="7"/>
        <v>945020.60460000008</v>
      </c>
      <c r="R43" s="106">
        <f t="shared" si="8"/>
        <v>360834.66200000001</v>
      </c>
      <c r="S43" s="106">
        <f t="shared" si="9"/>
        <v>148444.16150000002</v>
      </c>
      <c r="T43" s="106">
        <f t="shared" si="10"/>
        <v>167696.67199999999</v>
      </c>
      <c r="U43" s="106">
        <f t="shared" si="11"/>
        <v>114575.641</v>
      </c>
      <c r="V43" s="106">
        <f t="shared" si="12"/>
        <v>59933.66399999999</v>
      </c>
      <c r="W43" s="106">
        <f t="shared" si="13"/>
        <v>68699.22</v>
      </c>
      <c r="X43" s="106">
        <f t="shared" si="14"/>
        <v>109655.822</v>
      </c>
      <c r="Y43" s="106">
        <f t="shared" si="15"/>
        <v>614205.87999999989</v>
      </c>
      <c r="Z43" s="106">
        <f t="shared" si="16"/>
        <v>1300367.3999999999</v>
      </c>
      <c r="AA43" s="106">
        <f t="shared" si="17"/>
        <v>1301728.7431999999</v>
      </c>
      <c r="AB43" s="106">
        <f t="shared" si="18"/>
        <v>1085578.5370999998</v>
      </c>
      <c r="AC43" s="106">
        <f t="shared" si="19"/>
        <v>373456.61320000002</v>
      </c>
      <c r="AD43" s="106">
        <f t="shared" si="20"/>
        <v>127504.43579999999</v>
      </c>
      <c r="AE43" s="106">
        <f t="shared" si="21"/>
        <v>442367.28639999998</v>
      </c>
    </row>
    <row r="44" spans="1:31" x14ac:dyDescent="0.25">
      <c r="H44" s="48" t="s">
        <v>48</v>
      </c>
      <c r="N44" s="106">
        <f t="shared" si="4"/>
        <v>267598.3248</v>
      </c>
      <c r="O44" s="106">
        <f t="shared" si="5"/>
        <v>90511.372799999997</v>
      </c>
      <c r="P44" s="106">
        <f t="shared" si="6"/>
        <v>42429.002399999998</v>
      </c>
      <c r="Q44" s="106">
        <f t="shared" si="7"/>
        <v>193150.31240000002</v>
      </c>
      <c r="R44" s="106">
        <f t="shared" si="8"/>
        <v>87520.045799999993</v>
      </c>
      <c r="S44" s="106">
        <f t="shared" si="9"/>
        <v>21831.782500000001</v>
      </c>
      <c r="T44" s="106">
        <f t="shared" si="10"/>
        <v>7494.0007999999998</v>
      </c>
      <c r="U44" s="106">
        <f t="shared" si="11"/>
        <v>3812.9021000000002</v>
      </c>
      <c r="V44" s="106">
        <f t="shared" si="12"/>
        <v>4967.62</v>
      </c>
      <c r="W44" s="106">
        <f t="shared" si="13"/>
        <v>31086.6456</v>
      </c>
      <c r="X44" s="106">
        <f t="shared" si="14"/>
        <v>29910.565700000003</v>
      </c>
      <c r="Y44" s="106">
        <f t="shared" si="15"/>
        <v>107826.67399999998</v>
      </c>
      <c r="Z44" s="106">
        <f t="shared" si="16"/>
        <v>237206.44</v>
      </c>
      <c r="AA44" s="106">
        <f t="shared" si="17"/>
        <v>255100.32380000001</v>
      </c>
      <c r="AB44" s="106">
        <f t="shared" si="18"/>
        <v>134036.3553</v>
      </c>
      <c r="AC44" s="106">
        <f t="shared" si="19"/>
        <v>60428.078399999999</v>
      </c>
      <c r="AD44" s="106">
        <f t="shared" si="20"/>
        <v>14462.2184</v>
      </c>
      <c r="AE44" s="106">
        <f t="shared" si="21"/>
        <v>24216.37</v>
      </c>
    </row>
    <row r="45" spans="1:31" x14ac:dyDescent="0.25">
      <c r="H45" s="48" t="s">
        <v>49</v>
      </c>
      <c r="N45" s="106">
        <f t="shared" si="4"/>
        <v>75035.736000000004</v>
      </c>
      <c r="O45" s="106">
        <f t="shared" si="5"/>
        <v>56304.003400000001</v>
      </c>
      <c r="P45" s="106">
        <f t="shared" si="6"/>
        <v>271593.06479999999</v>
      </c>
      <c r="Q45" s="106">
        <f t="shared" si="7"/>
        <v>347176.52180000005</v>
      </c>
      <c r="R45" s="106">
        <f t="shared" si="8"/>
        <v>179768.0668</v>
      </c>
      <c r="S45" s="106">
        <f t="shared" si="9"/>
        <v>48057.827000000005</v>
      </c>
      <c r="T45" s="106">
        <f t="shared" si="10"/>
        <v>42801.616000000002</v>
      </c>
      <c r="U45" s="106">
        <f t="shared" si="11"/>
        <v>36114.8629</v>
      </c>
      <c r="V45" s="106">
        <f t="shared" si="12"/>
        <v>124377.79269999999</v>
      </c>
      <c r="W45" s="106">
        <f t="shared" si="13"/>
        <v>111317.9228</v>
      </c>
      <c r="X45" s="106">
        <f t="shared" si="14"/>
        <v>38186.514600000002</v>
      </c>
      <c r="Y45" s="106">
        <f t="shared" si="15"/>
        <v>81428.627999999997</v>
      </c>
      <c r="Z45" s="106">
        <f t="shared" si="16"/>
        <v>139426.51999999999</v>
      </c>
      <c r="AA45" s="106">
        <f t="shared" si="17"/>
        <v>116347.1394</v>
      </c>
      <c r="AB45" s="106">
        <f t="shared" si="18"/>
        <v>139767.4822</v>
      </c>
      <c r="AC45" s="106">
        <f t="shared" si="19"/>
        <v>67088</v>
      </c>
      <c r="AD45" s="106">
        <f t="shared" si="20"/>
        <v>29053.9277</v>
      </c>
      <c r="AE45" s="106">
        <f t="shared" si="21"/>
        <v>48657.528399999996</v>
      </c>
    </row>
    <row r="46" spans="1:31" x14ac:dyDescent="0.25">
      <c r="H46" s="48" t="s">
        <v>50</v>
      </c>
      <c r="N46" s="106">
        <f t="shared" si="4"/>
        <v>456998.72400000005</v>
      </c>
      <c r="O46" s="106">
        <f t="shared" si="5"/>
        <v>151955.0338</v>
      </c>
      <c r="P46" s="106">
        <f t="shared" si="6"/>
        <v>86127.904800000004</v>
      </c>
      <c r="Q46" s="106">
        <f t="shared" si="7"/>
        <v>260227.22540000002</v>
      </c>
      <c r="R46" s="106">
        <f t="shared" si="8"/>
        <v>177723.5889</v>
      </c>
      <c r="S46" s="106">
        <f t="shared" si="9"/>
        <v>53856.476000000002</v>
      </c>
      <c r="T46" s="106">
        <f t="shared" si="10"/>
        <v>42215.659200000002</v>
      </c>
      <c r="U46" s="106">
        <f t="shared" si="11"/>
        <v>43566.595099999999</v>
      </c>
      <c r="V46" s="106">
        <f t="shared" si="12"/>
        <v>31504.780299999999</v>
      </c>
      <c r="W46" s="106">
        <f t="shared" si="13"/>
        <v>68849.012799999997</v>
      </c>
      <c r="X46" s="106">
        <f t="shared" si="14"/>
        <v>49908.159600000006</v>
      </c>
      <c r="Y46" s="106">
        <f t="shared" si="15"/>
        <v>141301.66399999999</v>
      </c>
      <c r="Z46" s="106">
        <f t="shared" si="16"/>
        <v>291041.36000000004</v>
      </c>
      <c r="AA46" s="106">
        <f t="shared" si="17"/>
        <v>314288.68319999997</v>
      </c>
      <c r="AB46" s="106">
        <f t="shared" si="18"/>
        <v>190620.10419999997</v>
      </c>
      <c r="AC46" s="106">
        <f t="shared" si="19"/>
        <v>78116.308800000013</v>
      </c>
      <c r="AD46" s="106">
        <f t="shared" si="20"/>
        <v>15211.227500000001</v>
      </c>
      <c r="AE46" s="106">
        <f t="shared" si="21"/>
        <v>30280.131599999997</v>
      </c>
    </row>
    <row r="47" spans="1:31" x14ac:dyDescent="0.25">
      <c r="H47" s="48" t="s">
        <v>51</v>
      </c>
      <c r="N47" s="106">
        <f t="shared" si="4"/>
        <v>28236.189599999998</v>
      </c>
      <c r="O47" s="106">
        <f t="shared" si="5"/>
        <v>19797.9722</v>
      </c>
      <c r="P47" s="106">
        <f t="shared" si="6"/>
        <v>48567.549599999998</v>
      </c>
      <c r="Q47" s="106">
        <f t="shared" si="7"/>
        <v>206419.54080000002</v>
      </c>
      <c r="R47" s="106">
        <f t="shared" si="8"/>
        <v>244625.33439999999</v>
      </c>
      <c r="S47" s="106">
        <f t="shared" si="9"/>
        <v>9690.0425000000014</v>
      </c>
      <c r="T47" s="106">
        <f t="shared" si="10"/>
        <v>0</v>
      </c>
      <c r="U47" s="106">
        <f t="shared" si="11"/>
        <v>0</v>
      </c>
      <c r="V47" s="106">
        <f t="shared" si="12"/>
        <v>0</v>
      </c>
      <c r="W47" s="106">
        <f t="shared" si="13"/>
        <v>4379.1196</v>
      </c>
      <c r="X47" s="106">
        <f t="shared" si="14"/>
        <v>14371.204300000001</v>
      </c>
      <c r="Y47" s="106">
        <f t="shared" si="15"/>
        <v>31433.237999999998</v>
      </c>
      <c r="Z47" s="106">
        <f t="shared" si="16"/>
        <v>25160</v>
      </c>
      <c r="AA47" s="106">
        <f t="shared" si="17"/>
        <v>23757.786199999999</v>
      </c>
      <c r="AB47" s="106">
        <f t="shared" si="18"/>
        <v>26681.639799999997</v>
      </c>
      <c r="AC47" s="106">
        <f t="shared" si="19"/>
        <v>19777.782000000003</v>
      </c>
      <c r="AD47" s="106">
        <f t="shared" si="20"/>
        <v>18443.228999999999</v>
      </c>
      <c r="AE47" s="106">
        <f t="shared" si="21"/>
        <v>34652.018799999998</v>
      </c>
    </row>
    <row r="48" spans="1:31" x14ac:dyDescent="0.25">
      <c r="H48" s="48" t="s">
        <v>56</v>
      </c>
      <c r="N48" s="106">
        <f t="shared" si="4"/>
        <v>350946.45</v>
      </c>
      <c r="O48" s="106">
        <f t="shared" si="5"/>
        <v>172146.54580000002</v>
      </c>
      <c r="P48" s="106">
        <f t="shared" si="6"/>
        <v>188890.60320000001</v>
      </c>
      <c r="Q48" s="106">
        <f t="shared" si="7"/>
        <v>499144.11980000004</v>
      </c>
      <c r="R48" s="106">
        <f t="shared" si="8"/>
        <v>618276.88150000002</v>
      </c>
      <c r="S48" s="106">
        <f t="shared" si="9"/>
        <v>168218.91000000003</v>
      </c>
      <c r="T48" s="106">
        <f t="shared" si="10"/>
        <v>15069.7976</v>
      </c>
      <c r="U48" s="106">
        <f t="shared" si="11"/>
        <v>0</v>
      </c>
      <c r="V48" s="106">
        <f t="shared" si="12"/>
        <v>66.458699999999993</v>
      </c>
      <c r="W48" s="106">
        <f t="shared" si="13"/>
        <v>0</v>
      </c>
      <c r="X48" s="106">
        <f t="shared" si="14"/>
        <v>27423.306100000002</v>
      </c>
      <c r="Y48" s="106">
        <f t="shared" si="15"/>
        <v>97497.893999999986</v>
      </c>
      <c r="Z48" s="106">
        <f t="shared" si="16"/>
        <v>538028.24</v>
      </c>
      <c r="AA48" s="106">
        <f t="shared" si="17"/>
        <v>1476470.8072999998</v>
      </c>
      <c r="AB48" s="106">
        <f t="shared" si="18"/>
        <v>1695862.6344000001</v>
      </c>
      <c r="AC48" s="106">
        <f t="shared" si="19"/>
        <v>839335.57199999993</v>
      </c>
      <c r="AD48" s="106">
        <f t="shared" si="20"/>
        <v>550874.66980000003</v>
      </c>
      <c r="AE48" s="106">
        <f t="shared" si="21"/>
        <v>425457.848</v>
      </c>
    </row>
    <row r="49" spans="1:31" x14ac:dyDescent="0.25">
      <c r="A49" s="58" t="s">
        <v>44</v>
      </c>
      <c r="H49" s="48" t="s">
        <v>57</v>
      </c>
      <c r="N49" s="106">
        <f t="shared" si="4"/>
        <v>16010.107199999999</v>
      </c>
      <c r="O49" s="106">
        <f t="shared" si="5"/>
        <v>12527.9154</v>
      </c>
      <c r="P49" s="106">
        <f t="shared" si="6"/>
        <v>484557.38640000002</v>
      </c>
      <c r="Q49" s="106">
        <f t="shared" si="7"/>
        <v>1066905.9980000001</v>
      </c>
      <c r="R49" s="106">
        <f t="shared" si="8"/>
        <v>1165429.8793000001</v>
      </c>
      <c r="S49" s="106">
        <f t="shared" si="9"/>
        <v>418679.88450000004</v>
      </c>
      <c r="T49" s="106">
        <f t="shared" si="10"/>
        <v>110692.29599999999</v>
      </c>
      <c r="U49" s="106">
        <f t="shared" si="11"/>
        <v>31402.588799999998</v>
      </c>
      <c r="V49" s="106">
        <f t="shared" si="12"/>
        <v>41137.263999999996</v>
      </c>
      <c r="W49" s="106">
        <f t="shared" si="13"/>
        <v>145200.9216</v>
      </c>
      <c r="X49" s="106">
        <f t="shared" si="14"/>
        <v>280394.43849999999</v>
      </c>
      <c r="Y49" s="106">
        <f t="shared" si="15"/>
        <v>259270.02799999999</v>
      </c>
      <c r="Z49" s="106">
        <f t="shared" si="16"/>
        <v>66215</v>
      </c>
      <c r="AA49" s="106">
        <f t="shared" si="17"/>
        <v>107299.62269999999</v>
      </c>
      <c r="AB49" s="106">
        <f t="shared" si="18"/>
        <v>134267.54829999999</v>
      </c>
      <c r="AC49" s="106">
        <f t="shared" si="19"/>
        <v>165975.9516</v>
      </c>
      <c r="AD49" s="106">
        <f t="shared" si="20"/>
        <v>91326.92730000001</v>
      </c>
      <c r="AE49" s="106">
        <f t="shared" si="21"/>
        <v>360361.39559999999</v>
      </c>
    </row>
    <row r="50" spans="1:31" x14ac:dyDescent="0.25">
      <c r="A50" s="59" t="s">
        <v>87</v>
      </c>
      <c r="H50" s="48" t="s">
        <v>58</v>
      </c>
      <c r="N50" s="106">
        <f t="shared" si="4"/>
        <v>137824.614</v>
      </c>
      <c r="O50" s="106">
        <f t="shared" si="5"/>
        <v>109199.6462</v>
      </c>
      <c r="P50" s="106">
        <f t="shared" si="6"/>
        <v>87948.792000000001</v>
      </c>
      <c r="Q50" s="106">
        <f t="shared" si="7"/>
        <v>86965.026000000013</v>
      </c>
      <c r="R50" s="106">
        <f t="shared" si="8"/>
        <v>71918.495999999999</v>
      </c>
      <c r="S50" s="106">
        <f t="shared" si="9"/>
        <v>45850.445000000007</v>
      </c>
      <c r="T50" s="106">
        <f t="shared" si="10"/>
        <v>58893.120000000003</v>
      </c>
      <c r="U50" s="106">
        <f t="shared" si="11"/>
        <v>60479.8658</v>
      </c>
      <c r="V50" s="106">
        <f t="shared" si="12"/>
        <v>52092.88</v>
      </c>
      <c r="W50" s="106">
        <f t="shared" si="13"/>
        <v>86455.632000000012</v>
      </c>
      <c r="X50" s="106">
        <f t="shared" si="14"/>
        <v>78865.631999999998</v>
      </c>
      <c r="Y50" s="106">
        <f t="shared" si="15"/>
        <v>88857.159999999989</v>
      </c>
      <c r="Z50" s="106">
        <f t="shared" si="16"/>
        <v>104679.20000000001</v>
      </c>
      <c r="AA50" s="106">
        <f t="shared" si="17"/>
        <v>86185.798999999985</v>
      </c>
      <c r="AB50" s="106">
        <f t="shared" si="18"/>
        <v>93645.954400000002</v>
      </c>
      <c r="AC50" s="106">
        <f t="shared" si="19"/>
        <v>24570.98</v>
      </c>
      <c r="AD50" s="106">
        <f t="shared" si="20"/>
        <v>18812.199000000001</v>
      </c>
      <c r="AE50" s="106">
        <f t="shared" si="21"/>
        <v>47630.131999999998</v>
      </c>
    </row>
    <row r="51" spans="1:31" x14ac:dyDescent="0.25">
      <c r="A51" t="s">
        <v>84</v>
      </c>
      <c r="H51" s="48" t="s">
        <v>59</v>
      </c>
      <c r="N51" s="106">
        <f t="shared" ref="N51:AE51" si="22">$L$13*N13</f>
        <v>56116.560000000005</v>
      </c>
      <c r="O51" s="106">
        <f t="shared" si="22"/>
        <v>26626.75</v>
      </c>
      <c r="P51" s="106">
        <f t="shared" si="22"/>
        <v>463337.57</v>
      </c>
      <c r="Q51" s="106">
        <f t="shared" si="22"/>
        <v>542796.61</v>
      </c>
      <c r="R51" s="106">
        <f t="shared" si="22"/>
        <v>262301.41000000003</v>
      </c>
      <c r="S51" s="106">
        <f t="shared" si="22"/>
        <v>105674.79999999999</v>
      </c>
      <c r="T51" s="106">
        <f t="shared" si="22"/>
        <v>25468.969999999998</v>
      </c>
      <c r="U51" s="106">
        <f t="shared" si="22"/>
        <v>6748.12</v>
      </c>
      <c r="V51" s="106">
        <f t="shared" si="22"/>
        <v>48518.720000000001</v>
      </c>
      <c r="W51" s="106">
        <f t="shared" si="22"/>
        <v>60936.020000000004</v>
      </c>
      <c r="X51" s="106">
        <f t="shared" si="22"/>
        <v>170391.49000000002</v>
      </c>
      <c r="Y51" s="106">
        <f t="shared" si="22"/>
        <v>114147.91</v>
      </c>
      <c r="Z51" s="106">
        <f t="shared" si="22"/>
        <v>82025.72</v>
      </c>
      <c r="AA51" s="106">
        <f t="shared" si="22"/>
        <v>245742.82</v>
      </c>
      <c r="AB51" s="106">
        <f t="shared" si="22"/>
        <v>225078.71</v>
      </c>
      <c r="AC51" s="106">
        <f t="shared" si="22"/>
        <v>647730.46000000008</v>
      </c>
      <c r="AD51" s="106">
        <f t="shared" si="22"/>
        <v>864479.87</v>
      </c>
      <c r="AE51" s="106">
        <f t="shared" si="22"/>
        <v>234239.48</v>
      </c>
    </row>
    <row r="52" spans="1:31" x14ac:dyDescent="0.25">
      <c r="A52" t="s">
        <v>85</v>
      </c>
      <c r="H52" s="48" t="s">
        <v>60</v>
      </c>
      <c r="N52" s="106">
        <f t="shared" ref="N52:AE52" si="23">$L$14*N14</f>
        <v>57960.07</v>
      </c>
      <c r="O52" s="106">
        <f t="shared" si="23"/>
        <v>37375.659999999996</v>
      </c>
      <c r="P52" s="106">
        <f t="shared" si="23"/>
        <v>135765.07</v>
      </c>
      <c r="Q52" s="106">
        <f t="shared" si="23"/>
        <v>135045.54</v>
      </c>
      <c r="R52" s="106">
        <f t="shared" si="23"/>
        <v>180947.83</v>
      </c>
      <c r="S52" s="106">
        <f t="shared" si="23"/>
        <v>226133.25</v>
      </c>
      <c r="T52" s="106">
        <f t="shared" si="23"/>
        <v>204845.27000000002</v>
      </c>
      <c r="U52" s="106">
        <f t="shared" si="23"/>
        <v>199767.33</v>
      </c>
      <c r="V52" s="106">
        <f t="shared" si="23"/>
        <v>176425.83</v>
      </c>
      <c r="W52" s="106">
        <f t="shared" si="23"/>
        <v>154889.13999999998</v>
      </c>
      <c r="X52" s="106">
        <f t="shared" si="23"/>
        <v>73808.350000000006</v>
      </c>
      <c r="Y52" s="106">
        <f t="shared" si="23"/>
        <v>81255.02</v>
      </c>
      <c r="Z52" s="106">
        <f t="shared" si="23"/>
        <v>33054.49</v>
      </c>
      <c r="AA52" s="106">
        <f t="shared" si="23"/>
        <v>86255.819999999992</v>
      </c>
      <c r="AB52" s="106">
        <f t="shared" si="23"/>
        <v>131333.51</v>
      </c>
      <c r="AC52" s="106">
        <f t="shared" si="23"/>
        <v>164285.59</v>
      </c>
      <c r="AD52" s="106">
        <f t="shared" si="23"/>
        <v>159798.17000000001</v>
      </c>
      <c r="AE52" s="106">
        <f t="shared" si="23"/>
        <v>167784.82</v>
      </c>
    </row>
    <row r="53" spans="1:31" x14ac:dyDescent="0.25">
      <c r="A53" t="s">
        <v>86</v>
      </c>
      <c r="H53" s="48" t="s">
        <v>61</v>
      </c>
      <c r="N53" s="106">
        <f t="shared" ref="N53:AE53" si="24">$L$15*N15</f>
        <v>201375.3</v>
      </c>
      <c r="O53" s="106">
        <f t="shared" si="24"/>
        <v>152375.44</v>
      </c>
      <c r="P53" s="106">
        <f t="shared" si="24"/>
        <v>253641.63999999998</v>
      </c>
      <c r="Q53" s="106">
        <f t="shared" si="24"/>
        <v>234061.37999999998</v>
      </c>
      <c r="R53" s="106">
        <f t="shared" si="24"/>
        <v>280753.69</v>
      </c>
      <c r="S53" s="106">
        <f t="shared" si="24"/>
        <v>236090.96</v>
      </c>
      <c r="T53" s="106">
        <f t="shared" si="24"/>
        <v>257734.05</v>
      </c>
      <c r="U53" s="106">
        <f t="shared" si="24"/>
        <v>232111.6</v>
      </c>
      <c r="V53" s="106">
        <f t="shared" si="24"/>
        <v>255297.49</v>
      </c>
      <c r="W53" s="106">
        <f t="shared" si="24"/>
        <v>239092.77000000002</v>
      </c>
      <c r="X53" s="106">
        <f t="shared" si="24"/>
        <v>205322.74</v>
      </c>
      <c r="Y53" s="106">
        <f t="shared" si="24"/>
        <v>126300.79</v>
      </c>
      <c r="Z53" s="106">
        <f t="shared" si="24"/>
        <v>109818.1</v>
      </c>
      <c r="AA53" s="106">
        <f t="shared" si="24"/>
        <v>158551.96</v>
      </c>
      <c r="AB53" s="106">
        <f t="shared" si="24"/>
        <v>199655.61000000002</v>
      </c>
      <c r="AC53" s="106">
        <f t="shared" si="24"/>
        <v>205030.13999999998</v>
      </c>
      <c r="AD53" s="106">
        <f t="shared" si="24"/>
        <v>237121.71</v>
      </c>
      <c r="AE53" s="106">
        <f t="shared" si="24"/>
        <v>227610.87999999998</v>
      </c>
    </row>
    <row r="54" spans="1:31" x14ac:dyDescent="0.25">
      <c r="H54" s="48" t="s">
        <v>62</v>
      </c>
      <c r="N54" s="106">
        <f t="shared" ref="N54:AE54" si="25">$L$16*N16</f>
        <v>195716.15</v>
      </c>
      <c r="O54" s="106">
        <f t="shared" si="25"/>
        <v>150829.97999999998</v>
      </c>
      <c r="P54" s="106">
        <f t="shared" si="25"/>
        <v>247802.94</v>
      </c>
      <c r="Q54" s="106">
        <f t="shared" si="25"/>
        <v>225230.18</v>
      </c>
      <c r="R54" s="106">
        <f t="shared" si="25"/>
        <v>163248.19</v>
      </c>
      <c r="S54" s="106">
        <f t="shared" si="25"/>
        <v>209481.65</v>
      </c>
      <c r="T54" s="106">
        <f t="shared" si="25"/>
        <v>231999.87999999998</v>
      </c>
      <c r="U54" s="106">
        <f t="shared" si="25"/>
        <v>220060.47</v>
      </c>
      <c r="V54" s="106">
        <f t="shared" si="25"/>
        <v>257490.66</v>
      </c>
      <c r="W54" s="106">
        <f t="shared" si="25"/>
        <v>237962.27000000002</v>
      </c>
      <c r="X54" s="106">
        <f t="shared" si="25"/>
        <v>194634.86000000002</v>
      </c>
      <c r="Y54" s="106">
        <f t="shared" si="25"/>
        <v>122969.14</v>
      </c>
      <c r="Z54" s="106">
        <f t="shared" si="25"/>
        <v>112939.61</v>
      </c>
      <c r="AA54" s="106">
        <f t="shared" si="25"/>
        <v>159951.12000000002</v>
      </c>
      <c r="AB54" s="106">
        <f t="shared" si="25"/>
        <v>198824.36000000002</v>
      </c>
      <c r="AC54" s="106">
        <f t="shared" si="25"/>
        <v>230965.13999999998</v>
      </c>
      <c r="AD54" s="106">
        <f t="shared" si="25"/>
        <v>263828.11</v>
      </c>
      <c r="AE54" s="106">
        <f t="shared" si="25"/>
        <v>283074.54000000004</v>
      </c>
    </row>
    <row r="55" spans="1:31" x14ac:dyDescent="0.25">
      <c r="H55" s="48" t="s">
        <v>63</v>
      </c>
      <c r="N55" s="106">
        <f t="shared" ref="N55:AE55" si="26">$L$17*N17</f>
        <v>143360.70000000001</v>
      </c>
      <c r="O55" s="106">
        <f t="shared" si="26"/>
        <v>141591.79999999999</v>
      </c>
      <c r="P55" s="106">
        <f t="shared" si="26"/>
        <v>228201.4</v>
      </c>
      <c r="Q55" s="106">
        <f t="shared" si="26"/>
        <v>214502.39999999999</v>
      </c>
      <c r="R55" s="106">
        <f t="shared" si="26"/>
        <v>269458</v>
      </c>
      <c r="S55" s="106">
        <f t="shared" si="26"/>
        <v>292347.3</v>
      </c>
      <c r="T55" s="106">
        <f t="shared" si="26"/>
        <v>297893.40000000002</v>
      </c>
      <c r="U55" s="106">
        <f t="shared" si="26"/>
        <v>299635.7</v>
      </c>
      <c r="V55" s="106">
        <f t="shared" si="26"/>
        <v>262276</v>
      </c>
      <c r="W55" s="106">
        <f t="shared" si="26"/>
        <v>227297</v>
      </c>
      <c r="X55" s="106">
        <f t="shared" si="26"/>
        <v>162964.9</v>
      </c>
      <c r="Y55" s="106">
        <f t="shared" si="26"/>
        <v>112198.8</v>
      </c>
      <c r="Z55" s="106">
        <f t="shared" si="26"/>
        <v>56152.6</v>
      </c>
      <c r="AA55" s="106">
        <f t="shared" si="26"/>
        <v>99821.819999999992</v>
      </c>
      <c r="AB55" s="106">
        <f t="shared" si="26"/>
        <v>199031.84</v>
      </c>
      <c r="AC55" s="106">
        <f t="shared" si="26"/>
        <v>217618.59</v>
      </c>
      <c r="AD55" s="106">
        <f t="shared" si="26"/>
        <v>224119.62999999998</v>
      </c>
      <c r="AE55" s="106">
        <f t="shared" si="26"/>
        <v>273804.44</v>
      </c>
    </row>
    <row r="56" spans="1:31" x14ac:dyDescent="0.25">
      <c r="H56" s="48" t="s">
        <v>64</v>
      </c>
      <c r="N56" s="106">
        <f t="shared" ref="N56:AE56" si="27">$L$18*N18</f>
        <v>173631.5</v>
      </c>
      <c r="O56" s="106">
        <f t="shared" si="27"/>
        <v>158663.67999999999</v>
      </c>
      <c r="P56" s="106">
        <f t="shared" si="27"/>
        <v>231568.96</v>
      </c>
      <c r="Q56" s="106">
        <f t="shared" si="27"/>
        <v>246116.5</v>
      </c>
      <c r="R56" s="106">
        <f t="shared" si="27"/>
        <v>274515.99000000005</v>
      </c>
      <c r="S56" s="106">
        <f t="shared" si="27"/>
        <v>291018.63</v>
      </c>
      <c r="T56" s="106">
        <f t="shared" si="27"/>
        <v>294722.68</v>
      </c>
      <c r="U56" s="106">
        <f t="shared" si="27"/>
        <v>288469.02</v>
      </c>
      <c r="V56" s="106">
        <f t="shared" si="27"/>
        <v>266031.92</v>
      </c>
      <c r="W56" s="106">
        <f t="shared" si="27"/>
        <v>233045.26</v>
      </c>
      <c r="X56" s="106">
        <f t="shared" si="27"/>
        <v>168288.88999999998</v>
      </c>
      <c r="Y56" s="106">
        <f t="shared" si="27"/>
        <v>106659.35</v>
      </c>
      <c r="Z56" s="106">
        <f t="shared" si="27"/>
        <v>124920.25</v>
      </c>
      <c r="AA56" s="106">
        <f t="shared" si="27"/>
        <v>141605.1</v>
      </c>
      <c r="AB56" s="106">
        <f t="shared" si="27"/>
        <v>219360.88999999998</v>
      </c>
      <c r="AC56" s="106">
        <f t="shared" si="27"/>
        <v>228024.51</v>
      </c>
      <c r="AD56" s="106">
        <f t="shared" si="27"/>
        <v>232873.69</v>
      </c>
      <c r="AE56" s="106">
        <f t="shared" si="27"/>
        <v>276569.50999999995</v>
      </c>
    </row>
    <row r="57" spans="1:31" x14ac:dyDescent="0.25">
      <c r="H57" s="48" t="s">
        <v>65</v>
      </c>
      <c r="N57" s="106">
        <f t="shared" ref="N57:AE57" si="28">$L$19*N19</f>
        <v>171587.29</v>
      </c>
      <c r="O57" s="106">
        <f t="shared" si="28"/>
        <v>159129.18</v>
      </c>
      <c r="P57" s="106">
        <f t="shared" si="28"/>
        <v>228869.06</v>
      </c>
      <c r="Q57" s="106">
        <f t="shared" si="28"/>
        <v>242965.72999999998</v>
      </c>
      <c r="R57" s="106">
        <f t="shared" si="28"/>
        <v>274496.04000000004</v>
      </c>
      <c r="S57" s="106">
        <f t="shared" si="28"/>
        <v>287879.83</v>
      </c>
      <c r="T57" s="106">
        <f t="shared" si="28"/>
        <v>293765.08</v>
      </c>
      <c r="U57" s="106">
        <f t="shared" si="28"/>
        <v>281960</v>
      </c>
      <c r="V57" s="106">
        <f t="shared" si="28"/>
        <v>266232.75</v>
      </c>
      <c r="W57" s="106">
        <f t="shared" si="28"/>
        <v>234254.22999999998</v>
      </c>
      <c r="X57" s="106">
        <f t="shared" si="28"/>
        <v>169363.53</v>
      </c>
      <c r="Y57" s="106">
        <f t="shared" si="28"/>
        <v>106044.89</v>
      </c>
      <c r="Z57" s="106">
        <f t="shared" si="28"/>
        <v>118255.62</v>
      </c>
      <c r="AA57" s="106">
        <f t="shared" si="28"/>
        <v>136339.62999999998</v>
      </c>
      <c r="AB57" s="106">
        <f t="shared" si="28"/>
        <v>218085.42</v>
      </c>
      <c r="AC57" s="106">
        <f t="shared" si="28"/>
        <v>229438.3</v>
      </c>
      <c r="AD57" s="106">
        <f t="shared" si="28"/>
        <v>231650.09</v>
      </c>
      <c r="AE57" s="106">
        <f t="shared" si="28"/>
        <v>274780.65999999997</v>
      </c>
    </row>
    <row r="58" spans="1:31" x14ac:dyDescent="0.25">
      <c r="H58" s="48" t="s">
        <v>66</v>
      </c>
      <c r="N58" s="106">
        <f t="shared" ref="N58:AE58" si="29">$L$20*N20</f>
        <v>221429.04</v>
      </c>
      <c r="O58" s="106">
        <f t="shared" si="29"/>
        <v>167881.91</v>
      </c>
      <c r="P58" s="106">
        <f t="shared" si="29"/>
        <v>268876.79000000004</v>
      </c>
      <c r="Q58" s="106">
        <f t="shared" si="29"/>
        <v>196992.95</v>
      </c>
      <c r="R58" s="106">
        <f t="shared" si="29"/>
        <v>126828.8</v>
      </c>
      <c r="S58" s="106">
        <f t="shared" si="29"/>
        <v>220129.62999999998</v>
      </c>
      <c r="T58" s="106">
        <f t="shared" si="29"/>
        <v>172929.26</v>
      </c>
      <c r="U58" s="106">
        <f t="shared" si="29"/>
        <v>243054.84</v>
      </c>
      <c r="V58" s="106">
        <f t="shared" si="29"/>
        <v>276554.88</v>
      </c>
      <c r="W58" s="106">
        <f t="shared" si="29"/>
        <v>258416.34</v>
      </c>
      <c r="X58" s="106">
        <f t="shared" si="29"/>
        <v>116156.88</v>
      </c>
      <c r="Y58" s="106">
        <f t="shared" si="29"/>
        <v>119665.42</v>
      </c>
      <c r="Z58" s="106">
        <f t="shared" si="29"/>
        <v>112676.27</v>
      </c>
      <c r="AA58" s="106">
        <f t="shared" si="29"/>
        <v>175634.47999999998</v>
      </c>
      <c r="AB58" s="106">
        <f t="shared" si="29"/>
        <v>203733.38999999998</v>
      </c>
      <c r="AC58" s="106">
        <f t="shared" si="29"/>
        <v>237402.34</v>
      </c>
      <c r="AD58" s="106">
        <f t="shared" si="29"/>
        <v>194391.47</v>
      </c>
      <c r="AE58" s="106">
        <f t="shared" si="29"/>
        <v>259764.96</v>
      </c>
    </row>
    <row r="59" spans="1:31" x14ac:dyDescent="0.25">
      <c r="H59" s="48" t="s">
        <v>67</v>
      </c>
      <c r="N59" s="106">
        <f t="shared" ref="N59:AE59" si="30">$L$21*N21</f>
        <v>126698.46</v>
      </c>
      <c r="O59" s="106">
        <f t="shared" si="30"/>
        <v>163490.25</v>
      </c>
      <c r="P59" s="106">
        <f t="shared" si="30"/>
        <v>229950.35</v>
      </c>
      <c r="Q59" s="106">
        <f t="shared" si="30"/>
        <v>224692.86000000002</v>
      </c>
      <c r="R59" s="106">
        <f t="shared" si="30"/>
        <v>268880.78000000003</v>
      </c>
      <c r="S59" s="106">
        <f t="shared" si="30"/>
        <v>325877.93</v>
      </c>
      <c r="T59" s="106">
        <f t="shared" si="30"/>
        <v>321566.07</v>
      </c>
      <c r="U59" s="106">
        <f t="shared" si="30"/>
        <v>298990.65000000002</v>
      </c>
      <c r="V59" s="106">
        <f t="shared" si="30"/>
        <v>281736.56</v>
      </c>
      <c r="W59" s="106">
        <f t="shared" si="30"/>
        <v>229063.24</v>
      </c>
      <c r="X59" s="106">
        <f t="shared" si="30"/>
        <v>100500.12</v>
      </c>
      <c r="Y59" s="106">
        <f t="shared" si="30"/>
        <v>108130.33</v>
      </c>
      <c r="Z59" s="106">
        <f t="shared" si="30"/>
        <v>71959.649999999994</v>
      </c>
      <c r="AA59" s="106">
        <f t="shared" si="30"/>
        <v>137545.94</v>
      </c>
      <c r="AB59" s="106">
        <f t="shared" si="30"/>
        <v>193010.93</v>
      </c>
      <c r="AC59" s="106">
        <f t="shared" si="30"/>
        <v>224861.77000000002</v>
      </c>
      <c r="AD59" s="106">
        <f t="shared" si="30"/>
        <v>245394.31</v>
      </c>
      <c r="AE59" s="106">
        <f t="shared" si="30"/>
        <v>301698.52999999997</v>
      </c>
    </row>
    <row r="60" spans="1:31" x14ac:dyDescent="0.25">
      <c r="H60" s="48" t="s">
        <v>71</v>
      </c>
      <c r="N60" s="106">
        <f t="shared" ref="N60:AE60" si="31">$L$22*N22</f>
        <v>411282</v>
      </c>
      <c r="O60" s="106">
        <f t="shared" si="31"/>
        <v>408722.62</v>
      </c>
      <c r="P60" s="106">
        <f t="shared" si="31"/>
        <v>771361.8</v>
      </c>
      <c r="Q60" s="106">
        <f t="shared" si="31"/>
        <v>912012.36</v>
      </c>
      <c r="R60" s="106">
        <f t="shared" si="31"/>
        <v>1433764.53</v>
      </c>
      <c r="S60" s="106">
        <f t="shared" si="31"/>
        <v>1292921.98</v>
      </c>
      <c r="T60" s="106">
        <f t="shared" si="31"/>
        <v>1720190.25</v>
      </c>
      <c r="U60" s="106">
        <f t="shared" si="31"/>
        <v>1754979.1300000001</v>
      </c>
      <c r="V60" s="106">
        <f t="shared" si="31"/>
        <v>1367322.1199999999</v>
      </c>
      <c r="W60" s="106">
        <f t="shared" si="31"/>
        <v>903450.92</v>
      </c>
      <c r="X60" s="106">
        <f t="shared" si="31"/>
        <v>337943.27999999997</v>
      </c>
      <c r="Y60" s="106">
        <f t="shared" si="31"/>
        <v>746754.23</v>
      </c>
      <c r="Z60" s="106">
        <f t="shared" si="31"/>
        <v>615638.19999999995</v>
      </c>
      <c r="AA60" s="106">
        <f t="shared" si="31"/>
        <v>778636.98</v>
      </c>
      <c r="AB60" s="106">
        <f t="shared" si="31"/>
        <v>969885.3</v>
      </c>
      <c r="AC60" s="106">
        <f t="shared" si="31"/>
        <v>1159726.9099999999</v>
      </c>
      <c r="AD60" s="106">
        <f t="shared" si="31"/>
        <v>1418362.99</v>
      </c>
      <c r="AE60" s="106">
        <f t="shared" si="31"/>
        <v>1778896.1199999999</v>
      </c>
    </row>
    <row r="61" spans="1:31" x14ac:dyDescent="0.25">
      <c r="H61" s="48" t="s">
        <v>72</v>
      </c>
      <c r="N61" s="106">
        <f t="shared" ref="N61:AE61" si="32">$L$23*N23</f>
        <v>211918.27</v>
      </c>
      <c r="O61" s="106">
        <f t="shared" si="32"/>
        <v>134178.38</v>
      </c>
      <c r="P61" s="106">
        <f t="shared" si="32"/>
        <v>335576.62</v>
      </c>
      <c r="Q61" s="106">
        <f t="shared" si="32"/>
        <v>405150</v>
      </c>
      <c r="R61" s="106">
        <f t="shared" si="32"/>
        <v>536903.32000000007</v>
      </c>
      <c r="S61" s="106">
        <f t="shared" si="32"/>
        <v>531817.41</v>
      </c>
      <c r="T61" s="106">
        <f t="shared" si="32"/>
        <v>616990.89</v>
      </c>
      <c r="U61" s="106">
        <f t="shared" si="32"/>
        <v>623134.57000000007</v>
      </c>
      <c r="V61" s="106">
        <f t="shared" si="32"/>
        <v>530596.12</v>
      </c>
      <c r="W61" s="106">
        <f t="shared" si="32"/>
        <v>402785.52999999997</v>
      </c>
      <c r="X61" s="106">
        <f t="shared" si="32"/>
        <v>290832</v>
      </c>
      <c r="Y61" s="106">
        <f t="shared" si="32"/>
        <v>385618.12</v>
      </c>
      <c r="Z61" s="106">
        <f t="shared" si="32"/>
        <v>347249.32</v>
      </c>
      <c r="AA61" s="106">
        <f t="shared" si="32"/>
        <v>483547.62</v>
      </c>
      <c r="AB61" s="106">
        <f t="shared" si="32"/>
        <v>462938.99</v>
      </c>
      <c r="AC61" s="106">
        <f t="shared" si="32"/>
        <v>492831.02999999997</v>
      </c>
      <c r="AD61" s="106">
        <f t="shared" si="32"/>
        <v>555140.17999999993</v>
      </c>
      <c r="AE61" s="106">
        <f t="shared" si="32"/>
        <v>394621.94</v>
      </c>
    </row>
    <row r="62" spans="1:31" x14ac:dyDescent="0.25">
      <c r="H62" s="48" t="s">
        <v>73</v>
      </c>
      <c r="N62" s="106">
        <f t="shared" ref="N62:AE62" si="33">$L$24*N24</f>
        <v>707978.82000000007</v>
      </c>
      <c r="O62" s="106">
        <f t="shared" si="33"/>
        <v>466543</v>
      </c>
      <c r="P62" s="106">
        <f t="shared" si="33"/>
        <v>833359.97</v>
      </c>
      <c r="Q62" s="106">
        <f t="shared" si="33"/>
        <v>570987.75</v>
      </c>
      <c r="R62" s="106">
        <f t="shared" si="33"/>
        <v>557460.85</v>
      </c>
      <c r="S62" s="106">
        <f t="shared" si="33"/>
        <v>767095.67999999993</v>
      </c>
      <c r="T62" s="106">
        <f t="shared" si="33"/>
        <v>822728.25</v>
      </c>
      <c r="U62" s="106">
        <f t="shared" si="33"/>
        <v>1007051.0599999999</v>
      </c>
      <c r="V62" s="106">
        <f t="shared" si="33"/>
        <v>859591.78999999992</v>
      </c>
      <c r="W62" s="106">
        <f t="shared" si="33"/>
        <v>420361.01</v>
      </c>
      <c r="X62" s="106">
        <f t="shared" si="33"/>
        <v>672658.5</v>
      </c>
      <c r="Y62" s="106">
        <f t="shared" si="33"/>
        <v>811439.53</v>
      </c>
      <c r="Z62" s="106">
        <f t="shared" si="33"/>
        <v>1246262.57</v>
      </c>
      <c r="AA62" s="106">
        <f t="shared" si="33"/>
        <v>1065564.21</v>
      </c>
      <c r="AB62" s="106">
        <f t="shared" si="33"/>
        <v>1427068.24</v>
      </c>
      <c r="AC62" s="106">
        <f t="shared" si="33"/>
        <v>921630.11</v>
      </c>
      <c r="AD62" s="106">
        <f t="shared" si="33"/>
        <v>1015744.63</v>
      </c>
      <c r="AE62" s="106">
        <f t="shared" si="33"/>
        <v>1392324.6199999999</v>
      </c>
    </row>
    <row r="63" spans="1:31" x14ac:dyDescent="0.25">
      <c r="H63" s="48" t="s">
        <v>74</v>
      </c>
      <c r="N63" s="106">
        <f t="shared" ref="N63:AE63" si="34">$L$25*N25</f>
        <v>2138960.5900000003</v>
      </c>
      <c r="O63" s="106">
        <f t="shared" si="34"/>
        <v>1577007.32</v>
      </c>
      <c r="P63" s="106">
        <f t="shared" si="34"/>
        <v>3102467.88</v>
      </c>
      <c r="Q63" s="106">
        <f t="shared" si="34"/>
        <v>2034212.16</v>
      </c>
      <c r="R63" s="106">
        <f t="shared" si="34"/>
        <v>2022192.71</v>
      </c>
      <c r="S63" s="106">
        <f t="shared" si="34"/>
        <v>2516157.4300000002</v>
      </c>
      <c r="T63" s="106">
        <f t="shared" si="34"/>
        <v>2672239.46</v>
      </c>
      <c r="U63" s="106">
        <f t="shared" si="34"/>
        <v>3364202.08</v>
      </c>
      <c r="V63" s="106">
        <f t="shared" si="34"/>
        <v>2779325.3499999996</v>
      </c>
      <c r="W63" s="106">
        <f t="shared" si="34"/>
        <v>1533956.2999999998</v>
      </c>
      <c r="X63" s="106">
        <f t="shared" si="34"/>
        <v>2220665.11</v>
      </c>
      <c r="Y63" s="106">
        <f t="shared" si="34"/>
        <v>1773416.74</v>
      </c>
      <c r="Z63" s="106">
        <f t="shared" si="34"/>
        <v>2985088.2600000002</v>
      </c>
      <c r="AA63" s="106">
        <f t="shared" si="34"/>
        <v>2291029.81</v>
      </c>
      <c r="AB63" s="106">
        <f t="shared" si="34"/>
        <v>2797148.3</v>
      </c>
      <c r="AC63" s="106">
        <f t="shared" si="34"/>
        <v>1879632.47</v>
      </c>
      <c r="AD63" s="106">
        <f t="shared" si="34"/>
        <v>2247393.33</v>
      </c>
      <c r="AE63" s="106">
        <f t="shared" si="34"/>
        <v>2888548.68</v>
      </c>
    </row>
    <row r="64" spans="1:31" x14ac:dyDescent="0.25">
      <c r="H64" s="48" t="s">
        <v>75</v>
      </c>
      <c r="N64" s="106">
        <f t="shared" ref="N64:AE64" si="35">$L$26*N26</f>
        <v>819159.28</v>
      </c>
      <c r="O64" s="106">
        <f t="shared" si="35"/>
        <v>758238.59</v>
      </c>
      <c r="P64" s="106">
        <f t="shared" si="35"/>
        <v>1087553.27</v>
      </c>
      <c r="Q64" s="106">
        <f t="shared" si="35"/>
        <v>745716.17</v>
      </c>
      <c r="R64" s="106">
        <f t="shared" si="35"/>
        <v>647469.12</v>
      </c>
      <c r="S64" s="106">
        <f t="shared" si="35"/>
        <v>901707.67999999993</v>
      </c>
      <c r="T64" s="106">
        <f t="shared" si="35"/>
        <v>858993.19000000006</v>
      </c>
      <c r="U64" s="106">
        <f t="shared" si="35"/>
        <v>1103314.7</v>
      </c>
      <c r="V64" s="106">
        <f t="shared" si="35"/>
        <v>862727.14</v>
      </c>
      <c r="W64" s="106">
        <f t="shared" si="35"/>
        <v>543777.73</v>
      </c>
      <c r="X64" s="106">
        <f t="shared" si="35"/>
        <v>1374822.1400000001</v>
      </c>
      <c r="Y64" s="106">
        <f t="shared" si="35"/>
        <v>924457.39999999991</v>
      </c>
      <c r="Z64" s="106">
        <f t="shared" si="35"/>
        <v>2122831.2400000002</v>
      </c>
      <c r="AA64" s="106">
        <f t="shared" si="35"/>
        <v>1439393.56</v>
      </c>
      <c r="AB64" s="106">
        <f t="shared" si="35"/>
        <v>1560884.54</v>
      </c>
      <c r="AC64" s="106">
        <f t="shared" si="35"/>
        <v>1083658.72</v>
      </c>
      <c r="AD64" s="106">
        <f t="shared" si="35"/>
        <v>1030309.59</v>
      </c>
      <c r="AE64" s="106">
        <f t="shared" si="35"/>
        <v>1419015.6099999999</v>
      </c>
    </row>
    <row r="65" spans="8:31" x14ac:dyDescent="0.25">
      <c r="H65" s="48" t="s">
        <v>76</v>
      </c>
      <c r="N65" s="106">
        <f t="shared" ref="N65:AE65" si="36">$L$27*N27</f>
        <v>1488775.8699999999</v>
      </c>
      <c r="O65" s="106">
        <f t="shared" si="36"/>
        <v>1387064.24</v>
      </c>
      <c r="P65" s="106">
        <f t="shared" si="36"/>
        <v>1728361.8699999999</v>
      </c>
      <c r="Q65" s="106">
        <f t="shared" si="36"/>
        <v>1095197.8299999998</v>
      </c>
      <c r="R65" s="106">
        <f t="shared" si="36"/>
        <v>1280911.29</v>
      </c>
      <c r="S65" s="106">
        <f t="shared" si="36"/>
        <v>1222146.29</v>
      </c>
      <c r="T65" s="106">
        <f t="shared" si="36"/>
        <v>913784.8</v>
      </c>
      <c r="U65" s="106">
        <f t="shared" si="36"/>
        <v>726436.14</v>
      </c>
      <c r="V65" s="106">
        <f t="shared" si="36"/>
        <v>1205206.6400000001</v>
      </c>
      <c r="W65" s="106">
        <f t="shared" si="36"/>
        <v>2166868.4900000002</v>
      </c>
      <c r="X65" s="106">
        <f t="shared" si="36"/>
        <v>1874444.3599999999</v>
      </c>
      <c r="Y65" s="106">
        <f t="shared" si="36"/>
        <v>1709563.6400000001</v>
      </c>
      <c r="Z65" s="106">
        <f t="shared" si="36"/>
        <v>2906506.68</v>
      </c>
      <c r="AA65" s="106">
        <f t="shared" si="36"/>
        <v>2509261.12</v>
      </c>
      <c r="AB65" s="106">
        <f t="shared" si="36"/>
        <v>1355710.01</v>
      </c>
      <c r="AC65" s="106">
        <f t="shared" si="36"/>
        <v>1481212.34</v>
      </c>
      <c r="AD65" s="106">
        <f t="shared" si="36"/>
        <v>1426634.6199999999</v>
      </c>
      <c r="AE65" s="106">
        <f t="shared" si="36"/>
        <v>960223.02</v>
      </c>
    </row>
    <row r="66" spans="8:31" x14ac:dyDescent="0.25">
      <c r="H66" s="48" t="s">
        <v>37</v>
      </c>
      <c r="N66" s="106">
        <f>SUM(N40:N65)</f>
        <v>9766357.4404000007</v>
      </c>
      <c r="O66" s="106">
        <f t="shared" ref="O66:Z66" si="37">SUM(O40:O65)</f>
        <v>7067115.4845000003</v>
      </c>
      <c r="P66" s="106">
        <f t="shared" si="37"/>
        <v>12408643.460399998</v>
      </c>
      <c r="Q66" s="106">
        <f t="shared" si="37"/>
        <v>12455810.1866</v>
      </c>
      <c r="R66" s="106">
        <f t="shared" si="37"/>
        <v>12183844.0383</v>
      </c>
      <c r="S66" s="106">
        <f t="shared" si="37"/>
        <v>10672464.441999998</v>
      </c>
      <c r="T66" s="106">
        <f t="shared" si="37"/>
        <v>10536348.596000001</v>
      </c>
      <c r="U66" s="106">
        <f t="shared" si="37"/>
        <v>11039603.8687</v>
      </c>
      <c r="V66" s="106">
        <f t="shared" si="37"/>
        <v>10128471.498600001</v>
      </c>
      <c r="W66" s="106">
        <f t="shared" si="37"/>
        <v>8416956.2960000001</v>
      </c>
      <c r="X66" s="106">
        <f t="shared" si="37"/>
        <v>8902637.3911999986</v>
      </c>
      <c r="Y66" s="106">
        <f t="shared" si="37"/>
        <v>9004690.4520000014</v>
      </c>
      <c r="Z66" s="106">
        <f t="shared" si="37"/>
        <v>14024646.260000002</v>
      </c>
      <c r="AA66" s="106">
        <f>SUM(AA40:AA65)</f>
        <v>14404461.848500002</v>
      </c>
      <c r="AB66" s="106">
        <f>SUM(AB40:AB65)</f>
        <v>14771760.395499999</v>
      </c>
      <c r="AC66" s="106">
        <f t="shared" ref="AC66:AE66" si="38">SUM(AC40:AC65)</f>
        <v>11517159.169200001</v>
      </c>
      <c r="AD66" s="106">
        <f t="shared" si="38"/>
        <v>11554557.736299999</v>
      </c>
      <c r="AE66" s="106">
        <f t="shared" si="38"/>
        <v>13162142.180399999</v>
      </c>
    </row>
    <row r="68" spans="8:31" x14ac:dyDescent="0.25">
      <c r="P68" s="106">
        <f>SUM(N66:P66)</f>
        <v>29242116.385300003</v>
      </c>
      <c r="Q68" s="106"/>
      <c r="R68" s="106"/>
      <c r="S68" s="106">
        <f>SUM(Q66:S66)</f>
        <v>35312118.666899994</v>
      </c>
      <c r="T68" s="106"/>
      <c r="U68" s="106"/>
      <c r="V68" s="106">
        <f>SUM(T66:V66)</f>
        <v>31704423.963299997</v>
      </c>
      <c r="W68" s="106"/>
      <c r="X68" s="106"/>
      <c r="Y68" s="106">
        <f>SUM(W66:Y66)</f>
        <v>26324284.139200002</v>
      </c>
      <c r="Z68" s="106"/>
      <c r="AA68" s="106"/>
      <c r="AB68" s="106">
        <f>SUM(Z66:AB66)</f>
        <v>43200868.504000001</v>
      </c>
      <c r="AE68" s="106">
        <f>SUM(AC66:AE66)</f>
        <v>36233859.085900001</v>
      </c>
    </row>
    <row r="69" spans="8:31" x14ac:dyDescent="0.25">
      <c r="H69" s="47" t="s">
        <v>676</v>
      </c>
      <c r="S69" s="55">
        <f>(S68/P68)-1</f>
        <v>0.20757739288156918</v>
      </c>
      <c r="T69" s="55"/>
      <c r="U69" s="55"/>
      <c r="V69" s="55">
        <f>(V68/S68)-1</f>
        <v>-0.10216590903625644</v>
      </c>
      <c r="W69" s="55"/>
      <c r="X69" s="55"/>
      <c r="Y69" s="55">
        <f>(Y68/V68)-1</f>
        <v>-0.16969681677004667</v>
      </c>
      <c r="Z69" s="55"/>
      <c r="AA69" s="55"/>
      <c r="AB69" s="55">
        <f>(AB68/Y68)-1</f>
        <v>0.64110325946789004</v>
      </c>
      <c r="AC69" s="55"/>
      <c r="AE69" s="55">
        <f>(AE68/AB68)-1</f>
        <v>-0.16127012394333973</v>
      </c>
    </row>
    <row r="70" spans="8:31" x14ac:dyDescent="0.25">
      <c r="H70" s="47" t="s">
        <v>677</v>
      </c>
      <c r="S70" s="55"/>
      <c r="T70" s="55"/>
      <c r="U70" s="55"/>
      <c r="V70" s="55"/>
      <c r="W70" s="55"/>
      <c r="X70" s="55"/>
      <c r="Y70" s="55"/>
      <c r="Z70" s="55"/>
      <c r="AA70" s="55"/>
      <c r="AB70" s="55">
        <f>(AB68/P68)-1</f>
        <v>0.47735095280986761</v>
      </c>
      <c r="AC70" s="55"/>
      <c r="AE70" s="55">
        <f>(AE68/S68)-1</f>
        <v>2.6102665424717397E-2</v>
      </c>
    </row>
    <row r="71" spans="8:31" x14ac:dyDescent="0.25">
      <c r="H71" s="47" t="s">
        <v>678</v>
      </c>
    </row>
    <row r="74" spans="8:31" x14ac:dyDescent="0.25">
      <c r="H74" s="25" t="s">
        <v>576</v>
      </c>
      <c r="I74" s="25"/>
      <c r="J74" s="25"/>
      <c r="K74" s="25"/>
      <c r="L74" s="25"/>
      <c r="M74" s="25"/>
      <c r="N74" s="25" t="s">
        <v>484</v>
      </c>
      <c r="O74" s="25" t="s">
        <v>485</v>
      </c>
      <c r="P74" s="25" t="s">
        <v>486</v>
      </c>
      <c r="Q74" s="25" t="s">
        <v>487</v>
      </c>
      <c r="R74" s="25" t="s">
        <v>488</v>
      </c>
      <c r="S74" s="25" t="s">
        <v>489</v>
      </c>
      <c r="T74" s="25" t="s">
        <v>490</v>
      </c>
      <c r="U74" s="25" t="s">
        <v>491</v>
      </c>
      <c r="V74" s="25" t="s">
        <v>492</v>
      </c>
      <c r="W74" s="25" t="s">
        <v>493</v>
      </c>
      <c r="X74" s="25" t="s">
        <v>494</v>
      </c>
      <c r="Y74" s="25" t="s">
        <v>495</v>
      </c>
      <c r="Z74" s="25" t="s">
        <v>496</v>
      </c>
      <c r="AA74" s="25" t="s">
        <v>497</v>
      </c>
      <c r="AB74" s="25" t="s">
        <v>574</v>
      </c>
      <c r="AC74" s="25" t="s">
        <v>731</v>
      </c>
      <c r="AD74" s="25" t="s">
        <v>732</v>
      </c>
      <c r="AE74" s="25" t="s">
        <v>733</v>
      </c>
    </row>
    <row r="75" spans="8:31" x14ac:dyDescent="0.25">
      <c r="H75" s="25" t="s">
        <v>573</v>
      </c>
      <c r="I75" s="25"/>
      <c r="J75" s="25"/>
      <c r="K75" s="25"/>
      <c r="L75" s="25"/>
      <c r="M75" s="25"/>
      <c r="N75" s="62">
        <f>PTF!B8</f>
        <v>71.64</v>
      </c>
      <c r="O75" s="62">
        <f>PTF!C8</f>
        <v>69.53</v>
      </c>
      <c r="P75" s="62">
        <f>PTF!D8</f>
        <v>59.76</v>
      </c>
      <c r="Q75" s="62">
        <f>PTF!E8</f>
        <v>65.540000000000006</v>
      </c>
      <c r="R75" s="62">
        <f>PTF!F8</f>
        <v>64.03</v>
      </c>
      <c r="S75" s="62">
        <f>PTF!G8</f>
        <v>56.95</v>
      </c>
      <c r="T75" s="62">
        <f>PTF!H8</f>
        <v>74.36</v>
      </c>
      <c r="U75" s="62">
        <f>PTF!I8</f>
        <v>72.53</v>
      </c>
      <c r="V75" s="62">
        <f>PTF!J8</f>
        <v>67.13</v>
      </c>
      <c r="W75" s="62">
        <f>PTF!K8</f>
        <v>66.28</v>
      </c>
      <c r="X75" s="62">
        <f>PTF!L8</f>
        <v>66.790000000000006</v>
      </c>
      <c r="Y75" s="62">
        <f>PTF!M8</f>
        <v>70.599999999999994</v>
      </c>
      <c r="Z75" s="62">
        <f>PTF!N8</f>
        <v>68</v>
      </c>
      <c r="AA75" s="62">
        <f>PTF!O8</f>
        <v>49.19</v>
      </c>
      <c r="AB75" s="62">
        <f>PTF!P8</f>
        <v>39.229999999999997</v>
      </c>
      <c r="AC75" s="62">
        <f>PTF!Q8</f>
        <v>23.96</v>
      </c>
      <c r="AD75" s="62">
        <f>PTF!R8</f>
        <v>17.57</v>
      </c>
      <c r="AE75" s="62">
        <f>PTF!S8</f>
        <v>29.08</v>
      </c>
    </row>
    <row r="77" spans="8:31" x14ac:dyDescent="0.25">
      <c r="H77" s="47" t="s">
        <v>680</v>
      </c>
      <c r="I77" t="s">
        <v>683</v>
      </c>
      <c r="J77" t="s">
        <v>684</v>
      </c>
      <c r="K77" t="s">
        <v>685</v>
      </c>
      <c r="L77" t="s">
        <v>686</v>
      </c>
      <c r="M77" t="s">
        <v>687</v>
      </c>
      <c r="N77" t="s">
        <v>484</v>
      </c>
      <c r="O77" t="s">
        <v>485</v>
      </c>
      <c r="P77" t="s">
        <v>486</v>
      </c>
      <c r="Q77" t="s">
        <v>487</v>
      </c>
      <c r="R77" t="s">
        <v>488</v>
      </c>
      <c r="S77" t="s">
        <v>489</v>
      </c>
      <c r="T77" t="s">
        <v>490</v>
      </c>
      <c r="U77" t="s">
        <v>491</v>
      </c>
      <c r="V77" t="s">
        <v>492</v>
      </c>
      <c r="W77" t="s">
        <v>493</v>
      </c>
      <c r="X77" t="s">
        <v>494</v>
      </c>
      <c r="Y77" t="s">
        <v>495</v>
      </c>
      <c r="Z77" t="s">
        <v>496</v>
      </c>
      <c r="AA77" t="s">
        <v>497</v>
      </c>
      <c r="AB77" t="s">
        <v>574</v>
      </c>
      <c r="AC77" t="s">
        <v>731</v>
      </c>
      <c r="AD77" t="s">
        <v>732</v>
      </c>
      <c r="AE77" t="s">
        <v>733</v>
      </c>
    </row>
    <row r="78" spans="8:31" x14ac:dyDescent="0.25">
      <c r="H78" s="48" t="s">
        <v>45</v>
      </c>
      <c r="N78" s="106">
        <f>N40*$N$111</f>
        <v>0</v>
      </c>
      <c r="O78" s="106">
        <f>O40*$O$111</f>
        <v>0</v>
      </c>
      <c r="P78" s="106">
        <f>P40*$P$111</f>
        <v>0</v>
      </c>
      <c r="Q78" s="106">
        <f>Q40*$Q$111</f>
        <v>0</v>
      </c>
      <c r="R78" s="106">
        <f>R40*$R$111</f>
        <v>0</v>
      </c>
      <c r="S78" s="106">
        <f>S40*$S$111</f>
        <v>3998151.0587999998</v>
      </c>
      <c r="T78" s="106">
        <f>T40*$T$111</f>
        <v>10641893.759639999</v>
      </c>
      <c r="U78" s="106">
        <f>U40*$U$111</f>
        <v>699885.48800000001</v>
      </c>
      <c r="V78" s="106">
        <f>V40*$V$111</f>
        <v>0</v>
      </c>
      <c r="W78" s="106">
        <f>W40*$W$111</f>
        <v>0</v>
      </c>
      <c r="X78" s="106">
        <f>X40*$X$111</f>
        <v>0</v>
      </c>
      <c r="Y78" s="106">
        <f>Y40*$Y$111</f>
        <v>0</v>
      </c>
      <c r="Z78" s="106">
        <f>Z40*$Z$111</f>
        <v>0</v>
      </c>
      <c r="AA78" s="106">
        <f>AA40*$AA$111</f>
        <v>0</v>
      </c>
      <c r="AB78" s="106">
        <f>AB40*$AB$111</f>
        <v>928514.07810000016</v>
      </c>
      <c r="AC78" s="106">
        <f>AC40*$AC$111</f>
        <v>1586486.7882880003</v>
      </c>
      <c r="AD78" s="106">
        <f>AD40*$AD$111</f>
        <v>347999.22107999999</v>
      </c>
      <c r="AE78" s="106">
        <f>AE40*$AE$111</f>
        <v>3092464.9378800006</v>
      </c>
    </row>
    <row r="79" spans="8:31" x14ac:dyDescent="0.25">
      <c r="H79" s="48" t="s">
        <v>55</v>
      </c>
      <c r="N79" s="106">
        <f t="shared" ref="N79:N103" si="39">N41*$N$111</f>
        <v>5010116.7499199994</v>
      </c>
      <c r="O79" s="106">
        <f t="shared" ref="O79:O103" si="40">O41*$O$111</f>
        <v>2109093.5392799997</v>
      </c>
      <c r="P79" s="106">
        <f t="shared" ref="P79:P103" si="41">P41*$P$111</f>
        <v>3268690.8076800001</v>
      </c>
      <c r="Q79" s="106">
        <f t="shared" ref="Q79:Q103" si="42">Q41*$Q$111</f>
        <v>3719248.8458000002</v>
      </c>
      <c r="R79" s="106">
        <f t="shared" ref="R79:R103" si="43">R41*$R$111</f>
        <v>3960836.3801599997</v>
      </c>
      <c r="S79" s="106">
        <f t="shared" ref="S79:S103" si="44">S41*$S$111</f>
        <v>2976640.5033999993</v>
      </c>
      <c r="T79" s="106">
        <f t="shared" ref="T79:T103" si="45">T41*$T$111</f>
        <v>2951380.5235199998</v>
      </c>
      <c r="U79" s="106">
        <f t="shared" ref="U79:U103" si="46">U41*$U$111</f>
        <v>3364356.6342500001</v>
      </c>
      <c r="V79" s="106">
        <f t="shared" ref="V79:V103" si="47">V41*$V$111</f>
        <v>4568204.82412</v>
      </c>
      <c r="W79" s="106">
        <f t="shared" ref="W79:W103" si="48">W41*$W$111</f>
        <v>1088059.108</v>
      </c>
      <c r="X79" s="106">
        <f t="shared" ref="X79:X103" si="49">X41*$X$111</f>
        <v>1579508.6952000002</v>
      </c>
      <c r="Y79" s="106">
        <f t="shared" ref="Y79:Y103" si="50">Y41*$Y$111</f>
        <v>2212880.4696</v>
      </c>
      <c r="Z79" s="106">
        <f t="shared" ref="Z79:Z103" si="51">Z41*$Z$111</f>
        <v>3076969.1280000005</v>
      </c>
      <c r="AA79" s="106">
        <f t="shared" ref="AA79:AA103" si="52">AA41*$AA$111</f>
        <v>10029769.92045</v>
      </c>
      <c r="AB79" s="106">
        <f t="shared" ref="AB79:AE90" si="53">AB41*$AB$111</f>
        <v>11134041.395400001</v>
      </c>
      <c r="AC79" s="106">
        <f t="shared" ref="AC79:AC88" si="54">AC41*$AC$111</f>
        <v>8747644.6686400007</v>
      </c>
      <c r="AD79" s="106">
        <f t="shared" ref="AD79:AD88" si="55">AD41*$AD$111</f>
        <v>9758698.3221840002</v>
      </c>
      <c r="AE79" s="106">
        <f t="shared" ref="AE79:AE88" si="56">AE41*$AE$111</f>
        <v>12258287.730360001</v>
      </c>
    </row>
    <row r="80" spans="8:31" x14ac:dyDescent="0.25">
      <c r="H80" s="48" t="s">
        <v>46</v>
      </c>
      <c r="N80" s="106">
        <f t="shared" si="39"/>
        <v>4100334.8574239998</v>
      </c>
      <c r="O80" s="106">
        <f t="shared" si="40"/>
        <v>3857119.7075879993</v>
      </c>
      <c r="P80" s="106">
        <f t="shared" si="41"/>
        <v>11278078.974143999</v>
      </c>
      <c r="Q80" s="106">
        <f t="shared" si="42"/>
        <v>27676583.051489998</v>
      </c>
      <c r="R80" s="106">
        <f t="shared" si="43"/>
        <v>23050798.360831998</v>
      </c>
      <c r="S80" s="106">
        <f t="shared" si="44"/>
        <v>6070633.6461099992</v>
      </c>
      <c r="T80" s="106">
        <f t="shared" si="45"/>
        <v>1886071.843656</v>
      </c>
      <c r="U80" s="106">
        <f t="shared" si="46"/>
        <v>0</v>
      </c>
      <c r="V80" s="106">
        <f t="shared" si="47"/>
        <v>341708.69731600006</v>
      </c>
      <c r="W80" s="106">
        <f t="shared" si="48"/>
        <v>1200324.0063</v>
      </c>
      <c r="X80" s="106">
        <f t="shared" si="49"/>
        <v>4375949.357280001</v>
      </c>
      <c r="Y80" s="106">
        <f t="shared" si="50"/>
        <v>7768425.7877599988</v>
      </c>
      <c r="Z80" s="106">
        <f t="shared" si="51"/>
        <v>8879002.3247999996</v>
      </c>
      <c r="AA80" s="106">
        <f t="shared" si="52"/>
        <v>25486255.670406997</v>
      </c>
      <c r="AB80" s="106">
        <f t="shared" si="53"/>
        <v>28048603.927680001</v>
      </c>
      <c r="AC80" s="106">
        <f t="shared" si="54"/>
        <v>11307138.718847999</v>
      </c>
      <c r="AD80" s="106">
        <f t="shared" si="55"/>
        <v>5389481.0319840005</v>
      </c>
      <c r="AE80" s="106">
        <f t="shared" si="56"/>
        <v>13069729.155491998</v>
      </c>
    </row>
    <row r="81" spans="8:31" x14ac:dyDescent="0.25">
      <c r="H81" s="48" t="s">
        <v>47</v>
      </c>
      <c r="N81" s="106">
        <f t="shared" si="39"/>
        <v>37288780.760159992</v>
      </c>
      <c r="O81" s="106">
        <f t="shared" si="40"/>
        <v>14439932.272919999</v>
      </c>
      <c r="P81" s="106">
        <f t="shared" si="41"/>
        <v>24413160.363263998</v>
      </c>
      <c r="Q81" s="106">
        <f t="shared" si="42"/>
        <v>35958034.005029999</v>
      </c>
      <c r="R81" s="106">
        <f t="shared" si="43"/>
        <v>13971518.112640001</v>
      </c>
      <c r="S81" s="106">
        <f t="shared" si="44"/>
        <v>5844246.6382550001</v>
      </c>
      <c r="T81" s="106">
        <f t="shared" si="45"/>
        <v>6731344.4140799996</v>
      </c>
      <c r="U81" s="106">
        <f t="shared" si="46"/>
        <v>4668957.3707499998</v>
      </c>
      <c r="V81" s="106">
        <f t="shared" si="47"/>
        <v>2471664.3033599998</v>
      </c>
      <c r="W81" s="106">
        <f t="shared" si="48"/>
        <v>2868192.4350000001</v>
      </c>
      <c r="X81" s="106">
        <f t="shared" si="49"/>
        <v>4627475.6884000003</v>
      </c>
      <c r="Y81" s="106">
        <f t="shared" si="50"/>
        <v>26171312.546799995</v>
      </c>
      <c r="Z81" s="106">
        <f t="shared" si="51"/>
        <v>56097849.636</v>
      </c>
      <c r="AA81" s="106">
        <f t="shared" si="52"/>
        <v>56768390.490951993</v>
      </c>
      <c r="AB81" s="106">
        <f t="shared" si="53"/>
        <v>47874013.486109994</v>
      </c>
      <c r="AC81" s="106">
        <f t="shared" si="54"/>
        <v>16686041.477776</v>
      </c>
      <c r="AD81" s="106">
        <f t="shared" si="55"/>
        <v>5783601.2078879997</v>
      </c>
      <c r="AE81" s="106">
        <f t="shared" si="56"/>
        <v>20424097.613088001</v>
      </c>
    </row>
    <row r="82" spans="8:31" x14ac:dyDescent="0.25">
      <c r="H82" s="48" t="s">
        <v>48</v>
      </c>
      <c r="N82" s="106">
        <f t="shared" si="39"/>
        <v>9494388.5639039986</v>
      </c>
      <c r="O82" s="106">
        <f t="shared" si="40"/>
        <v>3269270.7855359996</v>
      </c>
      <c r="P82" s="106">
        <f t="shared" si="41"/>
        <v>1571570.248896</v>
      </c>
      <c r="Q82" s="106">
        <f t="shared" si="42"/>
        <v>7349369.3868200006</v>
      </c>
      <c r="R82" s="106">
        <f t="shared" si="43"/>
        <v>3388776.1733759996</v>
      </c>
      <c r="S82" s="106">
        <f t="shared" si="44"/>
        <v>859517.27702499996</v>
      </c>
      <c r="T82" s="106">
        <f t="shared" si="45"/>
        <v>300809.19211200002</v>
      </c>
      <c r="U82" s="106">
        <f t="shared" si="46"/>
        <v>155375.76057500002</v>
      </c>
      <c r="V82" s="106">
        <f t="shared" si="47"/>
        <v>204864.6488</v>
      </c>
      <c r="W82" s="106">
        <f t="shared" si="48"/>
        <v>1297867.4538</v>
      </c>
      <c r="X82" s="106">
        <f t="shared" si="49"/>
        <v>1262225.8725400001</v>
      </c>
      <c r="Y82" s="106">
        <f t="shared" si="50"/>
        <v>4594494.5791399991</v>
      </c>
      <c r="Z82" s="106">
        <f t="shared" si="51"/>
        <v>10233085.821599999</v>
      </c>
      <c r="AA82" s="106">
        <f t="shared" si="52"/>
        <v>11124925.120918</v>
      </c>
      <c r="AB82" s="106">
        <f t="shared" si="53"/>
        <v>5911003.2687299997</v>
      </c>
      <c r="AC82" s="106">
        <f t="shared" si="54"/>
        <v>2699926.5429119999</v>
      </c>
      <c r="AD82" s="106">
        <f t="shared" si="55"/>
        <v>656006.226624</v>
      </c>
      <c r="AE82" s="106">
        <f t="shared" si="56"/>
        <v>1118069.8029</v>
      </c>
    </row>
    <row r="83" spans="8:31" x14ac:dyDescent="0.25">
      <c r="H83" s="48" t="s">
        <v>49</v>
      </c>
      <c r="N83" s="106">
        <f t="shared" si="39"/>
        <v>2662267.91328</v>
      </c>
      <c r="O83" s="106">
        <f t="shared" si="40"/>
        <v>2033700.6028079998</v>
      </c>
      <c r="P83" s="106">
        <f t="shared" si="41"/>
        <v>10059807.120191999</v>
      </c>
      <c r="Q83" s="106">
        <f t="shared" si="42"/>
        <v>13210066.654490001</v>
      </c>
      <c r="R83" s="106">
        <f t="shared" si="43"/>
        <v>6960619.5464960001</v>
      </c>
      <c r="S83" s="106">
        <f t="shared" si="44"/>
        <v>1892036.6489900001</v>
      </c>
      <c r="T83" s="106">
        <f t="shared" si="45"/>
        <v>1718056.8662400001</v>
      </c>
      <c r="U83" s="106">
        <f t="shared" si="46"/>
        <v>1471680.6631750001</v>
      </c>
      <c r="V83" s="106">
        <f t="shared" si="47"/>
        <v>5129340.1709479997</v>
      </c>
      <c r="W83" s="106">
        <f t="shared" si="48"/>
        <v>4647523.2768999999</v>
      </c>
      <c r="X83" s="106">
        <f t="shared" si="49"/>
        <v>1611470.9161200002</v>
      </c>
      <c r="Y83" s="106">
        <f t="shared" si="50"/>
        <v>3469673.8390799998</v>
      </c>
      <c r="Z83" s="106">
        <f t="shared" si="51"/>
        <v>6014860.0727999993</v>
      </c>
      <c r="AA83" s="106">
        <f t="shared" si="52"/>
        <v>5073898.7492340002</v>
      </c>
      <c r="AB83" s="106">
        <f t="shared" si="53"/>
        <v>6163745.96502</v>
      </c>
      <c r="AC83" s="106">
        <f t="shared" si="54"/>
        <v>2997491.84</v>
      </c>
      <c r="AD83" s="106">
        <f t="shared" si="55"/>
        <v>1317886.160472</v>
      </c>
      <c r="AE83" s="106">
        <f t="shared" si="56"/>
        <v>2246518.086228</v>
      </c>
    </row>
    <row r="84" spans="8:31" x14ac:dyDescent="0.25">
      <c r="H84" s="48" t="s">
        <v>50</v>
      </c>
      <c r="N84" s="106">
        <f t="shared" si="39"/>
        <v>16214314.72752</v>
      </c>
      <c r="O84" s="106">
        <f t="shared" si="40"/>
        <v>5488615.8208559994</v>
      </c>
      <c r="P84" s="106">
        <f t="shared" si="41"/>
        <v>3190177.5937919999</v>
      </c>
      <c r="Q84" s="106">
        <f t="shared" si="42"/>
        <v>9901645.9264700003</v>
      </c>
      <c r="R84" s="106">
        <f t="shared" si="43"/>
        <v>6881457.3622079995</v>
      </c>
      <c r="S84" s="106">
        <f t="shared" si="44"/>
        <v>2120329.4601199999</v>
      </c>
      <c r="T84" s="106">
        <f t="shared" si="45"/>
        <v>1694536.5602880002</v>
      </c>
      <c r="U84" s="106">
        <f t="shared" si="46"/>
        <v>1775338.7503249999</v>
      </c>
      <c r="V84" s="106">
        <f t="shared" si="47"/>
        <v>1299257.1395719999</v>
      </c>
      <c r="W84" s="106">
        <f t="shared" si="48"/>
        <v>2874446.2843999998</v>
      </c>
      <c r="X84" s="106">
        <f t="shared" si="49"/>
        <v>2106124.3351200004</v>
      </c>
      <c r="Y84" s="106">
        <f t="shared" si="50"/>
        <v>6020863.9030399993</v>
      </c>
      <c r="Z84" s="106">
        <f t="shared" si="51"/>
        <v>12555524.270400003</v>
      </c>
      <c r="AA84" s="106">
        <f t="shared" si="52"/>
        <v>13706129.474351998</v>
      </c>
      <c r="AB84" s="106">
        <f t="shared" si="53"/>
        <v>8406346.5952199996</v>
      </c>
      <c r="AC84" s="106">
        <f t="shared" si="54"/>
        <v>3490236.6771840006</v>
      </c>
      <c r="AD84" s="106">
        <f t="shared" si="55"/>
        <v>689981.2794</v>
      </c>
      <c r="AE84" s="106">
        <f t="shared" si="56"/>
        <v>1398033.675972</v>
      </c>
    </row>
    <row r="85" spans="8:31" x14ac:dyDescent="0.25">
      <c r="H85" s="48" t="s">
        <v>51</v>
      </c>
      <c r="N85" s="106">
        <f t="shared" si="39"/>
        <v>1001820.0070079998</v>
      </c>
      <c r="O85" s="106">
        <f t="shared" si="40"/>
        <v>715102.75586399995</v>
      </c>
      <c r="P85" s="106">
        <f t="shared" si="41"/>
        <v>1798942.037184</v>
      </c>
      <c r="Q85" s="106">
        <f t="shared" si="42"/>
        <v>7854263.5274400003</v>
      </c>
      <c r="R85" s="106">
        <f t="shared" si="43"/>
        <v>9471892.9479679987</v>
      </c>
      <c r="S85" s="106">
        <f t="shared" si="44"/>
        <v>381496.97322500002</v>
      </c>
      <c r="T85" s="106">
        <f t="shared" si="45"/>
        <v>0</v>
      </c>
      <c r="U85" s="106">
        <f t="shared" si="46"/>
        <v>0</v>
      </c>
      <c r="V85" s="106">
        <f t="shared" si="47"/>
        <v>0</v>
      </c>
      <c r="W85" s="106">
        <f t="shared" si="48"/>
        <v>182828.2433</v>
      </c>
      <c r="X85" s="106">
        <f t="shared" si="49"/>
        <v>606464.82146000012</v>
      </c>
      <c r="Y85" s="106">
        <f t="shared" si="50"/>
        <v>1339370.2711799999</v>
      </c>
      <c r="Z85" s="106">
        <f t="shared" si="51"/>
        <v>1085402.3999999999</v>
      </c>
      <c r="AA85" s="106">
        <f t="shared" si="52"/>
        <v>1036077.056182</v>
      </c>
      <c r="AB85" s="106">
        <f t="shared" si="53"/>
        <v>1176660.3151799999</v>
      </c>
      <c r="AC85" s="106">
        <f t="shared" si="54"/>
        <v>883671.29976000008</v>
      </c>
      <c r="AD85" s="106">
        <f t="shared" si="55"/>
        <v>836584.86743999994</v>
      </c>
      <c r="AE85" s="106">
        <f t="shared" si="56"/>
        <v>1599883.7079960001</v>
      </c>
    </row>
    <row r="86" spans="8:31" x14ac:dyDescent="0.25">
      <c r="H86" s="48" t="s">
        <v>56</v>
      </c>
      <c r="N86" s="106">
        <f t="shared" si="39"/>
        <v>12451580.046</v>
      </c>
      <c r="O86" s="106">
        <f t="shared" si="40"/>
        <v>6217933.2342960006</v>
      </c>
      <c r="P86" s="106">
        <f t="shared" si="41"/>
        <v>6996507.9425280001</v>
      </c>
      <c r="Q86" s="106">
        <f t="shared" si="42"/>
        <v>18992433.758390002</v>
      </c>
      <c r="R86" s="106">
        <f t="shared" si="43"/>
        <v>23939680.851679999</v>
      </c>
      <c r="S86" s="106">
        <f t="shared" si="44"/>
        <v>6622778.4867000012</v>
      </c>
      <c r="T86" s="106">
        <f t="shared" si="45"/>
        <v>604901.67566399998</v>
      </c>
      <c r="U86" s="106">
        <f t="shared" si="46"/>
        <v>0</v>
      </c>
      <c r="V86" s="106">
        <f t="shared" si="47"/>
        <v>2740.7567879999997</v>
      </c>
      <c r="W86" s="106">
        <f t="shared" si="48"/>
        <v>0</v>
      </c>
      <c r="X86" s="106">
        <f t="shared" si="49"/>
        <v>1157263.5174200002</v>
      </c>
      <c r="Y86" s="106">
        <f t="shared" si="50"/>
        <v>4154385.2633399991</v>
      </c>
      <c r="Z86" s="106">
        <f t="shared" si="51"/>
        <v>23210538.273600001</v>
      </c>
      <c r="AA86" s="106">
        <f t="shared" si="52"/>
        <v>64388891.906352989</v>
      </c>
      <c r="AB86" s="106">
        <f t="shared" si="53"/>
        <v>74787542.177040011</v>
      </c>
      <c r="AC86" s="106">
        <f t="shared" si="54"/>
        <v>37501513.356959999</v>
      </c>
      <c r="AD86" s="106">
        <f t="shared" si="55"/>
        <v>24987675.022128001</v>
      </c>
      <c r="AE86" s="106">
        <f t="shared" si="56"/>
        <v>19643388.842160001</v>
      </c>
    </row>
    <row r="87" spans="8:31" x14ac:dyDescent="0.25">
      <c r="H87" s="48" t="s">
        <v>57</v>
      </c>
      <c r="N87" s="106">
        <f t="shared" si="39"/>
        <v>568038.60345599987</v>
      </c>
      <c r="O87" s="106">
        <f t="shared" si="40"/>
        <v>452508.30424799997</v>
      </c>
      <c r="P87" s="106">
        <f t="shared" si="41"/>
        <v>17948005.592255998</v>
      </c>
      <c r="Q87" s="106">
        <f t="shared" si="42"/>
        <v>40595773.223900005</v>
      </c>
      <c r="R87" s="106">
        <f t="shared" si="43"/>
        <v>45125444.926496007</v>
      </c>
      <c r="S87" s="106">
        <f t="shared" si="44"/>
        <v>16483427.052765001</v>
      </c>
      <c r="T87" s="106">
        <f t="shared" si="45"/>
        <v>4443188.7614399996</v>
      </c>
      <c r="U87" s="106">
        <f t="shared" si="46"/>
        <v>1279655.4935999999</v>
      </c>
      <c r="V87" s="106">
        <f t="shared" si="47"/>
        <v>1696500.7673599999</v>
      </c>
      <c r="W87" s="106">
        <f t="shared" si="48"/>
        <v>6062138.4768000003</v>
      </c>
      <c r="X87" s="106">
        <f t="shared" si="49"/>
        <v>11832645.3047</v>
      </c>
      <c r="Y87" s="106">
        <f t="shared" si="50"/>
        <v>11047495.89308</v>
      </c>
      <c r="Z87" s="106">
        <f t="shared" si="51"/>
        <v>2856515.1</v>
      </c>
      <c r="AA87" s="106">
        <f t="shared" si="52"/>
        <v>4679336.5459469995</v>
      </c>
      <c r="AB87" s="106">
        <f t="shared" si="53"/>
        <v>5921198.8800299997</v>
      </c>
      <c r="AC87" s="106">
        <f t="shared" si="54"/>
        <v>7415805.517488</v>
      </c>
      <c r="AD87" s="106">
        <f t="shared" si="55"/>
        <v>4142589.4223280004</v>
      </c>
      <c r="AE87" s="106">
        <f t="shared" si="56"/>
        <v>16637885.634852</v>
      </c>
    </row>
    <row r="88" spans="8:31" x14ac:dyDescent="0.25">
      <c r="H88" s="48" t="s">
        <v>58</v>
      </c>
      <c r="N88" s="106">
        <f t="shared" si="39"/>
        <v>4890017.3047199994</v>
      </c>
      <c r="O88" s="106">
        <f t="shared" si="40"/>
        <v>3944291.2207439998</v>
      </c>
      <c r="P88" s="106">
        <f t="shared" si="41"/>
        <v>3257623.2556799999</v>
      </c>
      <c r="Q88" s="106">
        <f t="shared" si="42"/>
        <v>3309019.2393</v>
      </c>
      <c r="R88" s="106">
        <f t="shared" si="43"/>
        <v>2784684.16512</v>
      </c>
      <c r="S88" s="106">
        <f t="shared" si="44"/>
        <v>1805132.0196500001</v>
      </c>
      <c r="T88" s="106">
        <f t="shared" si="45"/>
        <v>2363969.8368000002</v>
      </c>
      <c r="U88" s="106">
        <f t="shared" si="46"/>
        <v>2464554.5313499998</v>
      </c>
      <c r="V88" s="106">
        <f t="shared" si="47"/>
        <v>2148310.3711999999</v>
      </c>
      <c r="W88" s="106">
        <f t="shared" si="48"/>
        <v>3609522.6360000004</v>
      </c>
      <c r="X88" s="106">
        <f t="shared" si="49"/>
        <v>3328129.6704000002</v>
      </c>
      <c r="Y88" s="106">
        <f t="shared" si="50"/>
        <v>3786203.5875999993</v>
      </c>
      <c r="Z88" s="106">
        <f t="shared" si="51"/>
        <v>4515860.688000001</v>
      </c>
      <c r="AA88" s="106">
        <f t="shared" si="52"/>
        <v>3758562.6943899994</v>
      </c>
      <c r="AB88" s="106">
        <f t="shared" si="53"/>
        <v>4129786.5890400005</v>
      </c>
      <c r="AC88" s="106">
        <f t="shared" si="54"/>
        <v>1097831.3864</v>
      </c>
      <c r="AD88" s="106">
        <f t="shared" si="55"/>
        <v>853321.34664</v>
      </c>
      <c r="AE88" s="106">
        <f t="shared" si="56"/>
        <v>2199083.1944399998</v>
      </c>
    </row>
    <row r="89" spans="8:31" x14ac:dyDescent="0.25">
      <c r="H89" s="48" t="s">
        <v>59</v>
      </c>
      <c r="N89" s="106">
        <f t="shared" si="39"/>
        <v>1991015.5488</v>
      </c>
      <c r="O89" s="106">
        <f t="shared" si="40"/>
        <v>961758.21</v>
      </c>
      <c r="P89" s="106">
        <f t="shared" si="41"/>
        <v>17162023.592799999</v>
      </c>
      <c r="Q89" s="106">
        <f t="shared" si="42"/>
        <v>20653411.010499999</v>
      </c>
      <c r="R89" s="106">
        <f t="shared" si="43"/>
        <v>10156310.5952</v>
      </c>
      <c r="S89" s="106">
        <f t="shared" si="44"/>
        <v>4160416.8759999992</v>
      </c>
      <c r="T89" s="106">
        <f t="shared" si="45"/>
        <v>1022324.4557999999</v>
      </c>
      <c r="U89" s="106">
        <f t="shared" si="46"/>
        <v>274985.89</v>
      </c>
      <c r="V89" s="106">
        <f t="shared" si="47"/>
        <v>2000912.0128000001</v>
      </c>
      <c r="W89" s="106">
        <f t="shared" si="48"/>
        <v>2544078.835</v>
      </c>
      <c r="X89" s="106">
        <f t="shared" si="49"/>
        <v>7190520.8780000014</v>
      </c>
      <c r="Y89" s="106">
        <f t="shared" si="50"/>
        <v>4863842.4451000001</v>
      </c>
      <c r="Z89" s="106">
        <f t="shared" si="51"/>
        <v>3538589.5608000001</v>
      </c>
      <c r="AA89" s="106">
        <f t="shared" si="52"/>
        <v>10716844.3802</v>
      </c>
      <c r="AB89" s="106">
        <f t="shared" si="53"/>
        <v>9925971.1109999996</v>
      </c>
      <c r="AC89" s="106">
        <f t="shared" si="53"/>
        <v>28564913.286000006</v>
      </c>
      <c r="AD89" s="106">
        <f t="shared" si="53"/>
        <v>38123562.267000005</v>
      </c>
      <c r="AE89" s="106">
        <f t="shared" si="53"/>
        <v>10329961.068</v>
      </c>
    </row>
    <row r="90" spans="8:31" x14ac:dyDescent="0.25">
      <c r="H90" s="48" t="s">
        <v>60</v>
      </c>
      <c r="N90" s="106">
        <f t="shared" si="39"/>
        <v>2056423.2835999997</v>
      </c>
      <c r="O90" s="106">
        <f t="shared" si="40"/>
        <v>1350008.8391999998</v>
      </c>
      <c r="P90" s="106">
        <f t="shared" si="41"/>
        <v>5028738.1928000003</v>
      </c>
      <c r="Q90" s="106">
        <f t="shared" si="42"/>
        <v>5138482.7970000003</v>
      </c>
      <c r="R90" s="106">
        <f t="shared" si="43"/>
        <v>7006299.9775999989</v>
      </c>
      <c r="S90" s="106">
        <f t="shared" si="44"/>
        <v>8902866.0525000002</v>
      </c>
      <c r="T90" s="106">
        <f t="shared" si="45"/>
        <v>8222489.1378000006</v>
      </c>
      <c r="U90" s="106">
        <f t="shared" si="46"/>
        <v>8140518.6974999998</v>
      </c>
      <c r="V90" s="106">
        <f t="shared" si="47"/>
        <v>7275801.2291999999</v>
      </c>
      <c r="W90" s="106">
        <f t="shared" si="48"/>
        <v>6466621.5949999997</v>
      </c>
      <c r="X90" s="106">
        <f t="shared" si="49"/>
        <v>3114712.3700000006</v>
      </c>
      <c r="Y90" s="106">
        <f t="shared" si="50"/>
        <v>3462276.4021999999</v>
      </c>
      <c r="Z90" s="106">
        <f t="shared" si="51"/>
        <v>1425970.6986</v>
      </c>
      <c r="AA90" s="106">
        <f t="shared" si="52"/>
        <v>3761616.3101999997</v>
      </c>
      <c r="AB90" s="106">
        <f t="shared" si="53"/>
        <v>5791807.7910000002</v>
      </c>
      <c r="AC90" s="106">
        <f t="shared" si="53"/>
        <v>7244994.5190000003</v>
      </c>
      <c r="AD90" s="106">
        <f t="shared" si="53"/>
        <v>7047099.2970000012</v>
      </c>
      <c r="AE90" s="106">
        <f t="shared" si="53"/>
        <v>7399310.5620000008</v>
      </c>
    </row>
    <row r="91" spans="8:31" x14ac:dyDescent="0.25">
      <c r="H91" s="48" t="s">
        <v>61</v>
      </c>
      <c r="N91" s="106">
        <f t="shared" si="39"/>
        <v>7144795.6439999994</v>
      </c>
      <c r="O91" s="106">
        <f t="shared" si="40"/>
        <v>5503800.8927999996</v>
      </c>
      <c r="P91" s="106">
        <f t="shared" si="41"/>
        <v>9394886.3455999997</v>
      </c>
      <c r="Q91" s="106">
        <f t="shared" si="42"/>
        <v>8906035.5089999977</v>
      </c>
      <c r="R91" s="106">
        <f t="shared" si="43"/>
        <v>10870782.876800001</v>
      </c>
      <c r="S91" s="106">
        <f t="shared" si="44"/>
        <v>9294901.0951999985</v>
      </c>
      <c r="T91" s="106">
        <f t="shared" si="45"/>
        <v>10345444.766999999</v>
      </c>
      <c r="U91" s="106">
        <f t="shared" si="46"/>
        <v>9458547.7000000011</v>
      </c>
      <c r="V91" s="106">
        <f t="shared" si="47"/>
        <v>10528468.487600001</v>
      </c>
      <c r="W91" s="106">
        <f t="shared" si="48"/>
        <v>9982123.1475000009</v>
      </c>
      <c r="X91" s="106">
        <f t="shared" si="49"/>
        <v>8664619.6280000005</v>
      </c>
      <c r="Y91" s="106">
        <f t="shared" si="50"/>
        <v>5381676.6618999997</v>
      </c>
      <c r="Z91" s="106">
        <f t="shared" si="51"/>
        <v>4737552.8340000007</v>
      </c>
      <c r="AA91" s="106">
        <f t="shared" si="52"/>
        <v>6914450.9755999995</v>
      </c>
      <c r="AB91" s="106">
        <f t="shared" ref="AB91:AE91" si="57">AB53*$AB$111</f>
        <v>8804812.4010000005</v>
      </c>
      <c r="AC91" s="106">
        <f t="shared" si="57"/>
        <v>9041829.1739999987</v>
      </c>
      <c r="AD91" s="106">
        <f t="shared" si="57"/>
        <v>10457067.411</v>
      </c>
      <c r="AE91" s="106">
        <f t="shared" si="57"/>
        <v>10037639.807999998</v>
      </c>
    </row>
    <row r="92" spans="8:31" x14ac:dyDescent="0.25">
      <c r="H92" s="48" t="s">
        <v>62</v>
      </c>
      <c r="N92" s="106">
        <f t="shared" si="39"/>
        <v>6944009.0019999994</v>
      </c>
      <c r="O92" s="106">
        <f t="shared" si="40"/>
        <v>5447978.8775999993</v>
      </c>
      <c r="P92" s="106">
        <f t="shared" si="41"/>
        <v>9178620.8976000007</v>
      </c>
      <c r="Q92" s="106">
        <f t="shared" si="42"/>
        <v>8570008.3489999995</v>
      </c>
      <c r="R92" s="106">
        <f t="shared" si="43"/>
        <v>6320969.9167999998</v>
      </c>
      <c r="S92" s="106">
        <f t="shared" si="44"/>
        <v>8247292.5604999997</v>
      </c>
      <c r="T92" s="106">
        <f t="shared" si="45"/>
        <v>9312475.1831999999</v>
      </c>
      <c r="U92" s="106">
        <f t="shared" si="46"/>
        <v>8967464.1524999999</v>
      </c>
      <c r="V92" s="106">
        <f t="shared" si="47"/>
        <v>10618914.818400001</v>
      </c>
      <c r="W92" s="106">
        <f t="shared" si="48"/>
        <v>9934924.7725000009</v>
      </c>
      <c r="X92" s="106">
        <f t="shared" si="49"/>
        <v>8213591.0920000011</v>
      </c>
      <c r="Y92" s="106">
        <f t="shared" si="50"/>
        <v>5239715.0554</v>
      </c>
      <c r="Z92" s="106">
        <f t="shared" si="51"/>
        <v>4872214.7753999997</v>
      </c>
      <c r="AA92" s="106">
        <f t="shared" si="52"/>
        <v>6975468.3432000009</v>
      </c>
      <c r="AB92" s="106">
        <f t="shared" ref="AB92:AE92" si="58">AB54*$AB$111</f>
        <v>8768154.2760000005</v>
      </c>
      <c r="AC92" s="106">
        <f t="shared" si="58"/>
        <v>10185562.674000001</v>
      </c>
      <c r="AD92" s="106">
        <f t="shared" si="58"/>
        <v>11634819.651000001</v>
      </c>
      <c r="AE92" s="106">
        <f t="shared" si="58"/>
        <v>12483587.214000002</v>
      </c>
    </row>
    <row r="93" spans="8:31" x14ac:dyDescent="0.25">
      <c r="H93" s="48" t="s">
        <v>63</v>
      </c>
      <c r="N93" s="106">
        <f t="shared" si="39"/>
        <v>5086437.6359999999</v>
      </c>
      <c r="O93" s="106">
        <f t="shared" si="40"/>
        <v>5114295.8159999996</v>
      </c>
      <c r="P93" s="106">
        <f t="shared" si="41"/>
        <v>8452579.8559999987</v>
      </c>
      <c r="Q93" s="106">
        <f t="shared" si="42"/>
        <v>8161816.3199999994</v>
      </c>
      <c r="R93" s="106">
        <f t="shared" si="43"/>
        <v>10433413.76</v>
      </c>
      <c r="S93" s="106">
        <f t="shared" si="44"/>
        <v>11509713.200999999</v>
      </c>
      <c r="T93" s="106">
        <f t="shared" si="45"/>
        <v>11957441.076000001</v>
      </c>
      <c r="U93" s="106">
        <f t="shared" si="46"/>
        <v>12210154.775</v>
      </c>
      <c r="V93" s="106">
        <f t="shared" si="47"/>
        <v>10816262.24</v>
      </c>
      <c r="W93" s="106">
        <f t="shared" si="48"/>
        <v>9489649.75</v>
      </c>
      <c r="X93" s="106">
        <f t="shared" si="49"/>
        <v>6877118.7800000003</v>
      </c>
      <c r="Y93" s="106">
        <f t="shared" si="50"/>
        <v>4780790.8679999998</v>
      </c>
      <c r="Z93" s="106">
        <f t="shared" si="51"/>
        <v>2422423.1639999999</v>
      </c>
      <c r="AA93" s="106">
        <f t="shared" si="52"/>
        <v>4353229.5702</v>
      </c>
      <c r="AB93" s="106">
        <f>AB55*$AB$111</f>
        <v>8777304.1439999994</v>
      </c>
      <c r="AC93" s="106">
        <f t="shared" ref="AC93:AE93" si="59">AC55*$AB$111</f>
        <v>9596979.8190000001</v>
      </c>
      <c r="AD93" s="106">
        <f t="shared" si="59"/>
        <v>9883675.6829999983</v>
      </c>
      <c r="AE93" s="106">
        <f t="shared" si="59"/>
        <v>12074775.804000001</v>
      </c>
    </row>
    <row r="94" spans="8:31" x14ac:dyDescent="0.25">
      <c r="H94" s="48" t="s">
        <v>64</v>
      </c>
      <c r="N94" s="106">
        <f t="shared" si="39"/>
        <v>6160445.6199999992</v>
      </c>
      <c r="O94" s="106">
        <f t="shared" si="40"/>
        <v>5730932.1215999993</v>
      </c>
      <c r="P94" s="106">
        <f t="shared" si="41"/>
        <v>8577314.2784000002</v>
      </c>
      <c r="Q94" s="106">
        <f t="shared" si="42"/>
        <v>9364732.8249999993</v>
      </c>
      <c r="R94" s="106">
        <f t="shared" si="43"/>
        <v>10629259.132800002</v>
      </c>
      <c r="S94" s="106">
        <f t="shared" si="44"/>
        <v>11457403.463099999</v>
      </c>
      <c r="T94" s="106">
        <f t="shared" si="45"/>
        <v>11830168.3752</v>
      </c>
      <c r="U94" s="106">
        <f t="shared" si="46"/>
        <v>11755112.565000001</v>
      </c>
      <c r="V94" s="106">
        <f t="shared" si="47"/>
        <v>10971156.380799999</v>
      </c>
      <c r="W94" s="106">
        <f t="shared" si="48"/>
        <v>9729639.6050000004</v>
      </c>
      <c r="X94" s="106">
        <f t="shared" si="49"/>
        <v>7101791.1579999998</v>
      </c>
      <c r="Y94" s="106">
        <f t="shared" si="50"/>
        <v>4544754.9035</v>
      </c>
      <c r="Z94" s="106">
        <f t="shared" si="51"/>
        <v>5389059.585</v>
      </c>
      <c r="AA94" s="106">
        <f t="shared" si="52"/>
        <v>6175398.4110000003</v>
      </c>
      <c r="AB94" s="106">
        <f t="shared" ref="AB94:AE94" si="60">AB56*$AB$111</f>
        <v>9673815.2489999998</v>
      </c>
      <c r="AC94" s="106">
        <f t="shared" si="60"/>
        <v>10055880.891000001</v>
      </c>
      <c r="AD94" s="106">
        <f t="shared" si="60"/>
        <v>10269729.729</v>
      </c>
      <c r="AE94" s="106">
        <f t="shared" si="60"/>
        <v>12196715.390999999</v>
      </c>
    </row>
    <row r="95" spans="8:31" x14ac:dyDescent="0.25">
      <c r="H95" s="48" t="s">
        <v>65</v>
      </c>
      <c r="N95" s="106">
        <f t="shared" si="39"/>
        <v>6087917.0491999993</v>
      </c>
      <c r="O95" s="106">
        <f t="shared" si="40"/>
        <v>5747745.9815999996</v>
      </c>
      <c r="P95" s="106">
        <f t="shared" si="41"/>
        <v>8477309.9824000001</v>
      </c>
      <c r="Q95" s="106">
        <f t="shared" si="42"/>
        <v>9244846.0264999978</v>
      </c>
      <c r="R95" s="106">
        <f t="shared" si="43"/>
        <v>10628486.668800002</v>
      </c>
      <c r="S95" s="106">
        <f t="shared" si="44"/>
        <v>11333828.907099999</v>
      </c>
      <c r="T95" s="106">
        <f t="shared" si="45"/>
        <v>11791730.3112</v>
      </c>
      <c r="U95" s="106">
        <f t="shared" si="46"/>
        <v>11489870</v>
      </c>
      <c r="V95" s="106">
        <f t="shared" si="47"/>
        <v>10979438.610000001</v>
      </c>
      <c r="W95" s="106">
        <f t="shared" si="48"/>
        <v>9780114.1024999991</v>
      </c>
      <c r="X95" s="106">
        <f t="shared" si="49"/>
        <v>7147140.966</v>
      </c>
      <c r="Y95" s="106">
        <f t="shared" si="50"/>
        <v>4518572.7628999995</v>
      </c>
      <c r="Z95" s="106">
        <f t="shared" si="51"/>
        <v>5101547.4468</v>
      </c>
      <c r="AA95" s="106">
        <f t="shared" si="52"/>
        <v>5945771.264299999</v>
      </c>
      <c r="AB95" s="106">
        <f t="shared" ref="AB95:AE95" si="61">AB57*$AB$111</f>
        <v>9617567.0220000017</v>
      </c>
      <c r="AC95" s="106">
        <f t="shared" si="61"/>
        <v>10118229.029999999</v>
      </c>
      <c r="AD95" s="106">
        <f t="shared" si="61"/>
        <v>10215768.969000001</v>
      </c>
      <c r="AE95" s="106">
        <f t="shared" si="61"/>
        <v>12117827.105999999</v>
      </c>
    </row>
    <row r="96" spans="8:31" x14ac:dyDescent="0.25">
      <c r="H96" s="48" t="s">
        <v>66</v>
      </c>
      <c r="N96" s="106">
        <f t="shared" si="39"/>
        <v>7856302.3391999993</v>
      </c>
      <c r="O96" s="106">
        <f t="shared" si="40"/>
        <v>6063894.5891999993</v>
      </c>
      <c r="P96" s="106">
        <f t="shared" si="41"/>
        <v>9959196.3016000018</v>
      </c>
      <c r="Q96" s="106">
        <f t="shared" si="42"/>
        <v>7495581.7474999996</v>
      </c>
      <c r="R96" s="106">
        <f t="shared" si="43"/>
        <v>4910811.1359999999</v>
      </c>
      <c r="S96" s="106">
        <f t="shared" si="44"/>
        <v>8666503.5330999978</v>
      </c>
      <c r="T96" s="106">
        <f t="shared" si="45"/>
        <v>6941380.4964000005</v>
      </c>
      <c r="U96" s="106">
        <f t="shared" si="46"/>
        <v>9904484.7300000004</v>
      </c>
      <c r="V96" s="106">
        <f t="shared" si="47"/>
        <v>11405123.2512</v>
      </c>
      <c r="W96" s="106">
        <f t="shared" si="48"/>
        <v>10788882.195</v>
      </c>
      <c r="X96" s="106">
        <f t="shared" si="49"/>
        <v>4901820.3360000001</v>
      </c>
      <c r="Y96" s="106">
        <f t="shared" si="50"/>
        <v>5098943.5461999997</v>
      </c>
      <c r="Z96" s="106">
        <f t="shared" si="51"/>
        <v>4860854.2878</v>
      </c>
      <c r="AA96" s="106">
        <f t="shared" si="52"/>
        <v>7659419.6727999989</v>
      </c>
      <c r="AB96" s="106">
        <f t="shared" ref="AB96:AE96" si="62">AB58*$AB$111</f>
        <v>8984642.4989999998</v>
      </c>
      <c r="AC96" s="106">
        <f t="shared" si="62"/>
        <v>10469443.194</v>
      </c>
      <c r="AD96" s="106">
        <f t="shared" si="62"/>
        <v>8572663.8269999996</v>
      </c>
      <c r="AE96" s="106">
        <f t="shared" si="62"/>
        <v>11455634.736</v>
      </c>
    </row>
    <row r="97" spans="8:31" x14ac:dyDescent="0.25">
      <c r="H97" s="48" t="s">
        <v>67</v>
      </c>
      <c r="N97" s="106">
        <f t="shared" si="39"/>
        <v>4495261.3607999999</v>
      </c>
      <c r="O97" s="106">
        <f t="shared" si="40"/>
        <v>5905267.8299999991</v>
      </c>
      <c r="P97" s="106">
        <f t="shared" si="41"/>
        <v>8517360.9639999997</v>
      </c>
      <c r="Q97" s="106">
        <f t="shared" si="42"/>
        <v>8549563.3230000008</v>
      </c>
      <c r="R97" s="106">
        <f t="shared" si="43"/>
        <v>10411063.8016</v>
      </c>
      <c r="S97" s="106">
        <f t="shared" si="44"/>
        <v>12829814.104099998</v>
      </c>
      <c r="T97" s="106">
        <f t="shared" si="45"/>
        <v>12907662.049800001</v>
      </c>
      <c r="U97" s="106">
        <f t="shared" si="46"/>
        <v>12183868.987500001</v>
      </c>
      <c r="V97" s="106">
        <f t="shared" si="47"/>
        <v>11618815.7344</v>
      </c>
      <c r="W97" s="106">
        <f t="shared" si="48"/>
        <v>9563390.2699999996</v>
      </c>
      <c r="X97" s="106">
        <f t="shared" si="49"/>
        <v>4241105.0640000002</v>
      </c>
      <c r="Y97" s="106">
        <f t="shared" si="50"/>
        <v>4607433.3613</v>
      </c>
      <c r="Z97" s="106">
        <f t="shared" si="51"/>
        <v>3104339.301</v>
      </c>
      <c r="AA97" s="106">
        <f t="shared" si="52"/>
        <v>5998378.4434000002</v>
      </c>
      <c r="AB97" s="106">
        <f t="shared" ref="AB97:AE97" si="63">AB59*$AB$111</f>
        <v>8511782.0130000003</v>
      </c>
      <c r="AC97" s="106">
        <f t="shared" si="63"/>
        <v>9916404.0570000019</v>
      </c>
      <c r="AD97" s="106">
        <f t="shared" si="63"/>
        <v>10821889.071</v>
      </c>
      <c r="AE97" s="106">
        <f t="shared" si="63"/>
        <v>13304905.172999999</v>
      </c>
    </row>
    <row r="98" spans="8:31" x14ac:dyDescent="0.25">
      <c r="H98" s="48" t="s">
        <v>71</v>
      </c>
      <c r="N98" s="106">
        <f t="shared" si="39"/>
        <v>14592285.359999999</v>
      </c>
      <c r="O98" s="106">
        <f t="shared" si="40"/>
        <v>14763061.034399999</v>
      </c>
      <c r="P98" s="106">
        <f t="shared" si="41"/>
        <v>28571241.072000001</v>
      </c>
      <c r="Q98" s="106">
        <f t="shared" si="42"/>
        <v>34702070.298</v>
      </c>
      <c r="R98" s="106">
        <f t="shared" si="43"/>
        <v>55515362.601599999</v>
      </c>
      <c r="S98" s="106">
        <f t="shared" si="44"/>
        <v>50902338.352599993</v>
      </c>
      <c r="T98" s="106">
        <f t="shared" si="45"/>
        <v>69048436.635000005</v>
      </c>
      <c r="U98" s="106">
        <f t="shared" si="46"/>
        <v>71515399.547499999</v>
      </c>
      <c r="V98" s="106">
        <f t="shared" si="47"/>
        <v>56388364.228799999</v>
      </c>
      <c r="W98" s="106">
        <f t="shared" si="48"/>
        <v>37719075.910000004</v>
      </c>
      <c r="X98" s="106">
        <f t="shared" si="49"/>
        <v>14261206.415999999</v>
      </c>
      <c r="Y98" s="106">
        <f t="shared" si="50"/>
        <v>31819197.7403</v>
      </c>
      <c r="Z98" s="106">
        <f t="shared" si="51"/>
        <v>26558631.947999999</v>
      </c>
      <c r="AA98" s="106">
        <f t="shared" si="52"/>
        <v>33956358.697799996</v>
      </c>
      <c r="AB98" s="106">
        <f t="shared" ref="AB98:AE98" si="64">AB60*$AB$111</f>
        <v>42771941.730000004</v>
      </c>
      <c r="AC98" s="106">
        <f t="shared" si="64"/>
        <v>51143956.730999999</v>
      </c>
      <c r="AD98" s="106">
        <f t="shared" si="64"/>
        <v>62549807.859000005</v>
      </c>
      <c r="AE98" s="106">
        <f t="shared" si="64"/>
        <v>78449318.89199999</v>
      </c>
    </row>
    <row r="99" spans="8:31" x14ac:dyDescent="0.25">
      <c r="H99" s="48" t="s">
        <v>72</v>
      </c>
      <c r="N99" s="106">
        <f t="shared" si="39"/>
        <v>7518860.2195999986</v>
      </c>
      <c r="O99" s="106">
        <f t="shared" si="40"/>
        <v>4846523.0855999999</v>
      </c>
      <c r="P99" s="106">
        <f t="shared" si="41"/>
        <v>12429758.004799999</v>
      </c>
      <c r="Q99" s="106">
        <f t="shared" si="42"/>
        <v>15415957.499999998</v>
      </c>
      <c r="R99" s="106">
        <f t="shared" si="43"/>
        <v>20788896.5504</v>
      </c>
      <c r="S99" s="106">
        <f t="shared" si="44"/>
        <v>20937651.431699999</v>
      </c>
      <c r="T99" s="106">
        <f t="shared" si="45"/>
        <v>24766014.3246</v>
      </c>
      <c r="U99" s="106">
        <f t="shared" si="46"/>
        <v>25392733.727500003</v>
      </c>
      <c r="V99" s="106">
        <f t="shared" si="47"/>
        <v>21881783.9888</v>
      </c>
      <c r="W99" s="106">
        <f t="shared" si="48"/>
        <v>16816295.877499998</v>
      </c>
      <c r="X99" s="106">
        <f t="shared" si="49"/>
        <v>12273110.4</v>
      </c>
      <c r="Y99" s="106">
        <f t="shared" si="50"/>
        <v>16431188.0932</v>
      </c>
      <c r="Z99" s="106">
        <f t="shared" si="51"/>
        <v>14980335.664800001</v>
      </c>
      <c r="AA99" s="106">
        <f t="shared" si="52"/>
        <v>21087511.7082</v>
      </c>
      <c r="AB99" s="106">
        <f t="shared" ref="AB99:AE99" si="65">AB61*$AB$111</f>
        <v>20415609.458999999</v>
      </c>
      <c r="AC99" s="106">
        <f t="shared" si="65"/>
        <v>21733848.423</v>
      </c>
      <c r="AD99" s="106">
        <f t="shared" si="65"/>
        <v>24481681.937999997</v>
      </c>
      <c r="AE99" s="106">
        <f t="shared" si="65"/>
        <v>17402827.554000001</v>
      </c>
    </row>
    <row r="100" spans="8:31" x14ac:dyDescent="0.25">
      <c r="H100" s="48" t="s">
        <v>73</v>
      </c>
      <c r="N100" s="106">
        <f t="shared" si="39"/>
        <v>25119088.533599999</v>
      </c>
      <c r="O100" s="106">
        <f t="shared" si="40"/>
        <v>16851533.16</v>
      </c>
      <c r="P100" s="106">
        <f t="shared" si="41"/>
        <v>30867653.288799997</v>
      </c>
      <c r="Q100" s="106">
        <f t="shared" si="42"/>
        <v>21726083.887499999</v>
      </c>
      <c r="R100" s="106">
        <f t="shared" si="43"/>
        <v>21584884.112</v>
      </c>
      <c r="S100" s="106">
        <f t="shared" si="44"/>
        <v>30200556.921599995</v>
      </c>
      <c r="T100" s="106">
        <f t="shared" si="45"/>
        <v>33024311.955000002</v>
      </c>
      <c r="U100" s="106">
        <f t="shared" si="46"/>
        <v>41037330.695</v>
      </c>
      <c r="V100" s="106">
        <f t="shared" si="47"/>
        <v>35449565.419599995</v>
      </c>
      <c r="W100" s="106">
        <f t="shared" si="48"/>
        <v>17550072.1675</v>
      </c>
      <c r="X100" s="106">
        <f t="shared" si="49"/>
        <v>28386188.700000003</v>
      </c>
      <c r="Y100" s="106">
        <f t="shared" si="50"/>
        <v>34575438.373300001</v>
      </c>
      <c r="Z100" s="106">
        <f t="shared" si="51"/>
        <v>53763767.2698</v>
      </c>
      <c r="AA100" s="106">
        <f t="shared" si="52"/>
        <v>46469255.198100001</v>
      </c>
      <c r="AB100" s="106">
        <f t="shared" ref="AB100:AE100" si="66">AB62*$AB$111</f>
        <v>62933709.384000003</v>
      </c>
      <c r="AC100" s="106">
        <f t="shared" si="66"/>
        <v>40643887.851000004</v>
      </c>
      <c r="AD100" s="106">
        <f t="shared" si="66"/>
        <v>44794338.182999998</v>
      </c>
      <c r="AE100" s="106">
        <f t="shared" si="66"/>
        <v>61401515.741999999</v>
      </c>
    </row>
    <row r="101" spans="8:31" x14ac:dyDescent="0.25">
      <c r="H101" s="48" t="s">
        <v>74</v>
      </c>
      <c r="N101" s="106">
        <f t="shared" si="39"/>
        <v>75890321.733199999</v>
      </c>
      <c r="O101" s="106">
        <f t="shared" si="40"/>
        <v>56961504.398400001</v>
      </c>
      <c r="P101" s="106">
        <f t="shared" si="41"/>
        <v>114915410.27519999</v>
      </c>
      <c r="Q101" s="106">
        <f t="shared" si="42"/>
        <v>77401772.687999994</v>
      </c>
      <c r="R101" s="106">
        <f t="shared" si="43"/>
        <v>78299301.731199995</v>
      </c>
      <c r="S101" s="106">
        <f t="shared" si="44"/>
        <v>99061118.019099995</v>
      </c>
      <c r="T101" s="106">
        <f t="shared" si="45"/>
        <v>107263691.9244</v>
      </c>
      <c r="U101" s="106">
        <f t="shared" si="46"/>
        <v>137091234.75999999</v>
      </c>
      <c r="V101" s="106">
        <f t="shared" si="47"/>
        <v>114619377.43399999</v>
      </c>
      <c r="W101" s="106">
        <f t="shared" si="48"/>
        <v>64042675.524999991</v>
      </c>
      <c r="X101" s="106">
        <f t="shared" si="49"/>
        <v>93712067.642000005</v>
      </c>
      <c r="Y101" s="106">
        <f t="shared" si="50"/>
        <v>75565287.2914</v>
      </c>
      <c r="Z101" s="106">
        <f t="shared" si="51"/>
        <v>128776707.53640001</v>
      </c>
      <c r="AA101" s="106">
        <f t="shared" si="52"/>
        <v>99911810.0141</v>
      </c>
      <c r="AB101" s="106">
        <f t="shared" ref="AB101:AE101" si="67">AB63*$AB$111</f>
        <v>123354240.03</v>
      </c>
      <c r="AC101" s="106">
        <f t="shared" si="67"/>
        <v>82891791.927000001</v>
      </c>
      <c r="AD101" s="106">
        <f t="shared" si="67"/>
        <v>99110045.853</v>
      </c>
      <c r="AE101" s="106">
        <f t="shared" si="67"/>
        <v>127384996.78800002</v>
      </c>
    </row>
    <row r="102" spans="8:31" x14ac:dyDescent="0.25">
      <c r="H102" s="48" t="s">
        <v>75</v>
      </c>
      <c r="N102" s="106">
        <f t="shared" si="39"/>
        <v>29063771.2544</v>
      </c>
      <c r="O102" s="106">
        <f t="shared" si="40"/>
        <v>27387577.870799996</v>
      </c>
      <c r="P102" s="106">
        <f t="shared" si="41"/>
        <v>40282973.120800003</v>
      </c>
      <c r="Q102" s="106">
        <f t="shared" si="42"/>
        <v>28374500.2685</v>
      </c>
      <c r="R102" s="106">
        <f t="shared" si="43"/>
        <v>25070004.326400001</v>
      </c>
      <c r="S102" s="106">
        <f t="shared" si="44"/>
        <v>35500231.361599997</v>
      </c>
      <c r="T102" s="106">
        <f t="shared" si="45"/>
        <v>34479986.646600001</v>
      </c>
      <c r="U102" s="106">
        <f t="shared" si="46"/>
        <v>44960074.024999999</v>
      </c>
      <c r="V102" s="106">
        <f t="shared" si="47"/>
        <v>35578867.253600001</v>
      </c>
      <c r="W102" s="106">
        <f t="shared" si="48"/>
        <v>22702720.227499999</v>
      </c>
      <c r="X102" s="106">
        <f t="shared" si="49"/>
        <v>58017494.308000006</v>
      </c>
      <c r="Y102" s="106">
        <f t="shared" si="50"/>
        <v>39391129.813999996</v>
      </c>
      <c r="Z102" s="106">
        <f t="shared" si="51"/>
        <v>91578939.693600014</v>
      </c>
      <c r="AA102" s="106">
        <f t="shared" si="52"/>
        <v>62771953.151600003</v>
      </c>
      <c r="AB102" s="106">
        <f t="shared" ref="AB102:AE102" si="68">AB64*$AB$111</f>
        <v>68835008.214000002</v>
      </c>
      <c r="AC102" s="106">
        <f t="shared" si="68"/>
        <v>47789349.552000001</v>
      </c>
      <c r="AD102" s="106">
        <f t="shared" si="68"/>
        <v>45436652.919</v>
      </c>
      <c r="AE102" s="106">
        <f t="shared" si="68"/>
        <v>62578588.400999993</v>
      </c>
    </row>
    <row r="103" spans="8:31" x14ac:dyDescent="0.25">
      <c r="H103" s="48" t="s">
        <v>76</v>
      </c>
      <c r="N103" s="106">
        <f t="shared" si="39"/>
        <v>52821767.867599994</v>
      </c>
      <c r="O103" s="106">
        <f t="shared" si="40"/>
        <v>50100760.348799996</v>
      </c>
      <c r="P103" s="106">
        <f t="shared" si="41"/>
        <v>64018523.664799996</v>
      </c>
      <c r="Q103" s="106">
        <f t="shared" si="42"/>
        <v>41672277.431499988</v>
      </c>
      <c r="R103" s="106">
        <f t="shared" si="43"/>
        <v>49596885.148800001</v>
      </c>
      <c r="S103" s="106">
        <f t="shared" si="44"/>
        <v>48115899.437299997</v>
      </c>
      <c r="T103" s="106">
        <f t="shared" si="45"/>
        <v>36679321.872000001</v>
      </c>
      <c r="U103" s="106">
        <f t="shared" si="46"/>
        <v>29602272.705000002</v>
      </c>
      <c r="V103" s="106">
        <f t="shared" si="47"/>
        <v>49702721.833600007</v>
      </c>
      <c r="W103" s="106">
        <f t="shared" si="48"/>
        <v>90466759.457500011</v>
      </c>
      <c r="X103" s="106">
        <f t="shared" si="49"/>
        <v>79101551.991999999</v>
      </c>
      <c r="Y103" s="106">
        <f t="shared" si="50"/>
        <v>72844506.70040001</v>
      </c>
      <c r="Z103" s="106">
        <f t="shared" si="51"/>
        <v>125386698.17520002</v>
      </c>
      <c r="AA103" s="106">
        <f t="shared" si="52"/>
        <v>109428877.44320001</v>
      </c>
      <c r="AB103" s="106">
        <f t="shared" ref="AB103:AE103" si="69">AB65*$AB$111</f>
        <v>59786811.441</v>
      </c>
      <c r="AC103" s="106">
        <f t="shared" si="69"/>
        <v>65321464.194000006</v>
      </c>
      <c r="AD103" s="106">
        <f t="shared" si="69"/>
        <v>62914586.741999999</v>
      </c>
      <c r="AE103" s="106">
        <f t="shared" si="69"/>
        <v>42345835.182000004</v>
      </c>
    </row>
    <row r="104" spans="8:31" x14ac:dyDescent="0.25">
      <c r="H104" s="48" t="s">
        <v>37</v>
      </c>
      <c r="N104" s="106">
        <f t="shared" ref="N104:U104" si="70">SUM(N78:N103)</f>
        <v>346510361.98539197</v>
      </c>
      <c r="O104" s="106">
        <f t="shared" si="70"/>
        <v>255264211.30013999</v>
      </c>
      <c r="P104" s="106">
        <f t="shared" si="70"/>
        <v>459616153.77321595</v>
      </c>
      <c r="Q104" s="106">
        <f t="shared" si="70"/>
        <v>473943577.60012996</v>
      </c>
      <c r="R104" s="106">
        <f t="shared" si="70"/>
        <v>471758441.16297603</v>
      </c>
      <c r="S104" s="106">
        <f t="shared" si="70"/>
        <v>420174925.08153999</v>
      </c>
      <c r="T104" s="106">
        <f t="shared" si="70"/>
        <v>422929032.64344001</v>
      </c>
      <c r="U104" s="106">
        <f t="shared" si="70"/>
        <v>449863857.64952499</v>
      </c>
      <c r="V104" s="106">
        <f t="shared" ref="V104:AA104" si="71">SUM(V78:V103)</f>
        <v>417698164.60226399</v>
      </c>
      <c r="W104" s="106">
        <f t="shared" si="71"/>
        <v>351407925.35799998</v>
      </c>
      <c r="X104" s="106">
        <f t="shared" si="71"/>
        <v>375691297.90864003</v>
      </c>
      <c r="Y104" s="106">
        <f t="shared" si="71"/>
        <v>383689860.15972</v>
      </c>
      <c r="Z104" s="106">
        <f t="shared" si="71"/>
        <v>605023239.65640008</v>
      </c>
      <c r="AA104" s="106">
        <f t="shared" si="71"/>
        <v>628178581.21308506</v>
      </c>
      <c r="AB104" s="106">
        <f t="shared" ref="AB104:AE104" si="72">AB66*$AB$111</f>
        <v>651434633.44155002</v>
      </c>
      <c r="AC104" s="106">
        <f t="shared" si="72"/>
        <v>507906719.36172009</v>
      </c>
      <c r="AD104" s="106">
        <f t="shared" si="72"/>
        <v>509555996.17082995</v>
      </c>
      <c r="AE104" s="106">
        <f t="shared" si="72"/>
        <v>580450470.15564001</v>
      </c>
    </row>
    <row r="106" spans="8:31" x14ac:dyDescent="0.25">
      <c r="H106" s="47" t="s">
        <v>676</v>
      </c>
      <c r="P106" s="106">
        <f>SUM(N104:P104)</f>
        <v>1061390727.058748</v>
      </c>
      <c r="Q106" s="106"/>
      <c r="R106" s="106"/>
      <c r="S106" s="106">
        <f>SUM(Q104:S104)</f>
        <v>1365876943.844646</v>
      </c>
      <c r="T106" s="106"/>
      <c r="U106" s="106"/>
      <c r="V106" s="106">
        <f>SUM(T104:V104)</f>
        <v>1290491054.8952289</v>
      </c>
      <c r="W106" s="106"/>
      <c r="X106" s="106"/>
      <c r="Y106" s="106">
        <f>SUM(W104:Y104)</f>
        <v>1110789083.4263599</v>
      </c>
      <c r="Z106" s="106"/>
      <c r="AA106" s="106"/>
      <c r="AB106" s="106">
        <f>SUM(Z104:AB104)</f>
        <v>1884636454.3110352</v>
      </c>
      <c r="AE106" s="106">
        <f>SUM(AC104:AE104)</f>
        <v>1597913185.68819</v>
      </c>
    </row>
    <row r="107" spans="8:31" x14ac:dyDescent="0.25">
      <c r="H107" s="47" t="s">
        <v>677</v>
      </c>
      <c r="S107" s="55">
        <f>(S106/P106)-1</f>
        <v>0.28687476630747377</v>
      </c>
      <c r="T107" s="55"/>
      <c r="U107" s="55"/>
      <c r="V107" s="55">
        <f>(V106/S106)-1</f>
        <v>-5.5192299195872097E-2</v>
      </c>
      <c r="W107" s="55"/>
      <c r="X107" s="55"/>
      <c r="Y107" s="55">
        <f>(Y106/V106)-1</f>
        <v>-0.13925084624740658</v>
      </c>
      <c r="Z107" s="55"/>
      <c r="AA107" s="55"/>
      <c r="AB107" s="55">
        <f>(AB106/Y106)-1</f>
        <v>0.69666454453950144</v>
      </c>
      <c r="AE107" s="55">
        <f>(AE106/AB106)-1</f>
        <v>-0.15213717635938562</v>
      </c>
    </row>
    <row r="108" spans="8:31" x14ac:dyDescent="0.25">
      <c r="H108" s="47" t="s">
        <v>678</v>
      </c>
      <c r="S108" s="55"/>
      <c r="T108" s="55"/>
      <c r="U108" s="55"/>
      <c r="V108" s="55"/>
      <c r="W108" s="55"/>
      <c r="X108" s="55"/>
      <c r="Y108" s="55"/>
      <c r="Z108" s="55"/>
      <c r="AA108" s="55"/>
      <c r="AB108" s="55">
        <f>(AB106/P106)-1</f>
        <v>0.7756292817194741</v>
      </c>
      <c r="AE108" s="55">
        <f>(AE106/S106)-1</f>
        <v>0.16988078090725556</v>
      </c>
    </row>
    <row r="110" spans="8:31" x14ac:dyDescent="0.25">
      <c r="H110" t="s">
        <v>578</v>
      </c>
      <c r="N110" t="s">
        <v>484</v>
      </c>
      <c r="O110" t="s">
        <v>485</v>
      </c>
      <c r="P110" t="s">
        <v>486</v>
      </c>
      <c r="Q110" t="s">
        <v>487</v>
      </c>
      <c r="R110" t="s">
        <v>488</v>
      </c>
      <c r="S110" t="s">
        <v>489</v>
      </c>
      <c r="T110" t="s">
        <v>490</v>
      </c>
      <c r="U110" t="s">
        <v>491</v>
      </c>
      <c r="V110" t="s">
        <v>492</v>
      </c>
      <c r="W110" t="s">
        <v>493</v>
      </c>
      <c r="X110" t="s">
        <v>494</v>
      </c>
      <c r="Y110" t="s">
        <v>495</v>
      </c>
      <c r="Z110" t="s">
        <v>496</v>
      </c>
      <c r="AA110" t="s">
        <v>497</v>
      </c>
      <c r="AB110" t="s">
        <v>574</v>
      </c>
      <c r="AC110" t="s">
        <v>731</v>
      </c>
      <c r="AD110" t="s">
        <v>732</v>
      </c>
      <c r="AE110" t="s">
        <v>733</v>
      </c>
    </row>
    <row r="111" spans="8:31" x14ac:dyDescent="0.25">
      <c r="H111" t="s">
        <v>576</v>
      </c>
      <c r="N111" s="63" t="str">
        <f>PTF!B5</f>
        <v>35,48</v>
      </c>
      <c r="O111" s="63">
        <f>PTF!C5</f>
        <v>36.119999999999997</v>
      </c>
      <c r="P111" s="63">
        <f>PTF!D5</f>
        <v>37.04</v>
      </c>
      <c r="Q111" s="63">
        <f>PTF!E5</f>
        <v>38.049999999999997</v>
      </c>
      <c r="R111" s="63">
        <f>PTF!F5</f>
        <v>38.72</v>
      </c>
      <c r="S111" s="63">
        <f>PTF!G5</f>
        <v>39.369999999999997</v>
      </c>
      <c r="T111" s="63">
        <f>PTF!H5</f>
        <v>40.14</v>
      </c>
      <c r="U111" s="63">
        <f>PTF!I5</f>
        <v>40.75</v>
      </c>
      <c r="V111" s="63">
        <f>PTF!J5</f>
        <v>41.24</v>
      </c>
      <c r="W111" s="63">
        <f>PTF!K5</f>
        <v>41.75</v>
      </c>
      <c r="X111" s="63">
        <f>PTF!L5</f>
        <v>42.2</v>
      </c>
      <c r="Y111" s="63">
        <f>PTF!M5</f>
        <v>42.61</v>
      </c>
      <c r="Z111" s="63">
        <f>PTF!N5</f>
        <v>43.14</v>
      </c>
      <c r="AA111" s="63">
        <f>PTF!O5</f>
        <v>43.61</v>
      </c>
      <c r="AB111" s="63">
        <f>PTF!P5</f>
        <v>44.1</v>
      </c>
      <c r="AC111" s="63">
        <f>PTF!Q5</f>
        <v>44.68</v>
      </c>
      <c r="AD111" s="63">
        <f>PTF!R5</f>
        <v>45.36</v>
      </c>
      <c r="AE111" s="63">
        <f>PTF!S5</f>
        <v>46.17</v>
      </c>
    </row>
    <row r="114" spans="8:26" x14ac:dyDescent="0.25">
      <c r="H114" t="s">
        <v>717</v>
      </c>
      <c r="I114" s="25" t="s">
        <v>484</v>
      </c>
      <c r="J114" s="25" t="s">
        <v>485</v>
      </c>
      <c r="K114" s="25" t="s">
        <v>486</v>
      </c>
      <c r="L114" s="25" t="s">
        <v>487</v>
      </c>
      <c r="M114" s="25" t="s">
        <v>488</v>
      </c>
      <c r="N114" s="25" t="s">
        <v>489</v>
      </c>
      <c r="O114" s="25" t="s">
        <v>490</v>
      </c>
      <c r="P114" s="25" t="s">
        <v>491</v>
      </c>
      <c r="Q114" s="25" t="s">
        <v>492</v>
      </c>
      <c r="R114" s="25" t="s">
        <v>493</v>
      </c>
      <c r="S114" s="25" t="s">
        <v>494</v>
      </c>
      <c r="T114" s="25" t="s">
        <v>495</v>
      </c>
      <c r="U114" s="25" t="s">
        <v>496</v>
      </c>
      <c r="V114" s="25" t="s">
        <v>497</v>
      </c>
      <c r="W114" s="25" t="s">
        <v>574</v>
      </c>
      <c r="X114" s="25" t="s">
        <v>731</v>
      </c>
      <c r="Y114" s="25" t="s">
        <v>732</v>
      </c>
      <c r="Z114" s="25" t="s">
        <v>733</v>
      </c>
    </row>
    <row r="115" spans="8:26" x14ac:dyDescent="0.25">
      <c r="H115" t="s">
        <v>29</v>
      </c>
      <c r="I115" s="63">
        <f>SUM(N2:N13)</f>
        <v>37625.33</v>
      </c>
      <c r="J115" s="63">
        <f t="shared" ref="J115:Z115" si="73">SUM(O2:O13)</f>
        <v>17298.400000000001</v>
      </c>
      <c r="K115" s="63">
        <f t="shared" si="73"/>
        <v>44197.630000000005</v>
      </c>
      <c r="L115" s="63">
        <f t="shared" si="73"/>
        <v>75029.859999999986</v>
      </c>
      <c r="M115" s="63">
        <f t="shared" si="73"/>
        <v>59874.78</v>
      </c>
      <c r="N115" s="63">
        <f t="shared" si="73"/>
        <v>23326.159999999996</v>
      </c>
      <c r="O115" s="63">
        <f t="shared" si="73"/>
        <v>11517.49</v>
      </c>
      <c r="P115" s="63">
        <f t="shared" si="73"/>
        <v>5465.23</v>
      </c>
      <c r="Q115" s="63">
        <f t="shared" si="73"/>
        <v>7116.8600000000006</v>
      </c>
      <c r="R115" s="63">
        <f t="shared" si="73"/>
        <v>9446.6899999999987</v>
      </c>
      <c r="S115" s="63">
        <f t="shared" si="73"/>
        <v>13860.41</v>
      </c>
      <c r="T115" s="63">
        <f t="shared" si="73"/>
        <v>25020.739999999998</v>
      </c>
      <c r="U115" s="63">
        <f t="shared" si="73"/>
        <v>44936.399999999994</v>
      </c>
      <c r="V115" s="63">
        <f t="shared" si="73"/>
        <v>94758.49</v>
      </c>
      <c r="W115" s="63">
        <f t="shared" si="73"/>
        <v>92844.52</v>
      </c>
      <c r="X115" s="63">
        <f t="shared" si="73"/>
        <v>97066.290000000008</v>
      </c>
      <c r="Y115" s="63">
        <f t="shared" si="73"/>
        <v>80556.78</v>
      </c>
      <c r="Z115" s="63">
        <f t="shared" si="73"/>
        <v>72988.14</v>
      </c>
    </row>
    <row r="116" spans="8:26" x14ac:dyDescent="0.25">
      <c r="H116" t="s">
        <v>27</v>
      </c>
      <c r="I116" s="63">
        <f>SUM(N14:N21)</f>
        <v>9712.4700000000012</v>
      </c>
      <c r="J116" s="63">
        <f t="shared" ref="J116:Z116" si="74">SUM(O14:O21)</f>
        <v>8506.2999999999993</v>
      </c>
      <c r="K116" s="63">
        <f t="shared" si="74"/>
        <v>13719.370000000003</v>
      </c>
      <c r="L116" s="63">
        <f t="shared" si="74"/>
        <v>12929.38</v>
      </c>
      <c r="M116" s="63">
        <f t="shared" si="74"/>
        <v>13828.039999999999</v>
      </c>
      <c r="N116" s="63">
        <f t="shared" si="74"/>
        <v>15706.460000000003</v>
      </c>
      <c r="O116" s="63">
        <f t="shared" si="74"/>
        <v>15604.93</v>
      </c>
      <c r="P116" s="63">
        <f t="shared" si="74"/>
        <v>15519.170000000002</v>
      </c>
      <c r="Q116" s="63">
        <f t="shared" si="74"/>
        <v>15353.73</v>
      </c>
      <c r="R116" s="63">
        <f t="shared" si="74"/>
        <v>13639.25</v>
      </c>
      <c r="S116" s="63">
        <f t="shared" si="74"/>
        <v>8955.1899999999987</v>
      </c>
      <c r="T116" s="63">
        <f t="shared" si="74"/>
        <v>6640.78</v>
      </c>
      <c r="U116" s="63">
        <f t="shared" si="74"/>
        <v>5562.2300000000005</v>
      </c>
      <c r="V116" s="63">
        <f t="shared" si="74"/>
        <v>8238.39</v>
      </c>
      <c r="W116" s="63">
        <f t="shared" si="74"/>
        <v>11752.150000000001</v>
      </c>
      <c r="X116" s="63">
        <f t="shared" si="74"/>
        <v>13064.859999999999</v>
      </c>
      <c r="Y116" s="63">
        <f t="shared" si="74"/>
        <v>13452.46</v>
      </c>
      <c r="Z116" s="63">
        <f t="shared" si="74"/>
        <v>15526.98</v>
      </c>
    </row>
    <row r="117" spans="8:26" x14ac:dyDescent="0.25">
      <c r="H117" t="s">
        <v>28</v>
      </c>
      <c r="I117" s="63">
        <f>SUM(N22:N27)</f>
        <v>79151.710000000006</v>
      </c>
      <c r="J117" s="63">
        <f t="shared" ref="J117:Z117" si="75">SUM(O22:O27)</f>
        <v>64818.55</v>
      </c>
      <c r="K117" s="63">
        <f t="shared" si="75"/>
        <v>107653.17</v>
      </c>
      <c r="L117" s="63">
        <f t="shared" si="75"/>
        <v>78948.989999999991</v>
      </c>
      <c r="M117" s="63">
        <f t="shared" si="75"/>
        <v>88749.34</v>
      </c>
      <c r="N117" s="63">
        <f t="shared" si="75"/>
        <v>99066.39</v>
      </c>
      <c r="O117" s="63">
        <f t="shared" si="75"/>
        <v>104177.08</v>
      </c>
      <c r="P117" s="63">
        <f t="shared" si="75"/>
        <v>117522.16</v>
      </c>
      <c r="Q117" s="63">
        <f t="shared" si="75"/>
        <v>104174.91999999998</v>
      </c>
      <c r="R117" s="63">
        <f t="shared" si="75"/>
        <v>81797.259999999995</v>
      </c>
      <c r="S117" s="63">
        <f t="shared" si="75"/>
        <v>92758.43</v>
      </c>
      <c r="T117" s="63">
        <f t="shared" si="75"/>
        <v>87003.420000000013</v>
      </c>
      <c r="U117" s="63">
        <f t="shared" si="75"/>
        <v>140048.99000000002</v>
      </c>
      <c r="V117" s="63">
        <f t="shared" si="75"/>
        <v>117362.1</v>
      </c>
      <c r="W117" s="63">
        <f t="shared" si="75"/>
        <v>117447.05999999998</v>
      </c>
      <c r="X117" s="63">
        <f t="shared" si="75"/>
        <v>96146.46</v>
      </c>
      <c r="Y117" s="63">
        <f t="shared" si="75"/>
        <v>105391.58</v>
      </c>
      <c r="Z117" s="63">
        <f t="shared" si="75"/>
        <v>121008.63000000002</v>
      </c>
    </row>
    <row r="118" spans="8:26" x14ac:dyDescent="0.25">
      <c r="H118" t="s">
        <v>522</v>
      </c>
      <c r="I118" s="63">
        <f>SUM(I115:I117)</f>
        <v>126489.51000000001</v>
      </c>
      <c r="J118" s="63">
        <f t="shared" ref="J118:Z118" si="76">SUM(J115:J117)</f>
        <v>90623.25</v>
      </c>
      <c r="K118" s="63">
        <f t="shared" si="76"/>
        <v>165570.17000000001</v>
      </c>
      <c r="L118" s="63">
        <f t="shared" si="76"/>
        <v>166908.22999999998</v>
      </c>
      <c r="M118" s="63">
        <f t="shared" si="76"/>
        <v>162452.15999999997</v>
      </c>
      <c r="N118" s="63">
        <f t="shared" si="76"/>
        <v>138099.01</v>
      </c>
      <c r="O118" s="63">
        <f t="shared" si="76"/>
        <v>131299.5</v>
      </c>
      <c r="P118" s="63">
        <f t="shared" si="76"/>
        <v>138506.56</v>
      </c>
      <c r="Q118" s="63">
        <f t="shared" si="76"/>
        <v>126645.50999999998</v>
      </c>
      <c r="R118" s="63">
        <f t="shared" si="76"/>
        <v>104883.2</v>
      </c>
      <c r="S118" s="63">
        <f t="shared" si="76"/>
        <v>115574.03</v>
      </c>
      <c r="T118" s="63">
        <f t="shared" si="76"/>
        <v>118664.94</v>
      </c>
      <c r="U118" s="63">
        <f t="shared" si="76"/>
        <v>190547.62000000002</v>
      </c>
      <c r="V118" s="63">
        <f t="shared" si="76"/>
        <v>220358.98</v>
      </c>
      <c r="W118" s="63">
        <f t="shared" si="76"/>
        <v>222043.72999999998</v>
      </c>
      <c r="X118" s="63">
        <f t="shared" si="76"/>
        <v>206277.61000000002</v>
      </c>
      <c r="Y118" s="63">
        <f t="shared" si="76"/>
        <v>199400.82</v>
      </c>
      <c r="Z118" s="63">
        <f t="shared" si="76"/>
        <v>209523.75</v>
      </c>
    </row>
    <row r="121" spans="8:26" x14ac:dyDescent="0.25">
      <c r="H121" t="s">
        <v>717</v>
      </c>
      <c r="I121" s="25" t="s">
        <v>756</v>
      </c>
      <c r="J121" s="25" t="s">
        <v>757</v>
      </c>
      <c r="K121" s="25" t="s">
        <v>758</v>
      </c>
      <c r="L121" s="25" t="s">
        <v>759</v>
      </c>
      <c r="M121" s="25" t="s">
        <v>760</v>
      </c>
      <c r="N121" s="25" t="s">
        <v>761</v>
      </c>
    </row>
    <row r="122" spans="8:26" x14ac:dyDescent="0.25">
      <c r="H122" t="s">
        <v>29</v>
      </c>
      <c r="I122" s="63">
        <f>SUM(I115:K115)</f>
        <v>99121.360000000015</v>
      </c>
      <c r="J122" s="63">
        <f>SUM(L115:N115)</f>
        <v>158230.79999999999</v>
      </c>
      <c r="K122" s="63">
        <f>SUM(O115:Q115)</f>
        <v>24099.58</v>
      </c>
      <c r="L122" s="63">
        <f>SUM(R115:T115)</f>
        <v>48327.839999999997</v>
      </c>
      <c r="M122" s="63">
        <f>SUM(U115:W115)</f>
        <v>232539.41000000003</v>
      </c>
      <c r="N122" s="63">
        <f>SUM(X115:Z115)</f>
        <v>250611.21000000002</v>
      </c>
    </row>
    <row r="123" spans="8:26" x14ac:dyDescent="0.25">
      <c r="H123" t="s">
        <v>27</v>
      </c>
      <c r="I123" s="63">
        <f t="shared" ref="I123:I125" si="77">SUM(I116:K116)</f>
        <v>31938.140000000003</v>
      </c>
      <c r="J123" s="63">
        <f t="shared" ref="J123:J125" si="78">SUM(L116:N116)</f>
        <v>42463.880000000005</v>
      </c>
      <c r="K123" s="63">
        <f t="shared" ref="K123:K125" si="79">SUM(O116:Q116)</f>
        <v>46477.83</v>
      </c>
      <c r="L123" s="63">
        <f t="shared" ref="L123:L125" si="80">SUM(R116:T116)</f>
        <v>29235.219999999998</v>
      </c>
      <c r="M123" s="63">
        <f t="shared" ref="M123:M125" si="81">SUM(U116:W116)</f>
        <v>25552.77</v>
      </c>
      <c r="N123" s="63">
        <f t="shared" ref="N123:N125" si="82">SUM(X116:Z116)</f>
        <v>42044.3</v>
      </c>
    </row>
    <row r="124" spans="8:26" x14ac:dyDescent="0.25">
      <c r="H124" t="s">
        <v>28</v>
      </c>
      <c r="I124" s="63">
        <f t="shared" si="77"/>
        <v>251623.43</v>
      </c>
      <c r="J124" s="63">
        <f t="shared" si="78"/>
        <v>266764.71999999997</v>
      </c>
      <c r="K124" s="63">
        <f t="shared" si="79"/>
        <v>325874.15999999997</v>
      </c>
      <c r="L124" s="63">
        <f t="shared" si="80"/>
        <v>261559.11000000002</v>
      </c>
      <c r="M124" s="63">
        <f t="shared" si="81"/>
        <v>374858.15</v>
      </c>
      <c r="N124" s="63">
        <f t="shared" si="82"/>
        <v>322546.67000000004</v>
      </c>
    </row>
    <row r="125" spans="8:26" x14ac:dyDescent="0.25">
      <c r="H125" t="s">
        <v>522</v>
      </c>
      <c r="I125" s="63">
        <f t="shared" si="77"/>
        <v>382682.93000000005</v>
      </c>
      <c r="J125" s="63">
        <f t="shared" si="78"/>
        <v>467459.39999999997</v>
      </c>
      <c r="K125" s="63">
        <f t="shared" si="79"/>
        <v>396451.56999999995</v>
      </c>
      <c r="L125" s="63">
        <f t="shared" si="80"/>
        <v>339122.17</v>
      </c>
      <c r="M125" s="63">
        <f t="shared" si="81"/>
        <v>632950.33000000007</v>
      </c>
      <c r="N125" s="63">
        <f t="shared" si="82"/>
        <v>615202.18000000005</v>
      </c>
    </row>
  </sheetData>
  <phoneticPr fontId="48" type="noConversion"/>
  <conditionalFormatting sqref="P107:AE108">
    <cfRule type="colorScale" priority="1">
      <colorScale>
        <cfvo type="min"/>
        <cfvo type="percentile" val="50"/>
        <cfvo type="max"/>
        <color rgb="FFF8696B"/>
        <color rgb="FFFFEB84"/>
        <color rgb="FF63BE7B"/>
      </colorScale>
    </cfRule>
  </conditionalFormatting>
  <conditionalFormatting sqref="S107:AB108">
    <cfRule type="colorScale" priority="17">
      <colorScale>
        <cfvo type="min"/>
        <cfvo type="percentile" val="50"/>
        <cfvo type="max"/>
        <color rgb="FFF8696B"/>
        <color rgb="FFFFEB84"/>
        <color rgb="FF63BE7B"/>
      </colorScale>
    </cfRule>
  </conditionalFormatting>
  <conditionalFormatting sqref="S69:AC70">
    <cfRule type="colorScale" priority="18">
      <colorScale>
        <cfvo type="min"/>
        <cfvo type="percentile" val="50"/>
        <cfvo type="max"/>
        <color rgb="FFF8696B"/>
        <color rgb="FFFFEB84"/>
        <color rgb="FF63BE7B"/>
      </colorScale>
    </cfRule>
  </conditionalFormatting>
  <conditionalFormatting sqref="S69:AE70">
    <cfRule type="colorScale" priority="4">
      <colorScale>
        <cfvo type="min"/>
        <cfvo type="percentile" val="50"/>
        <cfvo type="max"/>
        <color rgb="FFF8696B"/>
        <color rgb="FFFFEB84"/>
        <color rgb="FF63BE7B"/>
      </colorScale>
    </cfRule>
  </conditionalFormatting>
  <conditionalFormatting sqref="Z30:AB37">
    <cfRule type="colorScale" priority="19">
      <colorScale>
        <cfvo type="min"/>
        <cfvo type="percentile" val="50"/>
        <cfvo type="max"/>
        <color rgb="FFF8696B"/>
        <color rgb="FFFFEB84"/>
        <color rgb="FF63BE7B"/>
      </colorScale>
    </cfRule>
  </conditionalFormatting>
  <conditionalFormatting sqref="Z30:AE37">
    <cfRule type="colorScale" priority="7">
      <colorScale>
        <cfvo type="min"/>
        <cfvo type="percentile" val="50"/>
        <cfvo type="max"/>
        <color rgb="FFF8696B"/>
        <color rgb="FFFFEB84"/>
        <color rgb="FF63BE7B"/>
      </colorScale>
    </cfRule>
  </conditionalFormatting>
  <conditionalFormatting sqref="AC30:AE30">
    <cfRule type="colorScale" priority="16">
      <colorScale>
        <cfvo type="min"/>
        <cfvo type="percentile" val="50"/>
        <cfvo type="max"/>
        <color rgb="FFF8696B"/>
        <color rgb="FFFFEB84"/>
        <color rgb="FF63BE7B"/>
      </colorScale>
    </cfRule>
  </conditionalFormatting>
  <conditionalFormatting sqref="AC31:AE31">
    <cfRule type="colorScale" priority="12">
      <colorScale>
        <cfvo type="min"/>
        <cfvo type="percentile" val="50"/>
        <cfvo type="max"/>
        <color rgb="FFF8696B"/>
        <color rgb="FFFFEB84"/>
        <color rgb="FF63BE7B"/>
      </colorScale>
    </cfRule>
  </conditionalFormatting>
  <conditionalFormatting sqref="AC32:AE32">
    <cfRule type="colorScale" priority="15">
      <colorScale>
        <cfvo type="min"/>
        <cfvo type="percentile" val="50"/>
        <cfvo type="max"/>
        <color rgb="FFF8696B"/>
        <color rgb="FFFFEB84"/>
        <color rgb="FF63BE7B"/>
      </colorScale>
    </cfRule>
  </conditionalFormatting>
  <conditionalFormatting sqref="AC33:AE33">
    <cfRule type="colorScale" priority="11">
      <colorScale>
        <cfvo type="min"/>
        <cfvo type="percentile" val="50"/>
        <cfvo type="max"/>
        <color rgb="FFF8696B"/>
        <color rgb="FFFFEB84"/>
        <color rgb="FF63BE7B"/>
      </colorScale>
    </cfRule>
  </conditionalFormatting>
  <conditionalFormatting sqref="AC34:AE34">
    <cfRule type="colorScale" priority="14">
      <colorScale>
        <cfvo type="min"/>
        <cfvo type="percentile" val="50"/>
        <cfvo type="max"/>
        <color rgb="FFF8696B"/>
        <color rgb="FFFFEB84"/>
        <color rgb="FF63BE7B"/>
      </colorScale>
    </cfRule>
  </conditionalFormatting>
  <conditionalFormatting sqref="AC35:AE35">
    <cfRule type="colorScale" priority="10">
      <colorScale>
        <cfvo type="min"/>
        <cfvo type="percentile" val="50"/>
        <cfvo type="max"/>
        <color rgb="FFF8696B"/>
        <color rgb="FFFFEB84"/>
        <color rgb="FF63BE7B"/>
      </colorScale>
    </cfRule>
  </conditionalFormatting>
  <conditionalFormatting sqref="AC36:AE36">
    <cfRule type="colorScale" priority="13">
      <colorScale>
        <cfvo type="min"/>
        <cfvo type="percentile" val="50"/>
        <cfvo type="max"/>
        <color rgb="FFF8696B"/>
        <color rgb="FFFFEB84"/>
        <color rgb="FF63BE7B"/>
      </colorScale>
    </cfRule>
  </conditionalFormatting>
  <conditionalFormatting sqref="AC37:AE37">
    <cfRule type="colorScale" priority="9">
      <colorScale>
        <cfvo type="min"/>
        <cfvo type="percentile" val="50"/>
        <cfvo type="max"/>
        <color rgb="FFF8696B"/>
        <color rgb="FFFFEB84"/>
        <color rgb="FF63BE7B"/>
      </colorScale>
    </cfRule>
  </conditionalFormatting>
  <conditionalFormatting sqref="AE69">
    <cfRule type="colorScale" priority="6">
      <colorScale>
        <cfvo type="min"/>
        <cfvo type="percentile" val="50"/>
        <cfvo type="max"/>
        <color rgb="FFF8696B"/>
        <color rgb="FFFFEB84"/>
        <color rgb="FF63BE7B"/>
      </colorScale>
    </cfRule>
  </conditionalFormatting>
  <conditionalFormatting sqref="AE70">
    <cfRule type="colorScale" priority="5">
      <colorScale>
        <cfvo type="min"/>
        <cfvo type="percentile" val="50"/>
        <cfvo type="max"/>
        <color rgb="FFF8696B"/>
        <color rgb="FFFFEB84"/>
        <color rgb="FF63BE7B"/>
      </colorScale>
    </cfRule>
  </conditionalFormatting>
  <conditionalFormatting sqref="AE107">
    <cfRule type="colorScale" priority="3">
      <colorScale>
        <cfvo type="min"/>
        <cfvo type="percentile" val="50"/>
        <cfvo type="max"/>
        <color rgb="FFF8696B"/>
        <color rgb="FFFFEB84"/>
        <color rgb="FF63BE7B"/>
      </colorScale>
    </cfRule>
  </conditionalFormatting>
  <conditionalFormatting sqref="AE108">
    <cfRule type="colorScale" priority="2">
      <colorScale>
        <cfvo type="min"/>
        <cfvo type="percentile" val="50"/>
        <cfvo type="max"/>
        <color rgb="FFF8696B"/>
        <color rgb="FFFFEB84"/>
        <color rgb="FF63BE7B"/>
      </colorScale>
    </cfRule>
  </conditionalFormatting>
  <pageMargins left="0.7" right="0.7" top="0.75" bottom="0.75" header="0.3" footer="0.3"/>
  <legacyDrawing r:id="rId1"/>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E6C6F-F3FB-4C49-85E1-D6D4CD2C0494}">
  <dimension ref="A1:X71"/>
  <sheetViews>
    <sheetView zoomScaleNormal="100" workbookViewId="0">
      <selection activeCell="B13" sqref="B13"/>
    </sheetView>
  </sheetViews>
  <sheetFormatPr defaultColWidth="9.140625" defaultRowHeight="15" x14ac:dyDescent="0.25"/>
  <cols>
    <col min="1" max="1" width="52.28515625" style="25" customWidth="1"/>
    <col min="2" max="2" width="13" style="25" customWidth="1"/>
    <col min="3" max="3" width="22.140625" style="25" customWidth="1"/>
    <col min="4" max="4" width="9.140625" style="25" customWidth="1"/>
    <col min="5" max="5" width="11" style="25" customWidth="1"/>
    <col min="6" max="6" width="18" style="25" customWidth="1"/>
    <col min="7" max="8" width="17.42578125" style="25" bestFit="1" customWidth="1"/>
    <col min="9" max="9" width="17.5703125" style="25" bestFit="1" customWidth="1"/>
    <col min="10" max="10" width="15.85546875" style="25" bestFit="1" customWidth="1"/>
    <col min="11" max="11" width="17.42578125" style="25" bestFit="1" customWidth="1"/>
    <col min="12" max="12" width="17.5703125" style="25" bestFit="1" customWidth="1"/>
    <col min="13" max="13" width="17.42578125" style="25" bestFit="1" customWidth="1"/>
    <col min="14" max="14" width="18" style="25" customWidth="1"/>
    <col min="15" max="15" width="17.5703125" style="25" bestFit="1" customWidth="1"/>
    <col min="16" max="17" width="17.42578125" style="25" bestFit="1" customWidth="1"/>
    <col min="18" max="18" width="17.5703125" style="25" bestFit="1" customWidth="1"/>
    <col min="19" max="19" width="17.42578125" style="25" bestFit="1" customWidth="1"/>
    <col min="20" max="20" width="15.85546875" style="25" bestFit="1" customWidth="1"/>
    <col min="21" max="21" width="17.42578125" style="25" bestFit="1" customWidth="1"/>
    <col min="22" max="22" width="15.85546875" style="25" bestFit="1" customWidth="1"/>
    <col min="23" max="23" width="15.28515625" style="25" bestFit="1" customWidth="1"/>
    <col min="24" max="24" width="16.85546875" style="25" bestFit="1" customWidth="1"/>
    <col min="25" max="16384" width="9.140625" style="25"/>
  </cols>
  <sheetData>
    <row r="1" spans="1:24" x14ac:dyDescent="0.25">
      <c r="A1" s="35" t="s">
        <v>35</v>
      </c>
      <c r="B1" s="35" t="s">
        <v>36</v>
      </c>
      <c r="C1" s="35" t="s">
        <v>338</v>
      </c>
      <c r="D1" s="35" t="s">
        <v>454</v>
      </c>
      <c r="E1" s="37" t="s">
        <v>551</v>
      </c>
      <c r="F1" s="37" t="s">
        <v>555</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35" t="s">
        <v>88</v>
      </c>
      <c r="B2" s="35">
        <v>900</v>
      </c>
      <c r="C2" s="35" t="s">
        <v>455</v>
      </c>
      <c r="D2" s="35">
        <v>754</v>
      </c>
      <c r="E2" s="37" t="s">
        <v>524</v>
      </c>
      <c r="F2" s="37" t="s">
        <v>543</v>
      </c>
      <c r="G2" s="61">
        <v>390242.43</v>
      </c>
      <c r="H2" s="25">
        <v>385753.57</v>
      </c>
      <c r="I2" s="61">
        <v>364145.42</v>
      </c>
      <c r="J2" s="25">
        <v>285228.59999999998</v>
      </c>
      <c r="K2" s="25">
        <v>297687.19</v>
      </c>
      <c r="L2" s="25">
        <v>254097.85</v>
      </c>
      <c r="M2" s="25">
        <v>382064.65</v>
      </c>
      <c r="N2" s="25">
        <v>370915.78</v>
      </c>
      <c r="O2" s="25">
        <v>325633.96999999997</v>
      </c>
      <c r="P2" s="25">
        <v>386122.77</v>
      </c>
      <c r="Q2" s="25">
        <v>369291.38</v>
      </c>
      <c r="R2" s="25">
        <v>402489.34</v>
      </c>
      <c r="S2" s="25">
        <v>407242.17</v>
      </c>
      <c r="T2" s="25">
        <v>124497.91</v>
      </c>
      <c r="U2" s="25">
        <v>81499.73</v>
      </c>
      <c r="V2" s="25">
        <v>0</v>
      </c>
      <c r="W2" s="25">
        <v>0</v>
      </c>
      <c r="X2" s="25">
        <v>4168.75</v>
      </c>
    </row>
    <row r="3" spans="1:24" x14ac:dyDescent="0.25">
      <c r="A3" s="35" t="s">
        <v>89</v>
      </c>
      <c r="B3" s="35">
        <v>270</v>
      </c>
      <c r="C3" s="35" t="s">
        <v>453</v>
      </c>
      <c r="D3" s="35">
        <v>1723</v>
      </c>
      <c r="E3" s="35">
        <v>75</v>
      </c>
      <c r="F3" s="35">
        <v>2029</v>
      </c>
      <c r="G3" s="25">
        <v>171776</v>
      </c>
      <c r="H3" s="25">
        <v>154172</v>
      </c>
      <c r="I3" s="25">
        <v>103955</v>
      </c>
      <c r="J3" s="25">
        <v>57975</v>
      </c>
      <c r="K3" s="25">
        <v>166164</v>
      </c>
      <c r="L3" s="25">
        <v>151241</v>
      </c>
      <c r="M3" s="25">
        <v>142985</v>
      </c>
      <c r="N3" s="25">
        <v>152195</v>
      </c>
      <c r="O3" s="25">
        <v>159750</v>
      </c>
      <c r="P3" s="25">
        <v>151658</v>
      </c>
      <c r="Q3" s="25">
        <v>140756</v>
      </c>
      <c r="R3" s="25">
        <v>139264</v>
      </c>
      <c r="S3" s="25">
        <v>111723</v>
      </c>
      <c r="T3" s="25">
        <v>131249</v>
      </c>
      <c r="U3" s="25">
        <v>153090</v>
      </c>
      <c r="V3" s="25">
        <v>149301</v>
      </c>
      <c r="W3" s="25">
        <v>87372</v>
      </c>
      <c r="X3" s="25">
        <v>108380</v>
      </c>
    </row>
    <row r="4" spans="1:24" x14ac:dyDescent="0.25">
      <c r="A4" s="35" t="s">
        <v>90</v>
      </c>
      <c r="B4" s="35">
        <v>188</v>
      </c>
      <c r="C4" s="35"/>
      <c r="D4" s="35"/>
      <c r="E4" s="35"/>
      <c r="F4" s="35"/>
    </row>
    <row r="5" spans="1:24" x14ac:dyDescent="0.25">
      <c r="A5" s="35" t="s">
        <v>91</v>
      </c>
      <c r="B5" s="35">
        <v>370</v>
      </c>
      <c r="C5" s="35"/>
      <c r="D5" s="35"/>
      <c r="E5" s="35"/>
      <c r="F5" s="35"/>
    </row>
    <row r="6" spans="1:24" x14ac:dyDescent="0.25">
      <c r="A6" s="35" t="s">
        <v>92</v>
      </c>
      <c r="B6" s="35">
        <v>60</v>
      </c>
      <c r="C6" s="35"/>
      <c r="D6" s="35"/>
      <c r="E6" s="35"/>
      <c r="F6" s="35"/>
    </row>
    <row r="7" spans="1:24" x14ac:dyDescent="0.25">
      <c r="A7" s="35" t="s">
        <v>93</v>
      </c>
      <c r="B7" s="35">
        <v>298</v>
      </c>
      <c r="C7" s="35"/>
      <c r="D7" s="35"/>
      <c r="E7" s="35"/>
      <c r="F7" s="35"/>
    </row>
    <row r="8" spans="1:24" x14ac:dyDescent="0.25">
      <c r="A8" s="35" t="s">
        <v>94</v>
      </c>
      <c r="B8" s="35">
        <v>492</v>
      </c>
      <c r="C8" s="35"/>
      <c r="D8" s="35"/>
      <c r="E8" s="35"/>
      <c r="F8" s="35"/>
    </row>
    <row r="9" spans="1:24" x14ac:dyDescent="0.25">
      <c r="A9" s="35" t="s">
        <v>95</v>
      </c>
      <c r="B9" s="35">
        <v>430</v>
      </c>
      <c r="C9" s="35"/>
      <c r="D9" s="35"/>
      <c r="E9" s="35"/>
      <c r="F9" s="35"/>
    </row>
    <row r="10" spans="1:24" x14ac:dyDescent="0.25">
      <c r="A10" s="35" t="s">
        <v>96</v>
      </c>
      <c r="B10" s="35">
        <v>50</v>
      </c>
      <c r="C10" s="35"/>
      <c r="D10" s="35"/>
      <c r="E10" s="35"/>
      <c r="F10" s="35"/>
    </row>
    <row r="11" spans="1:24" x14ac:dyDescent="0.25">
      <c r="A11" s="310" t="s">
        <v>830</v>
      </c>
      <c r="B11" s="310">
        <v>130</v>
      </c>
      <c r="C11" s="310"/>
      <c r="D11" s="310"/>
      <c r="E11" s="310"/>
      <c r="F11" s="310"/>
    </row>
    <row r="12" spans="1:24" x14ac:dyDescent="0.25">
      <c r="A12" s="35" t="s">
        <v>37</v>
      </c>
      <c r="B12" s="35">
        <f>SUM(B2:B11)</f>
        <v>3188</v>
      </c>
      <c r="C12" s="35"/>
      <c r="D12" s="35"/>
      <c r="E12" s="35"/>
      <c r="F12" s="35"/>
      <c r="G12" s="25">
        <v>562068.43000000005</v>
      </c>
      <c r="H12" s="25">
        <v>539925.56999999995</v>
      </c>
      <c r="I12" s="25">
        <v>468100.42</v>
      </c>
      <c r="J12" s="25">
        <v>343203.6</v>
      </c>
      <c r="K12" s="25">
        <v>463851.19</v>
      </c>
      <c r="L12" s="25">
        <v>405338.85</v>
      </c>
      <c r="M12" s="25">
        <v>525049.65</v>
      </c>
      <c r="N12" s="25">
        <v>523110.78</v>
      </c>
      <c r="O12" s="25">
        <v>485383.97</v>
      </c>
      <c r="P12" s="25">
        <v>537780.77</v>
      </c>
      <c r="Q12" s="25">
        <v>510047.38</v>
      </c>
      <c r="R12" s="25">
        <v>541753.34</v>
      </c>
      <c r="S12" s="25">
        <v>518965.17</v>
      </c>
      <c r="T12" s="25">
        <v>255746.91</v>
      </c>
      <c r="U12" s="25">
        <v>234589.73</v>
      </c>
      <c r="V12" s="25">
        <v>149301</v>
      </c>
      <c r="W12" s="25">
        <v>87372</v>
      </c>
      <c r="X12" s="25">
        <v>112548.75</v>
      </c>
    </row>
    <row r="14" spans="1:24" ht="17.45" customHeight="1" x14ac:dyDescent="0.25">
      <c r="A14" s="34" t="s">
        <v>527</v>
      </c>
      <c r="S14" s="40">
        <f>(S2/G2)-1</f>
        <v>4.3561998114864053E-2</v>
      </c>
      <c r="T14" s="40">
        <f>(T2/H2)-1</f>
        <v>-0.6772605111600134</v>
      </c>
      <c r="U14" s="40">
        <f>(U2/I2)-1</f>
        <v>-0.77618905655877812</v>
      </c>
      <c r="V14" s="40">
        <f>(V2/J2)-1</f>
        <v>-1</v>
      </c>
      <c r="W14" s="40">
        <f t="shared" ref="W14:X14" si="0">(W2/K2)-1</f>
        <v>-1</v>
      </c>
      <c r="X14" s="40">
        <f t="shared" si="0"/>
        <v>-0.98359391864197199</v>
      </c>
    </row>
    <row r="15" spans="1:24" x14ac:dyDescent="0.25">
      <c r="A15" s="34" t="s">
        <v>528</v>
      </c>
      <c r="S15" s="40"/>
      <c r="T15" s="40">
        <f>(SUM(S2:T2)/SUM(G2:H2))-1</f>
        <v>-0.31476440600209288</v>
      </c>
      <c r="U15" s="40">
        <f>(SUM(S2:U2)/SUM(G2:I2))-1</f>
        <v>-0.46213706541772692</v>
      </c>
      <c r="V15" s="40">
        <f>(SUM(S2:V2)/SUM(G2:J2))-1</f>
        <v>-0.56976798908679172</v>
      </c>
      <c r="W15" s="40">
        <f>(SUM(S2:W2)/SUM(G2:K2))-1</f>
        <v>-0.64409782423881334</v>
      </c>
      <c r="X15" s="40">
        <f>(SUM(S2:X2)/SUM(G2:L2))-1</f>
        <v>-0.68772881172000755</v>
      </c>
    </row>
    <row r="16" spans="1:24" x14ac:dyDescent="0.25">
      <c r="A16" s="25" t="s">
        <v>536</v>
      </c>
      <c r="S16" s="40">
        <f>(S3/G3)-1</f>
        <v>-0.34960064269746649</v>
      </c>
      <c r="T16" s="40">
        <f>(T3/H3)-1</f>
        <v>-0.14868458604675294</v>
      </c>
      <c r="U16" s="40">
        <f>(U3/I3)-1</f>
        <v>0.47265643788177569</v>
      </c>
      <c r="V16" s="40">
        <f>(V3/J3)-1</f>
        <v>1.5752652005174643</v>
      </c>
      <c r="W16" s="40">
        <f t="shared" ref="W16:X16" si="1">(W3/K3)-1</f>
        <v>-0.47418213331407522</v>
      </c>
      <c r="X16" s="40">
        <f t="shared" si="1"/>
        <v>-0.2833953755925972</v>
      </c>
    </row>
    <row r="17" spans="1:24" x14ac:dyDescent="0.25">
      <c r="A17" s="25" t="s">
        <v>537</v>
      </c>
      <c r="S17" s="40"/>
      <c r="T17" s="40">
        <f>(SUM(S3:T3)/SUM(G3:H3))-1</f>
        <v>-0.2545682133346423</v>
      </c>
      <c r="U17" s="40">
        <f>(SUM(S3:U3)/SUM(G3:I3))-1</f>
        <v>-7.8717757261521748E-2</v>
      </c>
      <c r="V17" s="40">
        <f>(SUM(S3:V3)/SUM(G3:J3))-1</f>
        <v>0.11782658779448951</v>
      </c>
      <c r="W17" s="40">
        <f>(SUM(S3:W3)/SUM(G3:K3))-1</f>
        <v>-3.2577418575565509E-2</v>
      </c>
      <c r="X17" s="40">
        <f>(SUM(S3:X3)/SUM(G3:L3))-1</f>
        <v>-7.9683788183781301E-2</v>
      </c>
    </row>
    <row r="18" spans="1:24" x14ac:dyDescent="0.25">
      <c r="A18" s="25" t="s">
        <v>538</v>
      </c>
      <c r="S18" s="40">
        <f>(S12/G12)-1</f>
        <v>-7.6686854659316239E-2</v>
      </c>
      <c r="T18" s="40">
        <f>(T12/H12)-1</f>
        <v>-0.52632932350286721</v>
      </c>
      <c r="U18" s="40">
        <f>(U12/I12)-1</f>
        <v>-0.4988474267978652</v>
      </c>
      <c r="V18" s="40">
        <f>(V12/J12)-1</f>
        <v>-0.56497833938804831</v>
      </c>
      <c r="W18" s="40">
        <f t="shared" ref="W18" si="2">(W12/K12)-1</f>
        <v>-0.81163786601474497</v>
      </c>
      <c r="X18" s="40">
        <f>(X12/L12)-1</f>
        <v>-0.72233416559996655</v>
      </c>
    </row>
    <row r="19" spans="1:24" x14ac:dyDescent="0.25">
      <c r="A19" s="25" t="s">
        <v>539</v>
      </c>
      <c r="S19" s="40"/>
      <c r="T19" s="40">
        <f>(SUM(S12:T12)/SUM(G12:H12))-1</f>
        <v>-0.29699065512153433</v>
      </c>
      <c r="U19" s="40">
        <f>(SUM(S12:U12)/SUM(G12:I12))-1</f>
        <v>-0.35717126489755946</v>
      </c>
      <c r="V19" s="40">
        <f>(SUM(S12:V12)/SUM(G12:J12))-1</f>
        <v>-0.39444728532149942</v>
      </c>
      <c r="W19" s="40">
        <f>(SUM(S12:W12)/SUM(G12:K12))-1</f>
        <v>-0.47585334367799315</v>
      </c>
      <c r="X19" s="40">
        <f>(SUM(S12:X12)/SUM(G12:L12))-1</f>
        <v>-0.51175942871790792</v>
      </c>
    </row>
    <row r="21" spans="1:24" x14ac:dyDescent="0.25">
      <c r="A21" s="34" t="s">
        <v>661</v>
      </c>
      <c r="B21" s="25" t="s">
        <v>683</v>
      </c>
      <c r="C21" s="25" t="s">
        <v>684</v>
      </c>
      <c r="D21" s="25" t="s">
        <v>685</v>
      </c>
      <c r="E21" s="25" t="s">
        <v>686</v>
      </c>
      <c r="F21" s="25" t="s">
        <v>687</v>
      </c>
      <c r="G21" s="25" t="s">
        <v>484</v>
      </c>
      <c r="H21" s="25" t="s">
        <v>485</v>
      </c>
      <c r="I21" s="25" t="s">
        <v>486</v>
      </c>
      <c r="J21" s="25" t="s">
        <v>487</v>
      </c>
      <c r="K21" s="25" t="s">
        <v>488</v>
      </c>
      <c r="L21" s="25" t="s">
        <v>489</v>
      </c>
      <c r="M21" s="25" t="s">
        <v>490</v>
      </c>
      <c r="N21" s="25" t="s">
        <v>491</v>
      </c>
      <c r="O21" s="25" t="s">
        <v>492</v>
      </c>
      <c r="P21" s="25" t="s">
        <v>493</v>
      </c>
      <c r="Q21" s="25" t="s">
        <v>494</v>
      </c>
      <c r="R21" s="25" t="s">
        <v>495</v>
      </c>
      <c r="S21" s="25" t="s">
        <v>496</v>
      </c>
      <c r="T21" s="25" t="s">
        <v>497</v>
      </c>
      <c r="U21" s="25" t="s">
        <v>574</v>
      </c>
      <c r="V21" s="25" t="s">
        <v>731</v>
      </c>
      <c r="W21" s="25" t="s">
        <v>732</v>
      </c>
      <c r="X21" s="25" t="s">
        <v>733</v>
      </c>
    </row>
    <row r="22" spans="1:24" x14ac:dyDescent="0.25">
      <c r="A22" s="35" t="s">
        <v>88</v>
      </c>
      <c r="G22" s="107">
        <f>$G$31*G2</f>
        <v>27956967.685199998</v>
      </c>
      <c r="H22" s="107">
        <f>$H$31*H2</f>
        <v>26821445.722100001</v>
      </c>
      <c r="I22" s="107">
        <f>$I$31*I2</f>
        <v>21761330.299199998</v>
      </c>
      <c r="J22" s="107">
        <f>$J$31*J2</f>
        <v>18693882.444000002</v>
      </c>
      <c r="K22" s="107">
        <f>$K$31*K2</f>
        <v>19060910.775699999</v>
      </c>
      <c r="L22" s="107">
        <f>$L$31*L2</f>
        <v>14470872.557500001</v>
      </c>
      <c r="M22" s="107">
        <f>$M$31*M2</f>
        <v>28410327.374000002</v>
      </c>
      <c r="N22" s="107">
        <f>$N$31*N2</f>
        <v>26902521.523400001</v>
      </c>
      <c r="O22" s="107">
        <f>$O$31*O2</f>
        <v>21859808.406099997</v>
      </c>
      <c r="P22" s="107">
        <f>$P$31*P2</f>
        <v>25592217.195600003</v>
      </c>
      <c r="Q22" s="107">
        <f>$Q$31*Q2</f>
        <v>24664971.270200003</v>
      </c>
      <c r="R22" s="107">
        <f>$R$31*R2</f>
        <v>28415747.403999999</v>
      </c>
      <c r="S22" s="107">
        <f>$S$31*S2</f>
        <v>27692467.559999999</v>
      </c>
      <c r="T22" s="107">
        <f>$T$31*T2</f>
        <v>6124052.1929000001</v>
      </c>
      <c r="U22" s="107">
        <f>$U$31*U2</f>
        <v>3197234.4078999995</v>
      </c>
      <c r="V22" s="107">
        <f t="shared" ref="V22" si="3">$V$31*V2</f>
        <v>0</v>
      </c>
      <c r="W22" s="107">
        <f t="shared" ref="W22" si="4">$W$31*W2</f>
        <v>0</v>
      </c>
      <c r="X22" s="107">
        <f t="shared" ref="X22" si="5">$X$31*X2</f>
        <v>121227.25</v>
      </c>
    </row>
    <row r="23" spans="1:24" x14ac:dyDescent="0.25">
      <c r="A23" s="35" t="s">
        <v>89</v>
      </c>
      <c r="G23" s="107">
        <f t="shared" ref="G23:X23" si="6">$E$3*G3</f>
        <v>12883200</v>
      </c>
      <c r="H23" s="107">
        <f t="shared" si="6"/>
        <v>11562900</v>
      </c>
      <c r="I23" s="107">
        <f t="shared" si="6"/>
        <v>7796625</v>
      </c>
      <c r="J23" s="107">
        <f t="shared" si="6"/>
        <v>4348125</v>
      </c>
      <c r="K23" s="107">
        <f t="shared" si="6"/>
        <v>12462300</v>
      </c>
      <c r="L23" s="107">
        <f t="shared" si="6"/>
        <v>11343075</v>
      </c>
      <c r="M23" s="107">
        <f t="shared" si="6"/>
        <v>10723875</v>
      </c>
      <c r="N23" s="107">
        <f t="shared" si="6"/>
        <v>11414625</v>
      </c>
      <c r="O23" s="107">
        <f t="shared" si="6"/>
        <v>11981250</v>
      </c>
      <c r="P23" s="107">
        <f t="shared" si="6"/>
        <v>11374350</v>
      </c>
      <c r="Q23" s="107">
        <f t="shared" si="6"/>
        <v>10556700</v>
      </c>
      <c r="R23" s="107">
        <f t="shared" si="6"/>
        <v>10444800</v>
      </c>
      <c r="S23" s="107">
        <f t="shared" si="6"/>
        <v>8379225</v>
      </c>
      <c r="T23" s="107">
        <f t="shared" si="6"/>
        <v>9843675</v>
      </c>
      <c r="U23" s="107">
        <f t="shared" si="6"/>
        <v>11481750</v>
      </c>
      <c r="V23" s="107">
        <f t="shared" si="6"/>
        <v>11197575</v>
      </c>
      <c r="W23" s="107">
        <f t="shared" si="6"/>
        <v>6552900</v>
      </c>
      <c r="X23" s="107">
        <f t="shared" si="6"/>
        <v>8128500</v>
      </c>
    </row>
    <row r="24" spans="1:24" x14ac:dyDescent="0.25">
      <c r="A24" s="25" t="s">
        <v>37</v>
      </c>
      <c r="G24" s="107">
        <f>SUM(G22:G23)</f>
        <v>40840167.685199998</v>
      </c>
      <c r="H24" s="107">
        <f t="shared" ref="H24:X24" si="7">SUM(H22:H23)</f>
        <v>38384345.722100005</v>
      </c>
      <c r="I24" s="107">
        <f t="shared" si="7"/>
        <v>29557955.299199998</v>
      </c>
      <c r="J24" s="107">
        <f t="shared" si="7"/>
        <v>23042007.444000002</v>
      </c>
      <c r="K24" s="107">
        <f t="shared" si="7"/>
        <v>31523210.775699999</v>
      </c>
      <c r="L24" s="107">
        <f t="shared" si="7"/>
        <v>25813947.557500001</v>
      </c>
      <c r="M24" s="107">
        <f t="shared" si="7"/>
        <v>39134202.373999998</v>
      </c>
      <c r="N24" s="107">
        <f t="shared" si="7"/>
        <v>38317146.523400001</v>
      </c>
      <c r="O24" s="107">
        <f t="shared" si="7"/>
        <v>33841058.406099997</v>
      </c>
      <c r="P24" s="107">
        <f t="shared" si="7"/>
        <v>36966567.195600003</v>
      </c>
      <c r="Q24" s="107">
        <f t="shared" si="7"/>
        <v>35221671.270199999</v>
      </c>
      <c r="R24" s="107">
        <f t="shared" si="7"/>
        <v>38860547.403999999</v>
      </c>
      <c r="S24" s="107">
        <f t="shared" si="7"/>
        <v>36071692.560000002</v>
      </c>
      <c r="T24" s="107">
        <f t="shared" si="7"/>
        <v>15967727.1929</v>
      </c>
      <c r="U24" s="107">
        <f t="shared" si="7"/>
        <v>14678984.4079</v>
      </c>
      <c r="V24" s="107">
        <f t="shared" si="7"/>
        <v>11197575</v>
      </c>
      <c r="W24" s="107">
        <f t="shared" si="7"/>
        <v>6552900</v>
      </c>
      <c r="X24" s="107">
        <f t="shared" si="7"/>
        <v>8249727.25</v>
      </c>
    </row>
    <row r="26" spans="1:24" x14ac:dyDescent="0.25">
      <c r="A26" s="34" t="s">
        <v>682</v>
      </c>
      <c r="I26" s="107">
        <f>SUM(G24:I24)</f>
        <v>108782468.70649999</v>
      </c>
      <c r="J26" s="107"/>
      <c r="K26" s="107"/>
      <c r="L26" s="107">
        <f>SUM(J24:L24)</f>
        <v>80379165.777199998</v>
      </c>
      <c r="M26" s="107"/>
      <c r="N26" s="107"/>
      <c r="O26" s="107">
        <f>SUM(M24:O24)</f>
        <v>111292407.3035</v>
      </c>
      <c r="P26" s="107"/>
      <c r="Q26" s="107"/>
      <c r="R26" s="107">
        <f>SUM(P24:R24)</f>
        <v>111048785.8698</v>
      </c>
      <c r="S26" s="107"/>
      <c r="T26" s="107"/>
      <c r="U26" s="107">
        <f>SUM(S24:U24)</f>
        <v>66718404.160800003</v>
      </c>
      <c r="X26" s="107">
        <f>SUM(V24:X24)</f>
        <v>26000202.25</v>
      </c>
    </row>
    <row r="27" spans="1:24" x14ac:dyDescent="0.25">
      <c r="A27" s="34" t="s">
        <v>677</v>
      </c>
      <c r="L27" s="40">
        <f>(L26/I26)-1</f>
        <v>-0.26110184174927475</v>
      </c>
      <c r="M27" s="40"/>
      <c r="N27" s="40"/>
      <c r="O27" s="40">
        <f>(O26/L26)-1</f>
        <v>0.38459271413673601</v>
      </c>
      <c r="P27" s="40"/>
      <c r="Q27" s="40"/>
      <c r="R27" s="40">
        <f>(R26/O26)-1</f>
        <v>-2.1890211524998593E-3</v>
      </c>
      <c r="S27" s="40"/>
      <c r="T27" s="40"/>
      <c r="U27" s="40">
        <f>(U26/R26)-1</f>
        <v>-0.39919735602490503</v>
      </c>
      <c r="X27" s="40">
        <f>(X26/U26)-1</f>
        <v>-0.61029939823896051</v>
      </c>
    </row>
    <row r="28" spans="1:24" x14ac:dyDescent="0.25">
      <c r="A28" s="34" t="s">
        <v>678</v>
      </c>
      <c r="L28" s="40"/>
      <c r="M28" s="40"/>
      <c r="N28" s="40"/>
      <c r="O28" s="40"/>
      <c r="P28" s="40"/>
      <c r="Q28" s="40"/>
      <c r="R28" s="40"/>
      <c r="S28" s="40"/>
      <c r="T28" s="40"/>
      <c r="U28" s="40">
        <f>(U26/I26)-1</f>
        <v>-0.38668054738848345</v>
      </c>
      <c r="X28" s="40">
        <f>(X26/L26)-1</f>
        <v>-0.67653057855727206</v>
      </c>
    </row>
    <row r="30" spans="1:24" x14ac:dyDescent="0.25">
      <c r="A30" s="25" t="s">
        <v>576</v>
      </c>
      <c r="G30" s="25" t="s">
        <v>484</v>
      </c>
      <c r="H30" s="25" t="s">
        <v>485</v>
      </c>
      <c r="I30" s="25" t="s">
        <v>486</v>
      </c>
      <c r="J30" s="25" t="s">
        <v>487</v>
      </c>
      <c r="K30" s="25" t="s">
        <v>488</v>
      </c>
      <c r="L30" s="25" t="s">
        <v>489</v>
      </c>
      <c r="M30" s="25" t="s">
        <v>490</v>
      </c>
      <c r="N30" s="25" t="s">
        <v>491</v>
      </c>
      <c r="O30" s="25" t="s">
        <v>492</v>
      </c>
      <c r="P30" s="25" t="s">
        <v>493</v>
      </c>
      <c r="Q30" s="25" t="s">
        <v>494</v>
      </c>
      <c r="R30" s="25" t="s">
        <v>495</v>
      </c>
      <c r="S30" s="25" t="s">
        <v>496</v>
      </c>
      <c r="T30" s="25" t="s">
        <v>497</v>
      </c>
      <c r="U30" s="25" t="s">
        <v>574</v>
      </c>
      <c r="V30" s="25" t="s">
        <v>731</v>
      </c>
      <c r="W30" s="25" t="s">
        <v>732</v>
      </c>
      <c r="X30" s="25" t="s">
        <v>733</v>
      </c>
    </row>
    <row r="31" spans="1:24" x14ac:dyDescent="0.25">
      <c r="A31" s="25" t="s">
        <v>573</v>
      </c>
      <c r="G31" s="62">
        <f>PTF!B8</f>
        <v>71.64</v>
      </c>
      <c r="H31" s="62">
        <f>PTF!C8</f>
        <v>69.53</v>
      </c>
      <c r="I31" s="62">
        <f>PTF!D8</f>
        <v>59.76</v>
      </c>
      <c r="J31" s="62">
        <f>PTF!E8</f>
        <v>65.540000000000006</v>
      </c>
      <c r="K31" s="62">
        <f>PTF!F8</f>
        <v>64.03</v>
      </c>
      <c r="L31" s="62">
        <f>PTF!G8</f>
        <v>56.95</v>
      </c>
      <c r="M31" s="62">
        <f>PTF!H8</f>
        <v>74.36</v>
      </c>
      <c r="N31" s="62">
        <f>PTF!I8</f>
        <v>72.53</v>
      </c>
      <c r="O31" s="62">
        <f>PTF!J8</f>
        <v>67.13</v>
      </c>
      <c r="P31" s="62">
        <f>PTF!K8</f>
        <v>66.28</v>
      </c>
      <c r="Q31" s="62">
        <f>PTF!L8</f>
        <v>66.790000000000006</v>
      </c>
      <c r="R31" s="62">
        <f>PTF!M8</f>
        <v>70.599999999999994</v>
      </c>
      <c r="S31" s="62">
        <f>PTF!N8</f>
        <v>68</v>
      </c>
      <c r="T31" s="62">
        <f>PTF!O8</f>
        <v>49.19</v>
      </c>
      <c r="U31" s="62">
        <f>PTF!P8</f>
        <v>39.229999999999997</v>
      </c>
      <c r="V31" s="62">
        <f>PTF!Q8</f>
        <v>23.96</v>
      </c>
      <c r="W31" s="62">
        <f>PTF!R8</f>
        <v>17.57</v>
      </c>
      <c r="X31" s="62">
        <f>PTF!S8</f>
        <v>29.08</v>
      </c>
    </row>
    <row r="33" spans="1:24" x14ac:dyDescent="0.25">
      <c r="A33" s="34" t="s">
        <v>680</v>
      </c>
      <c r="B33" s="25" t="s">
        <v>683</v>
      </c>
      <c r="C33" s="25" t="s">
        <v>684</v>
      </c>
      <c r="D33" s="25" t="s">
        <v>685</v>
      </c>
      <c r="E33" s="25" t="s">
        <v>686</v>
      </c>
      <c r="F33" s="25" t="s">
        <v>687</v>
      </c>
      <c r="G33" s="25" t="s">
        <v>484</v>
      </c>
      <c r="H33" s="25" t="s">
        <v>485</v>
      </c>
      <c r="I33" s="25" t="s">
        <v>486</v>
      </c>
      <c r="J33" s="25" t="s">
        <v>487</v>
      </c>
      <c r="K33" s="25" t="s">
        <v>488</v>
      </c>
      <c r="L33" s="25" t="s">
        <v>489</v>
      </c>
      <c r="M33" s="25" t="s">
        <v>490</v>
      </c>
      <c r="N33" s="25" t="s">
        <v>491</v>
      </c>
      <c r="O33" s="25" t="s">
        <v>492</v>
      </c>
      <c r="P33" s="25" t="s">
        <v>493</v>
      </c>
      <c r="Q33" s="25" t="s">
        <v>494</v>
      </c>
      <c r="R33" s="25" t="s">
        <v>495</v>
      </c>
      <c r="S33" s="25" t="s">
        <v>496</v>
      </c>
      <c r="T33" s="25" t="s">
        <v>497</v>
      </c>
      <c r="U33" s="25" t="s">
        <v>574</v>
      </c>
      <c r="V33" s="25" t="s">
        <v>731</v>
      </c>
      <c r="W33" s="25" t="s">
        <v>732</v>
      </c>
      <c r="X33" s="25" t="s">
        <v>733</v>
      </c>
    </row>
    <row r="34" spans="1:24" x14ac:dyDescent="0.25">
      <c r="A34" s="35" t="s">
        <v>88</v>
      </c>
      <c r="G34" s="107">
        <f>$G$43*G22</f>
        <v>991913213.47089589</v>
      </c>
      <c r="H34" s="107">
        <f>$H$43*H22</f>
        <v>968790619.482252</v>
      </c>
      <c r="I34" s="107">
        <f>I22*$I$43</f>
        <v>806039674.28236794</v>
      </c>
      <c r="J34" s="107">
        <f>J22*$J$43</f>
        <v>711302226.99419999</v>
      </c>
      <c r="K34" s="107">
        <f>K22*$K$43</f>
        <v>738038465.23510396</v>
      </c>
      <c r="L34" s="107">
        <f>L22*$L$43</f>
        <v>569718252.58877504</v>
      </c>
      <c r="M34" s="107">
        <f>M22*$M$43</f>
        <v>1140390540.7923601</v>
      </c>
      <c r="N34" s="107">
        <f>N22*$N$43</f>
        <v>1096277752.0785501</v>
      </c>
      <c r="O34" s="107">
        <f>O22*$O$43</f>
        <v>901498498.66756392</v>
      </c>
      <c r="P34" s="107">
        <f>P22*$P$43</f>
        <v>1068475067.9163002</v>
      </c>
      <c r="Q34" s="107">
        <f>Q22*$Q$43</f>
        <v>1040861787.6024402</v>
      </c>
      <c r="R34" s="107">
        <f>R22*$R$43</f>
        <v>1210794996.8844399</v>
      </c>
      <c r="S34" s="107">
        <f>S22*$S$43</f>
        <v>1194653050.5383999</v>
      </c>
      <c r="T34" s="107">
        <f>T22*$T$43</f>
        <v>267069916.13236901</v>
      </c>
      <c r="U34" s="107">
        <f>U22*$U$43</f>
        <v>140998037.38838997</v>
      </c>
      <c r="V34" s="107">
        <f t="shared" ref="V34" si="8">V22*$V$43</f>
        <v>0</v>
      </c>
      <c r="W34" s="107">
        <f t="shared" ref="W34" si="9">W22*$W$43</f>
        <v>0</v>
      </c>
      <c r="X34" s="107">
        <f t="shared" ref="X34" si="10">X22*$X$43</f>
        <v>5597062.1325000003</v>
      </c>
    </row>
    <row r="35" spans="1:24" x14ac:dyDescent="0.25">
      <c r="A35" s="35" t="s">
        <v>89</v>
      </c>
      <c r="G35" s="107">
        <f>$G$43*G23</f>
        <v>457095935.99999994</v>
      </c>
      <c r="H35" s="107">
        <f>$H$43*H23</f>
        <v>417651948</v>
      </c>
      <c r="I35" s="107">
        <f>I23*$I$43</f>
        <v>288786990</v>
      </c>
      <c r="J35" s="107">
        <f>J23*$J$43</f>
        <v>165446156.25</v>
      </c>
      <c r="K35" s="107">
        <f>K23*$K$43</f>
        <v>482540256</v>
      </c>
      <c r="L35" s="107">
        <f>L23*$L$43</f>
        <v>446576862.75</v>
      </c>
      <c r="M35" s="107">
        <f>M23*$M$43</f>
        <v>430456342.5</v>
      </c>
      <c r="N35" s="107">
        <f>N23*$N$43</f>
        <v>465145968.75</v>
      </c>
      <c r="O35" s="107">
        <f>O23*$O$43</f>
        <v>494106750</v>
      </c>
      <c r="P35" s="107">
        <f>P23*$P$43</f>
        <v>474879112.5</v>
      </c>
      <c r="Q35" s="107">
        <f>Q23*$Q$43</f>
        <v>445492740.00000006</v>
      </c>
      <c r="R35" s="107">
        <f>R23*$R$43</f>
        <v>445052928</v>
      </c>
      <c r="S35" s="107">
        <f>S23*$S$43</f>
        <v>361479766.5</v>
      </c>
      <c r="T35" s="107">
        <f>T23*$T$43</f>
        <v>429282666.75</v>
      </c>
      <c r="U35" s="107">
        <f>U23*$U$43</f>
        <v>506345175</v>
      </c>
      <c r="V35" s="107">
        <f t="shared" ref="V35:X35" si="11">V23*$U$43</f>
        <v>493813057.5</v>
      </c>
      <c r="W35" s="107">
        <f t="shared" si="11"/>
        <v>288982890</v>
      </c>
      <c r="X35" s="107">
        <f t="shared" si="11"/>
        <v>358466850</v>
      </c>
    </row>
    <row r="36" spans="1:24" x14ac:dyDescent="0.25">
      <c r="A36" s="25" t="s">
        <v>37</v>
      </c>
      <c r="G36" s="107">
        <f>SUM(G34:G35)</f>
        <v>1449009149.4708958</v>
      </c>
      <c r="H36" s="107">
        <f t="shared" ref="H36:X36" si="12">SUM(H34:H35)</f>
        <v>1386442567.4822521</v>
      </c>
      <c r="I36" s="107">
        <f t="shared" si="12"/>
        <v>1094826664.2823679</v>
      </c>
      <c r="J36" s="107">
        <f t="shared" si="12"/>
        <v>876748383.24419999</v>
      </c>
      <c r="K36" s="107">
        <f t="shared" si="12"/>
        <v>1220578721.2351041</v>
      </c>
      <c r="L36" s="107">
        <f t="shared" si="12"/>
        <v>1016295115.338775</v>
      </c>
      <c r="M36" s="107">
        <f t="shared" si="12"/>
        <v>1570846883.2923601</v>
      </c>
      <c r="N36" s="107">
        <f t="shared" si="12"/>
        <v>1561423720.8285501</v>
      </c>
      <c r="O36" s="107">
        <f t="shared" si="12"/>
        <v>1395605248.6675639</v>
      </c>
      <c r="P36" s="107">
        <f t="shared" si="12"/>
        <v>1543354180.4163003</v>
      </c>
      <c r="Q36" s="107">
        <f t="shared" si="12"/>
        <v>1486354527.6024404</v>
      </c>
      <c r="R36" s="107">
        <f t="shared" si="12"/>
        <v>1655847924.8844399</v>
      </c>
      <c r="S36" s="107">
        <f t="shared" si="12"/>
        <v>1556132817.0383999</v>
      </c>
      <c r="T36" s="107">
        <f t="shared" si="12"/>
        <v>696352582.88236904</v>
      </c>
      <c r="U36" s="107">
        <f t="shared" si="12"/>
        <v>647343212.38838995</v>
      </c>
      <c r="V36" s="107">
        <f t="shared" si="12"/>
        <v>493813057.5</v>
      </c>
      <c r="W36" s="107">
        <f t="shared" si="12"/>
        <v>288982890</v>
      </c>
      <c r="X36" s="107">
        <f t="shared" si="12"/>
        <v>364063912.13249999</v>
      </c>
    </row>
    <row r="38" spans="1:24" x14ac:dyDescent="0.25">
      <c r="A38" s="34" t="s">
        <v>676</v>
      </c>
      <c r="I38" s="107">
        <f>SUM(G36:I36)</f>
        <v>3930278381.2355156</v>
      </c>
      <c r="J38" s="107"/>
      <c r="K38" s="107"/>
      <c r="L38" s="107">
        <f>SUM(J36:L36)</f>
        <v>3113622219.818079</v>
      </c>
      <c r="M38" s="107"/>
      <c r="N38" s="107"/>
      <c r="O38" s="107">
        <f>SUM(M36:O36)</f>
        <v>4527875852.7884741</v>
      </c>
      <c r="P38" s="107"/>
      <c r="Q38" s="107"/>
      <c r="R38" s="107">
        <f>SUM(P36:R36)</f>
        <v>4685556632.9031811</v>
      </c>
      <c r="S38" s="107"/>
      <c r="T38" s="107"/>
      <c r="U38" s="107">
        <f>SUM(S36:U36)</f>
        <v>2899828612.3091588</v>
      </c>
      <c r="X38" s="107">
        <f>SUM(V36:X36)</f>
        <v>1146859859.6324999</v>
      </c>
    </row>
    <row r="39" spans="1:24" x14ac:dyDescent="0.25">
      <c r="A39" s="34" t="s">
        <v>677</v>
      </c>
      <c r="L39" s="40">
        <f>(L38/I38)-1</f>
        <v>-0.20778583148624552</v>
      </c>
      <c r="M39" s="40"/>
      <c r="N39" s="40"/>
      <c r="O39" s="40">
        <f>(O38/L38)-1</f>
        <v>0.45421490891500205</v>
      </c>
      <c r="P39" s="40"/>
      <c r="Q39" s="40"/>
      <c r="R39" s="40">
        <f>(R38/O38)-1</f>
        <v>3.4824448646841644E-2</v>
      </c>
      <c r="S39" s="40"/>
      <c r="T39" s="40"/>
      <c r="U39" s="40">
        <f>(U38/R38)-1</f>
        <v>-0.38111331491634992</v>
      </c>
      <c r="X39" s="40">
        <f>(X38/U38)-1</f>
        <v>-0.60450770960589795</v>
      </c>
    </row>
    <row r="40" spans="1:24" x14ac:dyDescent="0.25">
      <c r="A40" s="34" t="s">
        <v>678</v>
      </c>
      <c r="L40" s="40"/>
      <c r="M40" s="40"/>
      <c r="N40" s="40"/>
      <c r="O40" s="40"/>
      <c r="P40" s="40"/>
      <c r="Q40" s="40"/>
      <c r="R40" s="40"/>
      <c r="S40" s="40"/>
      <c r="T40" s="40"/>
      <c r="U40" s="40">
        <f>(U38/I38)-1</f>
        <v>-0.2621823873459127</v>
      </c>
      <c r="X40" s="40">
        <f>(X38/L38)-1</f>
        <v>-0.63166377335927804</v>
      </c>
    </row>
    <row r="42" spans="1:24" x14ac:dyDescent="0.25">
      <c r="A42" s="25" t="s">
        <v>578</v>
      </c>
      <c r="G42" s="25" t="s">
        <v>484</v>
      </c>
      <c r="H42" s="25" t="s">
        <v>485</v>
      </c>
      <c r="I42" s="25" t="s">
        <v>486</v>
      </c>
      <c r="J42" s="25" t="s">
        <v>487</v>
      </c>
      <c r="K42" s="25" t="s">
        <v>488</v>
      </c>
      <c r="L42" s="25" t="s">
        <v>489</v>
      </c>
      <c r="M42" s="25" t="s">
        <v>490</v>
      </c>
      <c r="N42" s="25" t="s">
        <v>491</v>
      </c>
      <c r="O42" s="25" t="s">
        <v>492</v>
      </c>
      <c r="P42" s="25" t="s">
        <v>493</v>
      </c>
      <c r="Q42" s="25" t="s">
        <v>494</v>
      </c>
      <c r="R42" s="25" t="s">
        <v>495</v>
      </c>
      <c r="S42" s="25" t="s">
        <v>496</v>
      </c>
      <c r="T42" s="25" t="s">
        <v>497</v>
      </c>
      <c r="U42" s="25" t="s">
        <v>574</v>
      </c>
      <c r="V42" s="25" t="s">
        <v>731</v>
      </c>
      <c r="W42" s="25" t="s">
        <v>732</v>
      </c>
      <c r="X42" s="25" t="s">
        <v>733</v>
      </c>
    </row>
    <row r="43" spans="1:24" x14ac:dyDescent="0.25">
      <c r="A43" s="25" t="s">
        <v>576</v>
      </c>
      <c r="G43" s="62" t="str">
        <f>PTF!B5</f>
        <v>35,48</v>
      </c>
      <c r="H43" s="62">
        <f>PTF!C5</f>
        <v>36.119999999999997</v>
      </c>
      <c r="I43" s="62">
        <f>PTF!D5</f>
        <v>37.04</v>
      </c>
      <c r="J43" s="62">
        <f>PTF!E5</f>
        <v>38.049999999999997</v>
      </c>
      <c r="K43" s="62">
        <f>PTF!F5</f>
        <v>38.72</v>
      </c>
      <c r="L43" s="62">
        <f>PTF!G5</f>
        <v>39.369999999999997</v>
      </c>
      <c r="M43" s="62">
        <f>PTF!H5</f>
        <v>40.14</v>
      </c>
      <c r="N43" s="62">
        <f>PTF!I5</f>
        <v>40.75</v>
      </c>
      <c r="O43" s="62">
        <f>PTF!J5</f>
        <v>41.24</v>
      </c>
      <c r="P43" s="62">
        <f>PTF!K5</f>
        <v>41.75</v>
      </c>
      <c r="Q43" s="62">
        <f>PTF!L5</f>
        <v>42.2</v>
      </c>
      <c r="R43" s="62">
        <f>PTF!M5</f>
        <v>42.61</v>
      </c>
      <c r="S43" s="62">
        <f>PTF!N5</f>
        <v>43.14</v>
      </c>
      <c r="T43" s="62">
        <f>PTF!O5</f>
        <v>43.61</v>
      </c>
      <c r="U43" s="62">
        <f>PTF!P5</f>
        <v>44.1</v>
      </c>
      <c r="V43" s="62">
        <f>PTF!Q5</f>
        <v>44.68</v>
      </c>
      <c r="W43" s="62">
        <f>PTF!R5</f>
        <v>45.36</v>
      </c>
      <c r="X43" s="62">
        <f>PTF!S5</f>
        <v>46.17</v>
      </c>
    </row>
    <row r="60" spans="1:14" x14ac:dyDescent="0.25">
      <c r="A60" s="33" t="s">
        <v>44</v>
      </c>
      <c r="N60" s="33" t="s">
        <v>104</v>
      </c>
    </row>
    <row r="61" spans="1:14" x14ac:dyDescent="0.25">
      <c r="A61" s="25" t="s">
        <v>97</v>
      </c>
      <c r="N61" s="25" t="s">
        <v>105</v>
      </c>
    </row>
    <row r="62" spans="1:14" x14ac:dyDescent="0.25">
      <c r="A62" s="25" t="s">
        <v>98</v>
      </c>
      <c r="N62" s="25" t="s">
        <v>106</v>
      </c>
    </row>
    <row r="63" spans="1:14" x14ac:dyDescent="0.25">
      <c r="A63" s="25" t="s">
        <v>99</v>
      </c>
    </row>
    <row r="64" spans="1:14" x14ac:dyDescent="0.25">
      <c r="A64" s="25" t="s">
        <v>100</v>
      </c>
    </row>
    <row r="65" spans="1:1" x14ac:dyDescent="0.25">
      <c r="A65" s="25" t="s">
        <v>101</v>
      </c>
    </row>
    <row r="66" spans="1:1" x14ac:dyDescent="0.25">
      <c r="A66" s="25" t="s">
        <v>102</v>
      </c>
    </row>
    <row r="67" spans="1:1" x14ac:dyDescent="0.25">
      <c r="A67" s="25" t="s">
        <v>103</v>
      </c>
    </row>
    <row r="68" spans="1:1" x14ac:dyDescent="0.25">
      <c r="A68" s="25" t="s">
        <v>107</v>
      </c>
    </row>
    <row r="69" spans="1:1" x14ac:dyDescent="0.25">
      <c r="A69" s="25" t="s">
        <v>108</v>
      </c>
    </row>
    <row r="70" spans="1:1" x14ac:dyDescent="0.25">
      <c r="A70" s="25" t="s">
        <v>109</v>
      </c>
    </row>
    <row r="71" spans="1:1" x14ac:dyDescent="0.25">
      <c r="A71" s="25" t="s">
        <v>110</v>
      </c>
    </row>
  </sheetData>
  <phoneticPr fontId="48" type="noConversion"/>
  <conditionalFormatting sqref="L27:U28">
    <cfRule type="colorScale" priority="14">
      <colorScale>
        <cfvo type="min"/>
        <cfvo type="percentile" val="50"/>
        <cfvo type="max"/>
        <color rgb="FFF8696B"/>
        <color rgb="FFFFEB84"/>
        <color rgb="FF63BE7B"/>
      </colorScale>
    </cfRule>
  </conditionalFormatting>
  <conditionalFormatting sqref="L39:U40">
    <cfRule type="colorScale" priority="13">
      <colorScale>
        <cfvo type="min"/>
        <cfvo type="percentile" val="50"/>
        <cfvo type="max"/>
        <color rgb="FFF8696B"/>
        <color rgb="FFFFEB84"/>
        <color rgb="FF63BE7B"/>
      </colorScale>
    </cfRule>
  </conditionalFormatting>
  <conditionalFormatting sqref="L27:X28">
    <cfRule type="colorScale" priority="1">
      <colorScale>
        <cfvo type="min"/>
        <cfvo type="percentile" val="50"/>
        <cfvo type="max"/>
        <color rgb="FFF8696B"/>
        <color rgb="FFFFEB84"/>
        <color rgb="FF63BE7B"/>
      </colorScale>
    </cfRule>
  </conditionalFormatting>
  <conditionalFormatting sqref="S14:U19">
    <cfRule type="colorScale" priority="15">
      <colorScale>
        <cfvo type="min"/>
        <cfvo type="percentile" val="50"/>
        <cfvo type="max"/>
        <color rgb="FFF8696B"/>
        <color rgb="FFFFEB84"/>
        <color rgb="FF63BE7B"/>
      </colorScale>
    </cfRule>
  </conditionalFormatting>
  <conditionalFormatting sqref="S14:X19">
    <cfRule type="colorScale" priority="6">
      <colorScale>
        <cfvo type="min"/>
        <cfvo type="percentile" val="50"/>
        <cfvo type="max"/>
        <color rgb="FFF8696B"/>
        <color rgb="FFFFEB84"/>
        <color rgb="FF63BE7B"/>
      </colorScale>
    </cfRule>
  </conditionalFormatting>
  <conditionalFormatting sqref="V14:X14">
    <cfRule type="colorScale" priority="12">
      <colorScale>
        <cfvo type="min"/>
        <cfvo type="percentile" val="50"/>
        <cfvo type="max"/>
        <color rgb="FFF8696B"/>
        <color rgb="FFFFEB84"/>
        <color rgb="FF63BE7B"/>
      </colorScale>
    </cfRule>
  </conditionalFormatting>
  <conditionalFormatting sqref="V15:X15">
    <cfRule type="colorScale" priority="9">
      <colorScale>
        <cfvo type="min"/>
        <cfvo type="percentile" val="50"/>
        <cfvo type="max"/>
        <color rgb="FFF8696B"/>
        <color rgb="FFFFEB84"/>
        <color rgb="FF63BE7B"/>
      </colorScale>
    </cfRule>
  </conditionalFormatting>
  <conditionalFormatting sqref="V16:X16">
    <cfRule type="colorScale" priority="11">
      <colorScale>
        <cfvo type="min"/>
        <cfvo type="percentile" val="50"/>
        <cfvo type="max"/>
        <color rgb="FFF8696B"/>
        <color rgb="FFFFEB84"/>
        <color rgb="FF63BE7B"/>
      </colorScale>
    </cfRule>
  </conditionalFormatting>
  <conditionalFormatting sqref="V17:X17">
    <cfRule type="colorScale" priority="8">
      <colorScale>
        <cfvo type="min"/>
        <cfvo type="percentile" val="50"/>
        <cfvo type="max"/>
        <color rgb="FFF8696B"/>
        <color rgb="FFFFEB84"/>
        <color rgb="FF63BE7B"/>
      </colorScale>
    </cfRule>
  </conditionalFormatting>
  <conditionalFormatting sqref="V18:X18">
    <cfRule type="colorScale" priority="10">
      <colorScale>
        <cfvo type="min"/>
        <cfvo type="percentile" val="50"/>
        <cfvo type="max"/>
        <color rgb="FFF8696B"/>
        <color rgb="FFFFEB84"/>
        <color rgb="FF63BE7B"/>
      </colorScale>
    </cfRule>
  </conditionalFormatting>
  <conditionalFormatting sqref="V19:X19">
    <cfRule type="colorScale" priority="7">
      <colorScale>
        <cfvo type="min"/>
        <cfvo type="percentile" val="50"/>
        <cfvo type="max"/>
        <color rgb="FFF8696B"/>
        <color rgb="FFFFEB84"/>
        <color rgb="FF63BE7B"/>
      </colorScale>
    </cfRule>
  </conditionalFormatting>
  <conditionalFormatting sqref="X27">
    <cfRule type="colorScale" priority="3">
      <colorScale>
        <cfvo type="min"/>
        <cfvo type="percentile" val="50"/>
        <cfvo type="max"/>
        <color rgb="FFF8696B"/>
        <color rgb="FFFFEB84"/>
        <color rgb="FF63BE7B"/>
      </colorScale>
    </cfRule>
  </conditionalFormatting>
  <conditionalFormatting sqref="X28">
    <cfRule type="colorScale" priority="2">
      <colorScale>
        <cfvo type="min"/>
        <cfvo type="percentile" val="50"/>
        <cfvo type="max"/>
        <color rgb="FFF8696B"/>
        <color rgb="FFFFEB84"/>
        <color rgb="FF63BE7B"/>
      </colorScale>
    </cfRule>
  </conditionalFormatting>
  <conditionalFormatting sqref="X39">
    <cfRule type="colorScale" priority="5">
      <colorScale>
        <cfvo type="min"/>
        <cfvo type="percentile" val="50"/>
        <cfvo type="max"/>
        <color rgb="FFF8696B"/>
        <color rgb="FFFFEB84"/>
        <color rgb="FF63BE7B"/>
      </colorScale>
    </cfRule>
  </conditionalFormatting>
  <conditionalFormatting sqref="X40">
    <cfRule type="colorScale" priority="4">
      <colorScale>
        <cfvo type="min"/>
        <cfvo type="percentile" val="50"/>
        <cfvo type="max"/>
        <color rgb="FFF8696B"/>
        <color rgb="FFFFEB84"/>
        <color rgb="FF63BE7B"/>
      </colorScale>
    </cfRule>
  </conditionalFormatting>
  <pageMargins left="0.7" right="0.7" top="0.75" bottom="0.75" header="0.3" footer="0.3"/>
  <legacyDrawing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1467F-D2FD-4908-BF21-0E87EE2305AB}">
  <dimension ref="A1:X46"/>
  <sheetViews>
    <sheetView zoomScale="85" zoomScaleNormal="85" workbookViewId="0">
      <selection activeCell="B8" sqref="B8"/>
    </sheetView>
  </sheetViews>
  <sheetFormatPr defaultColWidth="9.140625" defaultRowHeight="15" x14ac:dyDescent="0.25"/>
  <cols>
    <col min="1" max="1" width="48.42578125" style="25" customWidth="1"/>
    <col min="2" max="2" width="12.140625" style="25" customWidth="1"/>
    <col min="3" max="3" width="18.5703125" style="25" customWidth="1"/>
    <col min="4" max="4" width="12" style="25" customWidth="1"/>
    <col min="5" max="5" width="12.140625" style="25" customWidth="1"/>
    <col min="6" max="6" width="14.85546875" style="25" customWidth="1"/>
    <col min="7" max="7" width="14.28515625" style="25" bestFit="1" customWidth="1"/>
    <col min="8" max="8" width="13.28515625" style="25" bestFit="1" customWidth="1"/>
    <col min="9" max="9" width="14.28515625" style="25" bestFit="1" customWidth="1"/>
    <col min="10" max="11" width="13.28515625" style="25" bestFit="1" customWidth="1"/>
    <col min="12" max="12" width="13.42578125" style="25" bestFit="1" customWidth="1"/>
    <col min="13" max="14" width="13.28515625" style="25" bestFit="1" customWidth="1"/>
    <col min="15" max="15" width="14.28515625" style="25" bestFit="1" customWidth="1"/>
    <col min="16" max="17" width="13.28515625" style="25" bestFit="1" customWidth="1"/>
    <col min="18" max="18" width="13.42578125" style="25" bestFit="1" customWidth="1"/>
    <col min="19" max="19" width="13.28515625" style="25" bestFit="1" customWidth="1"/>
    <col min="20" max="20" width="14.28515625" style="25" bestFit="1" customWidth="1"/>
    <col min="21" max="21" width="14.42578125" style="25" bestFit="1" customWidth="1"/>
    <col min="22" max="22" width="14.28515625" style="25" bestFit="1" customWidth="1"/>
    <col min="23" max="23" width="13.28515625" style="25" bestFit="1" customWidth="1"/>
    <col min="24" max="24" width="14.28515625" style="25" bestFit="1" customWidth="1"/>
    <col min="25" max="16384" width="9.140625" style="25"/>
  </cols>
  <sheetData>
    <row r="1" spans="1:24" x14ac:dyDescent="0.25">
      <c r="A1" s="35" t="s">
        <v>35</v>
      </c>
      <c r="B1" s="35" t="s">
        <v>111</v>
      </c>
      <c r="C1" s="35" t="s">
        <v>338</v>
      </c>
      <c r="D1" s="35" t="s">
        <v>454</v>
      </c>
      <c r="E1" s="37" t="s">
        <v>556</v>
      </c>
      <c r="F1" s="37" t="s">
        <v>552</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675</v>
      </c>
      <c r="V1" s="25" t="s">
        <v>731</v>
      </c>
      <c r="W1" s="25" t="s">
        <v>732</v>
      </c>
      <c r="X1" s="25" t="s">
        <v>733</v>
      </c>
    </row>
    <row r="2" spans="1:24" x14ac:dyDescent="0.25">
      <c r="A2" s="35" t="s">
        <v>299</v>
      </c>
      <c r="B2" s="35">
        <v>13</v>
      </c>
      <c r="C2" s="35" t="s">
        <v>447</v>
      </c>
      <c r="D2" s="35">
        <v>1582</v>
      </c>
      <c r="E2" s="64" t="s">
        <v>579</v>
      </c>
      <c r="F2" s="35"/>
      <c r="G2" s="25">
        <v>1105.1300000000001</v>
      </c>
      <c r="H2" s="25">
        <v>452.19</v>
      </c>
      <c r="I2" s="25">
        <v>819.03</v>
      </c>
      <c r="J2" s="25">
        <v>3961.05</v>
      </c>
      <c r="K2" s="25">
        <v>1657.1</v>
      </c>
      <c r="L2" s="25">
        <v>127.03</v>
      </c>
      <c r="M2" s="25">
        <v>0</v>
      </c>
      <c r="N2" s="25">
        <v>0</v>
      </c>
      <c r="O2" s="25">
        <v>0</v>
      </c>
      <c r="P2" s="25">
        <v>52.4</v>
      </c>
      <c r="Q2" s="25">
        <v>89.48</v>
      </c>
      <c r="R2" s="25">
        <v>241.81</v>
      </c>
      <c r="S2" s="25">
        <v>986.16</v>
      </c>
      <c r="T2" s="25">
        <v>6449.23</v>
      </c>
      <c r="U2" s="25">
        <v>3355.88</v>
      </c>
      <c r="V2" s="25">
        <v>8004.47</v>
      </c>
      <c r="W2" s="25">
        <v>2156.0300000000002</v>
      </c>
      <c r="X2" s="25">
        <v>659.26</v>
      </c>
    </row>
    <row r="3" spans="1:24" x14ac:dyDescent="0.25">
      <c r="A3" s="37" t="s">
        <v>557</v>
      </c>
      <c r="B3" s="35">
        <v>1.1200000000000001</v>
      </c>
      <c r="C3" s="35"/>
      <c r="D3" s="35"/>
      <c r="E3" s="35">
        <v>133</v>
      </c>
      <c r="F3" s="308">
        <v>45312</v>
      </c>
    </row>
    <row r="4" spans="1:24" x14ac:dyDescent="0.25">
      <c r="A4" s="37" t="s">
        <v>558</v>
      </c>
      <c r="B4" s="35">
        <v>1</v>
      </c>
      <c r="C4" s="35"/>
      <c r="D4" s="35"/>
      <c r="E4" s="35">
        <v>133</v>
      </c>
      <c r="F4" s="309">
        <v>46140</v>
      </c>
    </row>
    <row r="5" spans="1:24" x14ac:dyDescent="0.25">
      <c r="A5" s="37" t="s">
        <v>559</v>
      </c>
      <c r="B5" s="35">
        <v>1</v>
      </c>
      <c r="C5" s="35"/>
      <c r="D5" s="35"/>
      <c r="E5" s="35">
        <v>133</v>
      </c>
      <c r="F5" s="308">
        <v>46140</v>
      </c>
    </row>
    <row r="6" spans="1:24" x14ac:dyDescent="0.25">
      <c r="A6" s="37" t="s">
        <v>560</v>
      </c>
      <c r="B6" s="35">
        <v>1</v>
      </c>
      <c r="C6" s="35"/>
      <c r="D6" s="35"/>
      <c r="E6" s="35">
        <v>133</v>
      </c>
      <c r="F6" s="308">
        <v>46441</v>
      </c>
    </row>
    <row r="7" spans="1:24" x14ac:dyDescent="0.25">
      <c r="A7" s="37" t="s">
        <v>561</v>
      </c>
      <c r="B7" s="35">
        <v>2.39</v>
      </c>
      <c r="C7" s="35"/>
      <c r="D7" s="35"/>
      <c r="E7" s="35">
        <v>133</v>
      </c>
      <c r="F7" s="308">
        <v>46441</v>
      </c>
    </row>
    <row r="8" spans="1:24" x14ac:dyDescent="0.25">
      <c r="A8" s="35" t="s">
        <v>302</v>
      </c>
      <c r="B8" s="35">
        <f>SUM(B2:B7)</f>
        <v>19.510000000000002</v>
      </c>
      <c r="C8" s="35"/>
      <c r="D8" s="35"/>
      <c r="E8" s="35"/>
      <c r="F8" s="35"/>
      <c r="G8" s="25">
        <v>1105.1300000000001</v>
      </c>
      <c r="H8" s="25">
        <v>452.19</v>
      </c>
      <c r="I8" s="25">
        <v>819.03</v>
      </c>
      <c r="J8" s="25">
        <v>3961.05</v>
      </c>
      <c r="K8" s="25">
        <v>1657.1</v>
      </c>
      <c r="L8" s="25">
        <v>127.03</v>
      </c>
      <c r="M8" s="25">
        <v>0</v>
      </c>
      <c r="N8" s="25">
        <v>0</v>
      </c>
      <c r="O8" s="25">
        <v>0</v>
      </c>
      <c r="P8" s="25">
        <v>52.4</v>
      </c>
      <c r="Q8" s="25">
        <v>89.48</v>
      </c>
      <c r="R8" s="25">
        <v>241.81</v>
      </c>
      <c r="S8" s="25">
        <v>986.16</v>
      </c>
      <c r="T8" s="25">
        <v>6449.23</v>
      </c>
      <c r="U8" s="25">
        <v>3355.88</v>
      </c>
      <c r="V8" s="25">
        <v>8004.47</v>
      </c>
      <c r="W8" s="25">
        <v>2156.0300000000002</v>
      </c>
      <c r="X8" s="25">
        <v>659.26</v>
      </c>
    </row>
    <row r="9" spans="1:24" x14ac:dyDescent="0.25">
      <c r="A9" s="35"/>
      <c r="B9" s="35"/>
      <c r="C9" s="35"/>
      <c r="D9" s="35"/>
      <c r="E9" s="35"/>
      <c r="F9" s="35"/>
    </row>
    <row r="10" spans="1:24" x14ac:dyDescent="0.25">
      <c r="A10" s="35" t="s">
        <v>300</v>
      </c>
      <c r="B10" s="35" t="s">
        <v>683</v>
      </c>
      <c r="C10" s="35" t="s">
        <v>684</v>
      </c>
      <c r="D10" s="35" t="s">
        <v>685</v>
      </c>
      <c r="E10" s="35" t="s">
        <v>686</v>
      </c>
      <c r="F10" s="35" t="s">
        <v>687</v>
      </c>
      <c r="G10" s="111" t="s">
        <v>484</v>
      </c>
      <c r="H10" s="111" t="s">
        <v>485</v>
      </c>
      <c r="I10" s="111" t="s">
        <v>486</v>
      </c>
      <c r="J10" s="111" t="s">
        <v>487</v>
      </c>
      <c r="K10" s="111" t="s">
        <v>488</v>
      </c>
      <c r="L10" s="111" t="s">
        <v>489</v>
      </c>
      <c r="M10" s="111" t="s">
        <v>490</v>
      </c>
      <c r="N10" s="111" t="s">
        <v>491</v>
      </c>
      <c r="O10" s="111" t="s">
        <v>492</v>
      </c>
      <c r="P10" s="111" t="s">
        <v>493</v>
      </c>
      <c r="Q10" s="111" t="s">
        <v>494</v>
      </c>
      <c r="R10" s="111" t="s">
        <v>495</v>
      </c>
      <c r="S10" s="111" t="s">
        <v>496</v>
      </c>
      <c r="T10" s="111" t="s">
        <v>497</v>
      </c>
      <c r="U10" s="112" t="s">
        <v>675</v>
      </c>
      <c r="V10" s="112" t="s">
        <v>731</v>
      </c>
      <c r="W10" s="255" t="s">
        <v>732</v>
      </c>
      <c r="X10" s="255" t="s">
        <v>733</v>
      </c>
    </row>
    <row r="11" spans="1:24" x14ac:dyDescent="0.25">
      <c r="A11" s="35" t="s">
        <v>303</v>
      </c>
      <c r="B11" s="35">
        <f>60*0.2545</f>
        <v>15.27</v>
      </c>
      <c r="C11" s="35" t="s">
        <v>448</v>
      </c>
      <c r="D11" s="35">
        <v>1464</v>
      </c>
      <c r="E11" s="37" t="s">
        <v>524</v>
      </c>
      <c r="F11" s="37" t="s">
        <v>543</v>
      </c>
      <c r="G11" s="25">
        <v>10292.08</v>
      </c>
      <c r="H11" s="25">
        <v>4.9800000000000004</v>
      </c>
      <c r="I11" s="25">
        <v>0</v>
      </c>
      <c r="J11" s="25">
        <v>0</v>
      </c>
      <c r="K11" s="25">
        <v>0</v>
      </c>
      <c r="L11" s="25">
        <v>2665.5</v>
      </c>
      <c r="M11" s="25">
        <v>5944.23</v>
      </c>
      <c r="N11" s="25">
        <v>6467.36</v>
      </c>
      <c r="O11" s="25">
        <v>2947.53</v>
      </c>
      <c r="P11" s="25">
        <v>0</v>
      </c>
      <c r="Q11" s="25">
        <v>2.5</v>
      </c>
      <c r="R11" s="25">
        <v>0.54</v>
      </c>
      <c r="S11" s="25">
        <v>3648.15</v>
      </c>
      <c r="T11" s="25">
        <v>32639.74</v>
      </c>
      <c r="U11" s="25">
        <v>31993.78</v>
      </c>
      <c r="V11" s="25">
        <v>41785.56</v>
      </c>
      <c r="W11" s="25">
        <v>24001.7</v>
      </c>
      <c r="X11" s="25">
        <v>6100.93</v>
      </c>
    </row>
    <row r="12" spans="1:24" x14ac:dyDescent="0.25">
      <c r="A12" s="35" t="s">
        <v>304</v>
      </c>
      <c r="B12" s="35">
        <f>44.3*0.2545</f>
        <v>11.27435</v>
      </c>
      <c r="C12" s="35" t="s">
        <v>448</v>
      </c>
      <c r="D12" s="35">
        <v>1463</v>
      </c>
      <c r="E12" s="37" t="s">
        <v>524</v>
      </c>
      <c r="F12" s="37" t="s">
        <v>543</v>
      </c>
      <c r="G12" s="25">
        <v>7350.43</v>
      </c>
      <c r="H12" s="25">
        <v>2210.23</v>
      </c>
      <c r="I12" s="25">
        <v>1712.56</v>
      </c>
      <c r="J12" s="25">
        <v>2044.08</v>
      </c>
      <c r="K12" s="25">
        <v>2251.1799999999998</v>
      </c>
      <c r="L12" s="25">
        <v>3120.81</v>
      </c>
      <c r="M12" s="25">
        <v>4280.34</v>
      </c>
      <c r="N12" s="25">
        <v>4308.7700000000004</v>
      </c>
      <c r="O12" s="25">
        <v>3251.44</v>
      </c>
      <c r="P12" s="25">
        <v>2781.09</v>
      </c>
      <c r="Q12" s="25">
        <v>2248.98</v>
      </c>
      <c r="R12" s="25">
        <v>1996.88</v>
      </c>
      <c r="S12" s="25">
        <v>6161.17</v>
      </c>
      <c r="T12" s="25">
        <v>24690.1</v>
      </c>
      <c r="U12" s="25">
        <v>15532.38</v>
      </c>
      <c r="V12" s="25">
        <v>25170.11</v>
      </c>
      <c r="W12" s="25">
        <v>13334.38</v>
      </c>
      <c r="X12" s="25">
        <v>7933.2</v>
      </c>
    </row>
    <row r="13" spans="1:24" x14ac:dyDescent="0.25">
      <c r="A13" s="35" t="s">
        <v>301</v>
      </c>
      <c r="B13" s="35">
        <f>SUM(B11:B12)</f>
        <v>26.544350000000001</v>
      </c>
      <c r="C13" s="35"/>
      <c r="D13" s="35"/>
      <c r="E13" s="35"/>
      <c r="F13" s="35"/>
    </row>
    <row r="14" spans="1:24" x14ac:dyDescent="0.25">
      <c r="A14" s="35"/>
      <c r="B14" s="35"/>
      <c r="C14" s="35"/>
      <c r="D14" s="35"/>
      <c r="E14" s="35"/>
      <c r="F14" s="35"/>
    </row>
    <row r="15" spans="1:24" x14ac:dyDescent="0.25">
      <c r="A15" s="35" t="s">
        <v>37</v>
      </c>
      <c r="B15" s="35">
        <f>SUM(B13,B8)</f>
        <v>46.054349999999999</v>
      </c>
      <c r="C15" s="35"/>
      <c r="D15" s="35"/>
      <c r="E15" s="35"/>
      <c r="F15" s="35"/>
      <c r="G15" s="25">
        <v>18747.64</v>
      </c>
      <c r="H15" s="25">
        <v>2667.4</v>
      </c>
      <c r="I15" s="25">
        <v>2531.59</v>
      </c>
      <c r="J15" s="25">
        <v>6005.13</v>
      </c>
      <c r="K15" s="25">
        <v>3908.28</v>
      </c>
      <c r="L15" s="25">
        <v>5913.34</v>
      </c>
      <c r="M15" s="25">
        <v>10224.57</v>
      </c>
      <c r="N15" s="25">
        <v>10776.13</v>
      </c>
      <c r="O15" s="25">
        <v>6198.97</v>
      </c>
      <c r="P15" s="25">
        <v>2833.49</v>
      </c>
      <c r="Q15" s="25">
        <v>2340.96</v>
      </c>
      <c r="R15" s="25">
        <v>2239.23</v>
      </c>
      <c r="S15" s="25">
        <v>10795.48</v>
      </c>
      <c r="T15" s="25">
        <v>63779.07</v>
      </c>
      <c r="U15" s="25">
        <v>50882.04</v>
      </c>
      <c r="V15" s="25">
        <v>66955.67</v>
      </c>
      <c r="W15" s="25">
        <v>37336.080000000002</v>
      </c>
      <c r="X15" s="25">
        <v>14034.13</v>
      </c>
    </row>
    <row r="16" spans="1:24" x14ac:dyDescent="0.25">
      <c r="A16" s="35"/>
      <c r="B16" s="35"/>
      <c r="C16" s="35"/>
      <c r="D16" s="35"/>
      <c r="E16" s="35"/>
      <c r="F16" s="35"/>
    </row>
    <row r="17" spans="1:24" ht="18.95" customHeight="1" x14ac:dyDescent="0.25">
      <c r="A17" s="34" t="s">
        <v>532</v>
      </c>
      <c r="S17" s="40">
        <f>(S2/G2)-1</f>
        <v>-0.10765249337182059</v>
      </c>
      <c r="T17" s="40">
        <f>(T2/H2)-1</f>
        <v>13.262212786660474</v>
      </c>
      <c r="U17" s="40">
        <f>(U2/I2)-1</f>
        <v>3.0973834902262434</v>
      </c>
      <c r="V17" s="40">
        <f>(V2/J2)-1</f>
        <v>1.0207949912270737</v>
      </c>
      <c r="W17" s="40">
        <f t="shared" ref="W17:X17" si="0">(W2/K2)-1</f>
        <v>0.30108623498883613</v>
      </c>
      <c r="X17" s="40">
        <f t="shared" si="0"/>
        <v>4.1897976855860817</v>
      </c>
    </row>
    <row r="18" spans="1:24" x14ac:dyDescent="0.25">
      <c r="A18" s="34" t="s">
        <v>526</v>
      </c>
      <c r="D18" s="66"/>
      <c r="S18" s="40"/>
      <c r="T18" s="40">
        <f>(SUM(S2:T2)/SUM(G2:H2))-1</f>
        <v>3.77447794929751</v>
      </c>
      <c r="U18" s="40">
        <f>(SUM(S2:U2)/SUM(G2:I2))-1</f>
        <v>3.5411113682748745</v>
      </c>
      <c r="V18" s="40">
        <f>(SUM(S2:V2)/SUM(G2:J2))-1</f>
        <v>1.9658440369867769</v>
      </c>
      <c r="W18" s="40">
        <f>(SUM(S2:W2)/SUM(G2:K2))-1</f>
        <v>1.620773031459128</v>
      </c>
      <c r="X18" s="40">
        <f>(SUM(S2:X2)/SUM(G2:L2))-1</f>
        <v>1.6609555096145678</v>
      </c>
    </row>
    <row r="19" spans="1:24" ht="30" x14ac:dyDescent="0.25">
      <c r="A19" s="34" t="s">
        <v>540</v>
      </c>
      <c r="S19" s="40">
        <f>(SUM(S11:S12)/SUM(G11:G12))-1</f>
        <v>-0.44399521383295237</v>
      </c>
      <c r="T19" s="40">
        <f>(SUM(T11:T12)/SUM(H11:H12))-1</f>
        <v>24.880092632301224</v>
      </c>
      <c r="U19" s="40">
        <f>(SUM(U11:U12)/SUM(I11:I12))-1</f>
        <v>26.751529873405893</v>
      </c>
      <c r="V19" s="40">
        <f>(SUM(V11:V12)/SUM(J11:J12))-1</f>
        <v>31.755895072599898</v>
      </c>
      <c r="W19" s="40">
        <f t="shared" ref="W19:X19" si="1">(SUM(W11:W12)/SUM(K11:K12))-1</f>
        <v>15.58511536172141</v>
      </c>
      <c r="X19" s="40">
        <f t="shared" si="1"/>
        <v>1.4254023721508182</v>
      </c>
    </row>
    <row r="20" spans="1:24" x14ac:dyDescent="0.25">
      <c r="A20" s="34" t="s">
        <v>541</v>
      </c>
      <c r="S20" s="40"/>
      <c r="T20" s="40">
        <f>(SUM(S11:T12)/SUM(G11:H12))-1</f>
        <v>2.3810105087593145</v>
      </c>
      <c r="U20" s="40">
        <f>(SUM(S11:U12)/SUM(G11:I12))-1</f>
        <v>4.3158939058741943</v>
      </c>
      <c r="V20" s="40">
        <f>(SUM(S11:V12)/SUM(G11:J12))-1</f>
        <v>6.6911248071088938</v>
      </c>
      <c r="W20" s="40">
        <f>(SUM(S11:W12)/SUM(G11:K12))-1</f>
        <v>7.4652038967676688</v>
      </c>
      <c r="X20" s="40">
        <f>(SUM(S11:X12)/SUM(G11:L12))-1</f>
        <v>6.3610610438252424</v>
      </c>
    </row>
    <row r="22" spans="1:24" x14ac:dyDescent="0.25">
      <c r="A22" s="34" t="s">
        <v>661</v>
      </c>
      <c r="B22" s="25" t="s">
        <v>683</v>
      </c>
      <c r="C22" s="25" t="s">
        <v>684</v>
      </c>
      <c r="D22" s="25" t="s">
        <v>685</v>
      </c>
      <c r="E22" s="25" t="s">
        <v>686</v>
      </c>
      <c r="F22" s="25" t="s">
        <v>687</v>
      </c>
      <c r="G22" s="25" t="s">
        <v>484</v>
      </c>
      <c r="H22" s="25" t="s">
        <v>485</v>
      </c>
      <c r="I22" s="25" t="s">
        <v>486</v>
      </c>
      <c r="J22" s="25" t="s">
        <v>487</v>
      </c>
      <c r="K22" s="25" t="s">
        <v>488</v>
      </c>
      <c r="L22" s="25" t="s">
        <v>489</v>
      </c>
      <c r="M22" s="25" t="s">
        <v>490</v>
      </c>
      <c r="N22" s="25" t="s">
        <v>491</v>
      </c>
      <c r="O22" s="25" t="s">
        <v>492</v>
      </c>
      <c r="P22" s="25" t="s">
        <v>493</v>
      </c>
      <c r="Q22" s="25" t="s">
        <v>494</v>
      </c>
      <c r="R22" s="25" t="s">
        <v>495</v>
      </c>
      <c r="S22" s="25" t="s">
        <v>496</v>
      </c>
      <c r="T22" s="25" t="s">
        <v>497</v>
      </c>
      <c r="U22" s="25" t="s">
        <v>574</v>
      </c>
      <c r="V22" s="25" t="s">
        <v>731</v>
      </c>
      <c r="W22" s="255" t="s">
        <v>732</v>
      </c>
      <c r="X22" s="255" t="s">
        <v>733</v>
      </c>
    </row>
    <row r="23" spans="1:24" x14ac:dyDescent="0.25">
      <c r="A23" s="35" t="s">
        <v>299</v>
      </c>
      <c r="G23" s="107">
        <f>73*G2/PTF!B5</f>
        <v>2273.8018602029315</v>
      </c>
      <c r="H23" s="107">
        <f>73/PTF!C5*H2</f>
        <v>913.89451827242533</v>
      </c>
      <c r="I23" s="107">
        <f>73/PTF!D5*I2</f>
        <v>1614.1789956803457</v>
      </c>
      <c r="J23" s="107">
        <f>73/PTF!E5*J2</f>
        <v>7599.3863337713547</v>
      </c>
      <c r="K23" s="107">
        <f>73/PTF!F5*K2</f>
        <v>3124.1813016528927</v>
      </c>
      <c r="L23" s="107">
        <f>73/PTF!G5*L2</f>
        <v>235.53949707899417</v>
      </c>
      <c r="M23" s="107">
        <f>73/PTF!H5*M2</f>
        <v>0</v>
      </c>
      <c r="N23" s="107">
        <f>73/PTF!I5*N2</f>
        <v>0</v>
      </c>
      <c r="O23" s="107">
        <f>73/PTF!J5*O2</f>
        <v>0</v>
      </c>
      <c r="P23" s="107">
        <f>73/PTF!K5*P2</f>
        <v>91.621556886227538</v>
      </c>
      <c r="Q23" s="107">
        <f>73/PTF!L5*Q2</f>
        <v>154.7876777251185</v>
      </c>
      <c r="R23" s="107">
        <f>73/PTF!M5*R2</f>
        <v>414.27200187749355</v>
      </c>
      <c r="S23" s="107">
        <f>73/PTF!N5*S2</f>
        <v>1668.7454798331016</v>
      </c>
      <c r="T23" s="107">
        <f>73/PTF!O5*T2</f>
        <v>10795.546663609262</v>
      </c>
      <c r="U23" s="107">
        <f>73/PTF!P5*U2</f>
        <v>5555.0848072562358</v>
      </c>
      <c r="V23" s="107">
        <f>73/PTF!Q5*V2</f>
        <v>13078.028424350941</v>
      </c>
      <c r="W23" s="107">
        <f>73/PTF!R5*W2</f>
        <v>3469.801366843034</v>
      </c>
      <c r="X23" s="107">
        <f>73/PTF!S5*X2</f>
        <v>1042.3647390080137</v>
      </c>
    </row>
    <row r="24" spans="1:24" x14ac:dyDescent="0.25">
      <c r="A24" s="35" t="s">
        <v>303</v>
      </c>
      <c r="G24" s="107">
        <f t="shared" ref="G24:X24" si="2">G33*G11*0.2545</f>
        <v>187649.11355040001</v>
      </c>
      <c r="H24" s="107">
        <f t="shared" si="2"/>
        <v>88.123017300000015</v>
      </c>
      <c r="I24" s="107">
        <f t="shared" si="2"/>
        <v>0</v>
      </c>
      <c r="J24" s="107">
        <f t="shared" si="2"/>
        <v>0</v>
      </c>
      <c r="K24" s="107">
        <f t="shared" si="2"/>
        <v>0</v>
      </c>
      <c r="L24" s="107">
        <f t="shared" si="2"/>
        <v>38633.157262500004</v>
      </c>
      <c r="M24" s="107">
        <f t="shared" si="2"/>
        <v>112492.29394259999</v>
      </c>
      <c r="N24" s="107">
        <f t="shared" si="2"/>
        <v>119380.25449359999</v>
      </c>
      <c r="O24" s="107">
        <f t="shared" si="2"/>
        <v>50357.326825050004</v>
      </c>
      <c r="P24" s="107">
        <f t="shared" si="2"/>
        <v>0</v>
      </c>
      <c r="Q24" s="107">
        <f t="shared" si="2"/>
        <v>42.495137500000006</v>
      </c>
      <c r="R24" s="107">
        <f t="shared" si="2"/>
        <v>9.7025580000000016</v>
      </c>
      <c r="S24" s="107">
        <f t="shared" si="2"/>
        <v>63134.883900000001</v>
      </c>
      <c r="T24" s="107">
        <f t="shared" si="2"/>
        <v>408612.17229770002</v>
      </c>
      <c r="U24" s="107">
        <f t="shared" si="2"/>
        <v>319427.01930229994</v>
      </c>
      <c r="V24" s="107">
        <f t="shared" si="2"/>
        <v>254800.82347920001</v>
      </c>
      <c r="W24" s="107">
        <f t="shared" si="2"/>
        <v>107325.1616605</v>
      </c>
      <c r="X24" s="107">
        <f t="shared" si="2"/>
        <v>45152.128799799997</v>
      </c>
    </row>
    <row r="25" spans="1:24" x14ac:dyDescent="0.25">
      <c r="A25" s="35" t="s">
        <v>304</v>
      </c>
      <c r="G25" s="107">
        <f t="shared" ref="G25:X25" si="3">G33*G12*0.2545</f>
        <v>134015.83292340001</v>
      </c>
      <c r="H25" s="107">
        <f t="shared" si="3"/>
        <v>39110.870788550004</v>
      </c>
      <c r="I25" s="107">
        <f t="shared" si="3"/>
        <v>26046.188035199997</v>
      </c>
      <c r="J25" s="107">
        <f t="shared" si="3"/>
        <v>34095.111314400005</v>
      </c>
      <c r="K25" s="107">
        <f t="shared" si="3"/>
        <v>36684.407599299993</v>
      </c>
      <c r="L25" s="107">
        <f t="shared" si="3"/>
        <v>45232.317957750005</v>
      </c>
      <c r="M25" s="107">
        <f t="shared" si="3"/>
        <v>81003.8079708</v>
      </c>
      <c r="N25" s="107">
        <f t="shared" si="3"/>
        <v>79535.08992145001</v>
      </c>
      <c r="O25" s="107">
        <f t="shared" si="3"/>
        <v>55549.503052400003</v>
      </c>
      <c r="P25" s="107">
        <f t="shared" si="3"/>
        <v>46912.149203400004</v>
      </c>
      <c r="Q25" s="107">
        <f t="shared" si="3"/>
        <v>38228.285733900004</v>
      </c>
      <c r="R25" s="107">
        <f t="shared" si="3"/>
        <v>35879.340776000005</v>
      </c>
      <c r="S25" s="107">
        <f t="shared" si="3"/>
        <v>106625.20802000001</v>
      </c>
      <c r="T25" s="107">
        <f t="shared" si="3"/>
        <v>309091.78183549998</v>
      </c>
      <c r="U25" s="107">
        <f t="shared" si="3"/>
        <v>155075.82555329998</v>
      </c>
      <c r="V25" s="107">
        <f t="shared" si="3"/>
        <v>153482.80016019999</v>
      </c>
      <c r="W25" s="107">
        <f t="shared" si="3"/>
        <v>59625.546904699993</v>
      </c>
      <c r="X25" s="107">
        <f t="shared" si="3"/>
        <v>58712.502551999998</v>
      </c>
    </row>
    <row r="26" spans="1:24" x14ac:dyDescent="0.25">
      <c r="A26" s="35" t="s">
        <v>37</v>
      </c>
      <c r="G26" s="107">
        <f>SUM(G23:G25)</f>
        <v>323938.74833400291</v>
      </c>
      <c r="H26" s="107">
        <f t="shared" ref="H26:X26" si="4">SUM(H23:H25)</f>
        <v>40112.888324122432</v>
      </c>
      <c r="I26" s="107">
        <f t="shared" si="4"/>
        <v>27660.367030880341</v>
      </c>
      <c r="J26" s="107">
        <f t="shared" si="4"/>
        <v>41694.49764817136</v>
      </c>
      <c r="K26" s="107">
        <f t="shared" si="4"/>
        <v>39808.588900952884</v>
      </c>
      <c r="L26" s="107">
        <f t="shared" si="4"/>
        <v>84101.014717329002</v>
      </c>
      <c r="M26" s="107">
        <f t="shared" si="4"/>
        <v>193496.10191339999</v>
      </c>
      <c r="N26" s="107">
        <f t="shared" si="4"/>
        <v>198915.34441505</v>
      </c>
      <c r="O26" s="107">
        <f t="shared" si="4"/>
        <v>105906.82987745001</v>
      </c>
      <c r="P26" s="107">
        <f t="shared" si="4"/>
        <v>47003.770760286228</v>
      </c>
      <c r="Q26" s="107">
        <f t="shared" si="4"/>
        <v>38425.568549125121</v>
      </c>
      <c r="R26" s="107">
        <f t="shared" si="4"/>
        <v>36303.315335877502</v>
      </c>
      <c r="S26" s="107">
        <f t="shared" si="4"/>
        <v>171428.83739983311</v>
      </c>
      <c r="T26" s="107">
        <f t="shared" si="4"/>
        <v>728499.50079680933</v>
      </c>
      <c r="U26" s="107">
        <f t="shared" si="4"/>
        <v>480057.92966285616</v>
      </c>
      <c r="V26" s="107">
        <f t="shared" si="4"/>
        <v>421361.65206375095</v>
      </c>
      <c r="W26" s="107">
        <f t="shared" si="4"/>
        <v>170420.50993204303</v>
      </c>
      <c r="X26" s="107">
        <f t="shared" si="4"/>
        <v>104906.99609080801</v>
      </c>
    </row>
    <row r="28" spans="1:24" x14ac:dyDescent="0.25">
      <c r="A28" s="34" t="s">
        <v>676</v>
      </c>
      <c r="I28" s="107">
        <f>SUM(G26:I26)</f>
        <v>391712.00368900568</v>
      </c>
      <c r="J28" s="107"/>
      <c r="K28" s="107"/>
      <c r="L28" s="107">
        <f>SUM(J26:L26)</f>
        <v>165604.10126645325</v>
      </c>
      <c r="M28" s="107"/>
      <c r="N28" s="107"/>
      <c r="O28" s="107">
        <f>SUM(M26:O26)</f>
        <v>498318.27620590001</v>
      </c>
      <c r="P28" s="107"/>
      <c r="Q28" s="107"/>
      <c r="R28" s="107">
        <f>SUM(P26:R26)</f>
        <v>121732.65464528886</v>
      </c>
      <c r="S28" s="107"/>
      <c r="T28" s="107"/>
      <c r="U28" s="107">
        <f>SUM(S26:U26)</f>
        <v>1379986.2678594985</v>
      </c>
      <c r="X28" s="107">
        <f>SUM(V26:X26)</f>
        <v>696689.15808660188</v>
      </c>
    </row>
    <row r="29" spans="1:24" x14ac:dyDescent="0.25">
      <c r="A29" s="34" t="s">
        <v>677</v>
      </c>
      <c r="L29" s="40">
        <f>(L28/I28)-1</f>
        <v>-0.57722995540894284</v>
      </c>
      <c r="M29" s="40"/>
      <c r="N29" s="40"/>
      <c r="O29" s="40">
        <f>(O28/L28)-1</f>
        <v>2.0090938110531282</v>
      </c>
      <c r="P29" s="40"/>
      <c r="Q29" s="40"/>
      <c r="R29" s="40">
        <f>(R28/O28)-1</f>
        <v>-0.75571304433757081</v>
      </c>
      <c r="S29" s="40"/>
      <c r="T29" s="40"/>
      <c r="U29" s="40">
        <f>(U28/R28)-1</f>
        <v>10.336204503882517</v>
      </c>
      <c r="X29" s="40">
        <f>(X28/U28)-1</f>
        <v>-0.49514776029819574</v>
      </c>
    </row>
    <row r="30" spans="1:24" x14ac:dyDescent="0.25">
      <c r="A30" s="34" t="s">
        <v>678</v>
      </c>
      <c r="L30" s="40"/>
      <c r="M30" s="40"/>
      <c r="N30" s="40"/>
      <c r="O30" s="40"/>
      <c r="P30" s="40"/>
      <c r="Q30" s="40"/>
      <c r="R30" s="40"/>
      <c r="S30" s="40"/>
      <c r="T30" s="40"/>
      <c r="U30" s="40">
        <f>(U28/I28)-1</f>
        <v>2.5229613973104574</v>
      </c>
      <c r="X30" s="40">
        <f>(X28/L28)-1</f>
        <v>3.2069559434741581</v>
      </c>
    </row>
    <row r="31" spans="1:24" x14ac:dyDescent="0.25">
      <c r="A31" s="67"/>
    </row>
    <row r="32" spans="1:24" x14ac:dyDescent="0.25">
      <c r="A32" s="25" t="s">
        <v>576</v>
      </c>
      <c r="G32" s="25" t="s">
        <v>484</v>
      </c>
      <c r="H32" s="25" t="s">
        <v>485</v>
      </c>
      <c r="I32" s="25" t="s">
        <v>486</v>
      </c>
      <c r="J32" s="25" t="s">
        <v>487</v>
      </c>
      <c r="K32" s="25" t="s">
        <v>488</v>
      </c>
      <c r="L32" s="25" t="s">
        <v>489</v>
      </c>
      <c r="M32" s="25" t="s">
        <v>490</v>
      </c>
      <c r="N32" s="25" t="s">
        <v>491</v>
      </c>
      <c r="O32" s="25" t="s">
        <v>492</v>
      </c>
      <c r="P32" s="25" t="s">
        <v>493</v>
      </c>
      <c r="Q32" s="25" t="s">
        <v>494</v>
      </c>
      <c r="R32" s="25" t="s">
        <v>495</v>
      </c>
      <c r="S32" s="25" t="s">
        <v>496</v>
      </c>
      <c r="T32" s="25" t="s">
        <v>497</v>
      </c>
      <c r="U32" s="25" t="s">
        <v>574</v>
      </c>
      <c r="V32" s="25" t="s">
        <v>731</v>
      </c>
      <c r="W32" s="25" t="s">
        <v>732</v>
      </c>
      <c r="X32" s="25" t="s">
        <v>733</v>
      </c>
    </row>
    <row r="33" spans="1:24" x14ac:dyDescent="0.25">
      <c r="A33" s="25" t="s">
        <v>573</v>
      </c>
      <c r="G33" s="62">
        <f>PTF!B8</f>
        <v>71.64</v>
      </c>
      <c r="H33" s="62">
        <f>PTF!C8</f>
        <v>69.53</v>
      </c>
      <c r="I33" s="62">
        <f>PTF!D8</f>
        <v>59.76</v>
      </c>
      <c r="J33" s="62">
        <f>PTF!E8</f>
        <v>65.540000000000006</v>
      </c>
      <c r="K33" s="62">
        <f>PTF!F8</f>
        <v>64.03</v>
      </c>
      <c r="L33" s="62">
        <f>PTF!G8</f>
        <v>56.95</v>
      </c>
      <c r="M33" s="62">
        <f>PTF!H8</f>
        <v>74.36</v>
      </c>
      <c r="N33" s="62">
        <f>PTF!I8</f>
        <v>72.53</v>
      </c>
      <c r="O33" s="62">
        <f>PTF!J8</f>
        <v>67.13</v>
      </c>
      <c r="P33" s="62">
        <f>PTF!K8</f>
        <v>66.28</v>
      </c>
      <c r="Q33" s="62">
        <f>PTF!L8</f>
        <v>66.790000000000006</v>
      </c>
      <c r="R33" s="62">
        <f>PTF!M8</f>
        <v>70.599999999999994</v>
      </c>
      <c r="S33" s="62">
        <f>PTF!N8</f>
        <v>68</v>
      </c>
      <c r="T33" s="62">
        <f>PTF!O8</f>
        <v>49.19</v>
      </c>
      <c r="U33" s="62">
        <f>PTF!P8</f>
        <v>39.229999999999997</v>
      </c>
      <c r="V33" s="62">
        <f>PTF!Q8</f>
        <v>23.96</v>
      </c>
      <c r="W33" s="62">
        <f>PTF!R8</f>
        <v>17.57</v>
      </c>
      <c r="X33" s="62">
        <f>PTF!S8</f>
        <v>29.08</v>
      </c>
    </row>
    <row r="35" spans="1:24" x14ac:dyDescent="0.25">
      <c r="A35" s="34" t="s">
        <v>680</v>
      </c>
      <c r="B35" s="25" t="s">
        <v>683</v>
      </c>
      <c r="C35" s="25" t="s">
        <v>684</v>
      </c>
      <c r="D35" s="25" t="s">
        <v>685</v>
      </c>
      <c r="E35" s="25" t="s">
        <v>686</v>
      </c>
      <c r="F35" s="25" t="s">
        <v>687</v>
      </c>
      <c r="G35" s="25" t="s">
        <v>484</v>
      </c>
      <c r="H35" s="25" t="s">
        <v>485</v>
      </c>
      <c r="I35" s="25" t="s">
        <v>486</v>
      </c>
      <c r="J35" s="25" t="s">
        <v>487</v>
      </c>
      <c r="K35" s="25" t="s">
        <v>488</v>
      </c>
      <c r="L35" s="25" t="s">
        <v>489</v>
      </c>
      <c r="M35" s="25" t="s">
        <v>490</v>
      </c>
      <c r="N35" s="25" t="s">
        <v>491</v>
      </c>
      <c r="O35" s="25" t="s">
        <v>492</v>
      </c>
      <c r="P35" s="25" t="s">
        <v>493</v>
      </c>
      <c r="Q35" s="25" t="s">
        <v>494</v>
      </c>
      <c r="R35" s="25" t="s">
        <v>495</v>
      </c>
      <c r="S35" s="25" t="s">
        <v>496</v>
      </c>
      <c r="T35" s="25" t="s">
        <v>497</v>
      </c>
      <c r="U35" s="25" t="s">
        <v>574</v>
      </c>
      <c r="V35" s="25" t="s">
        <v>731</v>
      </c>
      <c r="W35" s="255" t="s">
        <v>732</v>
      </c>
      <c r="X35" s="255" t="s">
        <v>733</v>
      </c>
    </row>
    <row r="36" spans="1:24" x14ac:dyDescent="0.25">
      <c r="A36" s="35" t="s">
        <v>299</v>
      </c>
      <c r="G36" s="107">
        <f>G23*$G$46</f>
        <v>80674.490000000005</v>
      </c>
      <c r="H36" s="107">
        <f>$H$46*H23</f>
        <v>33009.870000000003</v>
      </c>
      <c r="I36" s="107">
        <f>$I$46*I23</f>
        <v>59789.19</v>
      </c>
      <c r="J36" s="107">
        <f>$J$46*J23</f>
        <v>289156.65000000002</v>
      </c>
      <c r="K36" s="107">
        <f>$K$46*K23</f>
        <v>120968.3</v>
      </c>
      <c r="L36" s="107">
        <f>$L$46*L23</f>
        <v>9273.19</v>
      </c>
      <c r="M36" s="107">
        <f>$M$46*M23</f>
        <v>0</v>
      </c>
      <c r="N36" s="107">
        <f>$N$46*N23</f>
        <v>0</v>
      </c>
      <c r="O36" s="107">
        <f>$O$46*O23</f>
        <v>0</v>
      </c>
      <c r="P36" s="107">
        <f>$P$46*P23</f>
        <v>3825.2</v>
      </c>
      <c r="Q36" s="107">
        <f>$Q$46*Q23</f>
        <v>6532.0400000000009</v>
      </c>
      <c r="R36" s="107">
        <f>$R$46*R23</f>
        <v>17652.13</v>
      </c>
      <c r="S36" s="107">
        <f>$S$46*S23</f>
        <v>71989.680000000008</v>
      </c>
      <c r="T36" s="107">
        <f>$T$46*T23</f>
        <v>470793.78999999992</v>
      </c>
      <c r="U36" s="107">
        <f>$U$46*U23</f>
        <v>244979.24</v>
      </c>
      <c r="V36" s="107">
        <f t="shared" ref="V36:V38" si="5">$V$46*V23</f>
        <v>584326.31000000006</v>
      </c>
      <c r="W36" s="107">
        <f t="shared" ref="W36:W38" si="6">$W$46*W23</f>
        <v>157390.19000000003</v>
      </c>
      <c r="X36" s="107">
        <f t="shared" ref="X36:X38" si="7">$X$46*X23</f>
        <v>48125.979999999996</v>
      </c>
    </row>
    <row r="37" spans="1:24" x14ac:dyDescent="0.25">
      <c r="A37" s="35" t="s">
        <v>303</v>
      </c>
      <c r="G37" s="107">
        <f t="shared" ref="G37:G38" si="8">G24*$G$46</f>
        <v>6657790.5487681916</v>
      </c>
      <c r="H37" s="107">
        <f t="shared" ref="H37:H38" si="9">$H$46*H24</f>
        <v>3183.0033848760004</v>
      </c>
      <c r="I37" s="107">
        <f t="shared" ref="I37:I38" si="10">$I$46*I24</f>
        <v>0</v>
      </c>
      <c r="J37" s="107">
        <f t="shared" ref="J37:J38" si="11">$J$46*J24</f>
        <v>0</v>
      </c>
      <c r="K37" s="107">
        <f>$K$46*K24</f>
        <v>0</v>
      </c>
      <c r="L37" s="107">
        <f t="shared" ref="L37:L38" si="12">$L$46*L24</f>
        <v>1520987.4014246252</v>
      </c>
      <c r="M37" s="107">
        <f t="shared" ref="M37:M38" si="13">$M$46*M24</f>
        <v>4515440.678855964</v>
      </c>
      <c r="N37" s="107">
        <f t="shared" ref="N37:N38" si="14">$N$46*N24</f>
        <v>4864745.3706141999</v>
      </c>
      <c r="O37" s="107">
        <f t="shared" ref="O37:O38" si="15">$O$46*O24</f>
        <v>2076736.1582650624</v>
      </c>
      <c r="P37" s="107">
        <f t="shared" ref="P37:P38" si="16">$P$46*P24</f>
        <v>0</v>
      </c>
      <c r="Q37" s="107">
        <f t="shared" ref="Q37:Q38" si="17">$Q$46*Q24</f>
        <v>1793.2948025000003</v>
      </c>
      <c r="R37" s="107">
        <f t="shared" ref="R37:R38" si="18">$R$46*R24</f>
        <v>413.42599638000007</v>
      </c>
      <c r="S37" s="107">
        <f t="shared" ref="S37:S38" si="19">$S$46*S24</f>
        <v>2723638.891446</v>
      </c>
      <c r="T37" s="107">
        <f t="shared" ref="T37:T38" si="20">$T$46*T24</f>
        <v>17819576.833902698</v>
      </c>
      <c r="U37" s="107">
        <f t="shared" ref="U37:U38" si="21">$U$46*U24</f>
        <v>14086731.551231427</v>
      </c>
      <c r="V37" s="107">
        <f>$V$46*V24</f>
        <v>11384500.793050656</v>
      </c>
      <c r="W37" s="107">
        <f>$W$46*W24</f>
        <v>4868269.3329202803</v>
      </c>
      <c r="X37" s="107">
        <f>$X$46*X24</f>
        <v>2084673.786686766</v>
      </c>
    </row>
    <row r="38" spans="1:24" x14ac:dyDescent="0.25">
      <c r="A38" s="35" t="s">
        <v>304</v>
      </c>
      <c r="G38" s="107">
        <f t="shared" si="8"/>
        <v>4754881.7521222318</v>
      </c>
      <c r="H38" s="107">
        <f t="shared" si="9"/>
        <v>1412684.652882426</v>
      </c>
      <c r="I38" s="107">
        <f t="shared" si="10"/>
        <v>964750.80482380791</v>
      </c>
      <c r="J38" s="107">
        <f t="shared" si="11"/>
        <v>1297318.9855129202</v>
      </c>
      <c r="K38" s="107">
        <f>$K$46*K25</f>
        <v>1420420.2622448958</v>
      </c>
      <c r="L38" s="107">
        <f t="shared" si="12"/>
        <v>1780796.3579966177</v>
      </c>
      <c r="M38" s="107">
        <f t="shared" si="13"/>
        <v>3251492.851947912</v>
      </c>
      <c r="N38" s="107">
        <f t="shared" si="14"/>
        <v>3241054.9142990881</v>
      </c>
      <c r="O38" s="107">
        <f t="shared" si="15"/>
        <v>2290861.5058809761</v>
      </c>
      <c r="P38" s="107">
        <f t="shared" si="16"/>
        <v>1958582.2292419502</v>
      </c>
      <c r="Q38" s="107">
        <f t="shared" si="17"/>
        <v>1613233.6579705803</v>
      </c>
      <c r="R38" s="107">
        <f t="shared" si="18"/>
        <v>1528818.7104653602</v>
      </c>
      <c r="S38" s="107">
        <f t="shared" si="19"/>
        <v>4599811.4739828007</v>
      </c>
      <c r="T38" s="107">
        <f t="shared" si="20"/>
        <v>13479492.605846154</v>
      </c>
      <c r="U38" s="107">
        <f t="shared" si="21"/>
        <v>6838843.9069005288</v>
      </c>
      <c r="V38" s="107">
        <f t="shared" si="5"/>
        <v>6857611.5111577353</v>
      </c>
      <c r="W38" s="107">
        <f t="shared" si="6"/>
        <v>2704614.8075971915</v>
      </c>
      <c r="X38" s="107">
        <f t="shared" si="7"/>
        <v>2710756.2428258401</v>
      </c>
    </row>
    <row r="39" spans="1:24" x14ac:dyDescent="0.25">
      <c r="A39" s="35" t="s">
        <v>37</v>
      </c>
      <c r="G39" s="107">
        <f>SUM(G36:G38)</f>
        <v>11493346.790890424</v>
      </c>
      <c r="H39" s="107">
        <f t="shared" ref="H39:X39" si="22">SUM(H36:H38)</f>
        <v>1448877.526267302</v>
      </c>
      <c r="I39" s="107">
        <f t="shared" si="22"/>
        <v>1024539.9948238079</v>
      </c>
      <c r="J39" s="107">
        <f t="shared" si="22"/>
        <v>1586475.6355129201</v>
      </c>
      <c r="K39" s="107">
        <f t="shared" si="22"/>
        <v>1541388.5622448958</v>
      </c>
      <c r="L39" s="107">
        <f t="shared" si="22"/>
        <v>3311056.9494212428</v>
      </c>
      <c r="M39" s="107">
        <f t="shared" si="22"/>
        <v>7766933.530803876</v>
      </c>
      <c r="N39" s="107">
        <f t="shared" si="22"/>
        <v>8105800.2849132884</v>
      </c>
      <c r="O39" s="107">
        <f t="shared" si="22"/>
        <v>4367597.6641460387</v>
      </c>
      <c r="P39" s="107">
        <f t="shared" si="22"/>
        <v>1962407.4292419502</v>
      </c>
      <c r="Q39" s="107">
        <f t="shared" si="22"/>
        <v>1621558.9927730802</v>
      </c>
      <c r="R39" s="107">
        <f t="shared" si="22"/>
        <v>1546884.2664617402</v>
      </c>
      <c r="S39" s="107">
        <f t="shared" si="22"/>
        <v>7395440.0454288013</v>
      </c>
      <c r="T39" s="107">
        <f t="shared" si="22"/>
        <v>31769863.229748853</v>
      </c>
      <c r="U39" s="107">
        <f t="shared" si="22"/>
        <v>21170554.698131956</v>
      </c>
      <c r="V39" s="107">
        <f t="shared" si="22"/>
        <v>18826438.614208393</v>
      </c>
      <c r="W39" s="107">
        <f t="shared" si="22"/>
        <v>7730274.3305174727</v>
      </c>
      <c r="X39" s="107">
        <f t="shared" si="22"/>
        <v>4843556.0095126061</v>
      </c>
    </row>
    <row r="41" spans="1:24" x14ac:dyDescent="0.25">
      <c r="A41" s="34" t="s">
        <v>676</v>
      </c>
      <c r="I41" s="107">
        <f>SUM(G39:I39)</f>
        <v>13966764.311981533</v>
      </c>
      <c r="J41" s="107"/>
      <c r="K41" s="107"/>
      <c r="L41" s="107">
        <f>SUM(J39:L39)</f>
        <v>6438921.1471790588</v>
      </c>
      <c r="M41" s="107"/>
      <c r="N41" s="107"/>
      <c r="O41" s="107">
        <f>SUM(M39:O39)</f>
        <v>20240331.479863204</v>
      </c>
      <c r="P41" s="107"/>
      <c r="Q41" s="107"/>
      <c r="R41" s="107">
        <f>SUM(P39:R39)</f>
        <v>5130850.6884767711</v>
      </c>
      <c r="S41" s="107"/>
      <c r="T41" s="107"/>
      <c r="U41" s="107">
        <f>SUM(S39:U39)</f>
        <v>60335857.973309614</v>
      </c>
      <c r="X41" s="107">
        <f>SUM(V39:X39)</f>
        <v>31400268.954238471</v>
      </c>
    </row>
    <row r="42" spans="1:24" x14ac:dyDescent="0.25">
      <c r="A42" s="34" t="s">
        <v>677</v>
      </c>
      <c r="L42" s="40">
        <f>(L41/I41)-1</f>
        <v>-0.53898261591946794</v>
      </c>
      <c r="M42" s="40"/>
      <c r="N42" s="40"/>
      <c r="O42" s="40">
        <f>(O41/L41)-1</f>
        <v>2.1434352148776741</v>
      </c>
      <c r="P42" s="40"/>
      <c r="Q42" s="40"/>
      <c r="R42" s="40">
        <f>(R41/O41)-1</f>
        <v>-0.7465036235408804</v>
      </c>
      <c r="S42" s="40"/>
      <c r="T42" s="40"/>
      <c r="U42" s="40">
        <f>(U41/R41)-1</f>
        <v>10.759425802200047</v>
      </c>
      <c r="X42" s="40">
        <f>(X41/U41)-1</f>
        <v>-0.47957533034288158</v>
      </c>
    </row>
    <row r="43" spans="1:24" x14ac:dyDescent="0.25">
      <c r="A43" s="34" t="s">
        <v>678</v>
      </c>
      <c r="L43" s="40"/>
      <c r="M43" s="40"/>
      <c r="N43" s="40"/>
      <c r="O43" s="40"/>
      <c r="P43" s="40"/>
      <c r="Q43" s="40"/>
      <c r="R43" s="40"/>
      <c r="S43" s="40"/>
      <c r="T43" s="40"/>
      <c r="U43" s="40">
        <f>(U41/I41)-1</f>
        <v>3.31995962884187</v>
      </c>
      <c r="X43" s="40">
        <f>(X41/L41)-1</f>
        <v>3.876635112699768</v>
      </c>
    </row>
    <row r="45" spans="1:24" x14ac:dyDescent="0.25">
      <c r="A45" s="25" t="s">
        <v>578</v>
      </c>
      <c r="G45" s="25" t="s">
        <v>484</v>
      </c>
      <c r="H45" s="25" t="s">
        <v>485</v>
      </c>
      <c r="I45" s="25" t="s">
        <v>486</v>
      </c>
      <c r="J45" s="25" t="s">
        <v>487</v>
      </c>
      <c r="K45" s="25" t="s">
        <v>488</v>
      </c>
      <c r="L45" s="25" t="s">
        <v>489</v>
      </c>
      <c r="M45" s="25" t="s">
        <v>490</v>
      </c>
      <c r="N45" s="25" t="s">
        <v>491</v>
      </c>
      <c r="O45" s="25" t="s">
        <v>492</v>
      </c>
      <c r="P45" s="25" t="s">
        <v>493</v>
      </c>
      <c r="Q45" s="25" t="s">
        <v>494</v>
      </c>
      <c r="R45" s="25" t="s">
        <v>495</v>
      </c>
      <c r="S45" s="25" t="s">
        <v>496</v>
      </c>
      <c r="T45" s="25" t="s">
        <v>497</v>
      </c>
      <c r="U45" s="25" t="s">
        <v>574</v>
      </c>
      <c r="V45" s="25" t="s">
        <v>731</v>
      </c>
      <c r="W45" s="25" t="s">
        <v>732</v>
      </c>
      <c r="X45" s="25" t="s">
        <v>733</v>
      </c>
    </row>
    <row r="46" spans="1:24" x14ac:dyDescent="0.25">
      <c r="A46" s="25" t="s">
        <v>576</v>
      </c>
      <c r="G46" s="62" t="str">
        <f>PTF!B5</f>
        <v>35,48</v>
      </c>
      <c r="H46" s="62">
        <f>PTF!C5</f>
        <v>36.119999999999997</v>
      </c>
      <c r="I46" s="62">
        <f>PTF!D5</f>
        <v>37.04</v>
      </c>
      <c r="J46" s="62">
        <f>PTF!E5</f>
        <v>38.049999999999997</v>
      </c>
      <c r="K46" s="62">
        <f>PTF!F5</f>
        <v>38.72</v>
      </c>
      <c r="L46" s="62">
        <f>PTF!G5</f>
        <v>39.369999999999997</v>
      </c>
      <c r="M46" s="62">
        <f>PTF!H5</f>
        <v>40.14</v>
      </c>
      <c r="N46" s="62">
        <f>PTF!I5</f>
        <v>40.75</v>
      </c>
      <c r="O46" s="62">
        <f>PTF!J5</f>
        <v>41.24</v>
      </c>
      <c r="P46" s="62">
        <f>PTF!K5</f>
        <v>41.75</v>
      </c>
      <c r="Q46" s="62">
        <f>PTF!L5</f>
        <v>42.2</v>
      </c>
      <c r="R46" s="62">
        <f>PTF!M5</f>
        <v>42.61</v>
      </c>
      <c r="S46" s="62">
        <f>PTF!N5</f>
        <v>43.14</v>
      </c>
      <c r="T46" s="62">
        <f>PTF!O5</f>
        <v>43.61</v>
      </c>
      <c r="U46" s="62">
        <f>PTF!P5</f>
        <v>44.1</v>
      </c>
      <c r="V46" s="62">
        <f>PTF!Q5</f>
        <v>44.68</v>
      </c>
      <c r="W46" s="62">
        <f>PTF!R5</f>
        <v>45.36</v>
      </c>
      <c r="X46" s="62">
        <f>PTF!S5</f>
        <v>46.17</v>
      </c>
    </row>
  </sheetData>
  <phoneticPr fontId="48" type="noConversion"/>
  <conditionalFormatting sqref="I29:X30">
    <cfRule type="colorScale" priority="5">
      <colorScale>
        <cfvo type="min"/>
        <cfvo type="percentile" val="50"/>
        <cfvo type="max"/>
        <color rgb="FFF8696B"/>
        <color rgb="FFFFEB84"/>
        <color rgb="FF63BE7B"/>
      </colorScale>
    </cfRule>
  </conditionalFormatting>
  <conditionalFormatting sqref="L29:U30">
    <cfRule type="colorScale" priority="14">
      <colorScale>
        <cfvo type="min"/>
        <cfvo type="percentile" val="50"/>
        <cfvo type="max"/>
        <color rgb="FFF8696B"/>
        <color rgb="FFFFEB84"/>
        <color rgb="FF63BE7B"/>
      </colorScale>
    </cfRule>
  </conditionalFormatting>
  <conditionalFormatting sqref="L42:U43">
    <cfRule type="colorScale" priority="13">
      <colorScale>
        <cfvo type="min"/>
        <cfvo type="percentile" val="50"/>
        <cfvo type="max"/>
        <color rgb="FFF8696B"/>
        <color rgb="FFFFEB84"/>
        <color rgb="FF63BE7B"/>
      </colorScale>
    </cfRule>
  </conditionalFormatting>
  <conditionalFormatting sqref="L42:X43">
    <cfRule type="colorScale" priority="1">
      <colorScale>
        <cfvo type="min"/>
        <cfvo type="percentile" val="50"/>
        <cfvo type="max"/>
        <color rgb="FFF8696B"/>
        <color rgb="FFFFEB84"/>
        <color rgb="FF63BE7B"/>
      </colorScale>
    </cfRule>
  </conditionalFormatting>
  <conditionalFormatting sqref="S17:U20">
    <cfRule type="colorScale" priority="15">
      <colorScale>
        <cfvo type="min"/>
        <cfvo type="percentile" val="50"/>
        <cfvo type="max"/>
        <color rgb="FFF8696B"/>
        <color rgb="FFFFEB84"/>
        <color rgb="FF63BE7B"/>
      </colorScale>
    </cfRule>
  </conditionalFormatting>
  <conditionalFormatting sqref="S17:X20">
    <cfRule type="colorScale" priority="4">
      <colorScale>
        <cfvo type="min"/>
        <cfvo type="percentile" val="50"/>
        <cfvo type="max"/>
        <color rgb="FFF8696B"/>
        <color rgb="FFFFEB84"/>
        <color rgb="FF63BE7B"/>
      </colorScale>
    </cfRule>
  </conditionalFormatting>
  <conditionalFormatting sqref="V17:X17">
    <cfRule type="colorScale" priority="12">
      <colorScale>
        <cfvo type="min"/>
        <cfvo type="percentile" val="50"/>
        <cfvo type="max"/>
        <color rgb="FFF8696B"/>
        <color rgb="FFFFEB84"/>
        <color rgb="FF63BE7B"/>
      </colorScale>
    </cfRule>
  </conditionalFormatting>
  <conditionalFormatting sqref="V18:X18">
    <cfRule type="colorScale" priority="10">
      <colorScale>
        <cfvo type="min"/>
        <cfvo type="percentile" val="50"/>
        <cfvo type="max"/>
        <color rgb="FFF8696B"/>
        <color rgb="FFFFEB84"/>
        <color rgb="FF63BE7B"/>
      </colorScale>
    </cfRule>
  </conditionalFormatting>
  <conditionalFormatting sqref="V19:X19">
    <cfRule type="colorScale" priority="11">
      <colorScale>
        <cfvo type="min"/>
        <cfvo type="percentile" val="50"/>
        <cfvo type="max"/>
        <color rgb="FFF8696B"/>
        <color rgb="FFFFEB84"/>
        <color rgb="FF63BE7B"/>
      </colorScale>
    </cfRule>
  </conditionalFormatting>
  <conditionalFormatting sqref="V20:X20">
    <cfRule type="colorScale" priority="9">
      <colorScale>
        <cfvo type="min"/>
        <cfvo type="percentile" val="50"/>
        <cfvo type="max"/>
        <color rgb="FFF8696B"/>
        <color rgb="FFFFEB84"/>
        <color rgb="FF63BE7B"/>
      </colorScale>
    </cfRule>
  </conditionalFormatting>
  <conditionalFormatting sqref="X29">
    <cfRule type="colorScale" priority="7">
      <colorScale>
        <cfvo type="min"/>
        <cfvo type="percentile" val="50"/>
        <cfvo type="max"/>
        <color rgb="FFF8696B"/>
        <color rgb="FFFFEB84"/>
        <color rgb="FF63BE7B"/>
      </colorScale>
    </cfRule>
  </conditionalFormatting>
  <conditionalFormatting sqref="X30">
    <cfRule type="colorScale" priority="6">
      <colorScale>
        <cfvo type="min"/>
        <cfvo type="percentile" val="50"/>
        <cfvo type="max"/>
        <color rgb="FFF8696B"/>
        <color rgb="FFFFEB84"/>
        <color rgb="FF63BE7B"/>
      </colorScale>
    </cfRule>
  </conditionalFormatting>
  <conditionalFormatting sqref="X42">
    <cfRule type="colorScale" priority="3">
      <colorScale>
        <cfvo type="min"/>
        <cfvo type="percentile" val="50"/>
        <cfvo type="max"/>
        <color rgb="FFF8696B"/>
        <color rgb="FFFFEB84"/>
        <color rgb="FF63BE7B"/>
      </colorScale>
    </cfRule>
  </conditionalFormatting>
  <conditionalFormatting sqref="X43">
    <cfRule type="colorScale" priority="2">
      <colorScale>
        <cfvo type="min"/>
        <cfvo type="percentile" val="50"/>
        <cfvo type="max"/>
        <color rgb="FFF8696B"/>
        <color rgb="FFFFEB84"/>
        <color rgb="FF63BE7B"/>
      </colorScale>
    </cfRule>
  </conditionalFormatting>
  <pageMargins left="0.7" right="0.7" top="0.75" bottom="0.75" header="0.3" footer="0.3"/>
  <legacyDrawing r:id="rId1"/>
  <tableParts count="4">
    <tablePart r:id="rId2"/>
    <tablePart r:id="rId3"/>
    <tablePart r:id="rId4"/>
    <tablePart r:id="rId5"/>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CBDBE-33CC-4EA5-9F13-93397A757CCC}">
  <dimension ref="A1:AD124"/>
  <sheetViews>
    <sheetView topLeftCell="O65" zoomScaleNormal="100" workbookViewId="0">
      <selection activeCell="R79" sqref="R79"/>
    </sheetView>
  </sheetViews>
  <sheetFormatPr defaultColWidth="9.140625" defaultRowHeight="15" x14ac:dyDescent="0.25"/>
  <cols>
    <col min="1" max="1" width="34.42578125" style="25" customWidth="1"/>
    <col min="2" max="2" width="11.5703125" style="25" customWidth="1"/>
    <col min="3" max="3" width="23.140625" style="25" customWidth="1"/>
    <col min="4" max="4" width="8.7109375" style="25" customWidth="1"/>
    <col min="5" max="5" width="11.28515625" style="25" bestFit="1" customWidth="1"/>
    <col min="6" max="6" width="15" style="25" bestFit="1" customWidth="1"/>
    <col min="7" max="7" width="11.28515625" style="25" customWidth="1"/>
    <col min="8" max="8" width="19.5703125" style="25" bestFit="1" customWidth="1"/>
    <col min="9" max="9" width="51.42578125" style="25" customWidth="1"/>
    <col min="10" max="11" width="12.140625" style="25" customWidth="1"/>
    <col min="12" max="12" width="16.5703125" style="25" customWidth="1"/>
    <col min="13" max="14" width="15.28515625" style="25" bestFit="1" customWidth="1"/>
    <col min="15" max="15" width="16.85546875" style="25" bestFit="1" customWidth="1"/>
    <col min="16" max="17" width="15.42578125" style="25" bestFit="1" customWidth="1"/>
    <col min="18" max="18" width="17" style="25" bestFit="1" customWidth="1"/>
    <col min="19" max="20" width="15.42578125" style="25" bestFit="1" customWidth="1"/>
    <col min="21" max="21" width="17" style="25" bestFit="1" customWidth="1"/>
    <col min="22" max="23" width="15.42578125" style="25" bestFit="1" customWidth="1"/>
    <col min="24" max="24" width="17" style="25" bestFit="1" customWidth="1"/>
    <col min="25" max="26" width="15.42578125" style="25" bestFit="1" customWidth="1"/>
    <col min="27" max="27" width="17" style="25" bestFit="1" customWidth="1"/>
    <col min="28" max="29" width="15.28515625" style="25" bestFit="1" customWidth="1"/>
    <col min="30" max="30" width="16.85546875" style="25" bestFit="1" customWidth="1"/>
    <col min="31" max="16384" width="9.140625" style="25"/>
  </cols>
  <sheetData>
    <row r="1" spans="1:30" ht="30.75" thickBot="1" x14ac:dyDescent="0.3">
      <c r="A1" s="35" t="s">
        <v>35</v>
      </c>
      <c r="B1" s="35" t="s">
        <v>111</v>
      </c>
      <c r="C1" s="35" t="s">
        <v>338</v>
      </c>
      <c r="D1" s="35" t="s">
        <v>454</v>
      </c>
      <c r="E1" s="68" t="s">
        <v>551</v>
      </c>
      <c r="F1" s="37" t="s">
        <v>552</v>
      </c>
      <c r="G1" s="69" t="s">
        <v>498</v>
      </c>
      <c r="H1" s="70" t="s">
        <v>499</v>
      </c>
      <c r="I1" s="70" t="s">
        <v>500</v>
      </c>
      <c r="J1" s="71" t="s">
        <v>501</v>
      </c>
      <c r="K1" s="72" t="s">
        <v>567</v>
      </c>
      <c r="L1" s="72" t="s">
        <v>568</v>
      </c>
      <c r="M1" s="25" t="s">
        <v>484</v>
      </c>
      <c r="N1" s="25" t="s">
        <v>485</v>
      </c>
      <c r="O1" s="25" t="s">
        <v>486</v>
      </c>
      <c r="P1" s="25" t="s">
        <v>487</v>
      </c>
      <c r="Q1" s="25" t="s">
        <v>488</v>
      </c>
      <c r="R1" s="25" t="s">
        <v>489</v>
      </c>
      <c r="S1" s="25" t="s">
        <v>490</v>
      </c>
      <c r="T1" s="25" t="s">
        <v>491</v>
      </c>
      <c r="U1" s="25" t="s">
        <v>492</v>
      </c>
      <c r="V1" s="25" t="s">
        <v>493</v>
      </c>
      <c r="W1" s="25" t="s">
        <v>494</v>
      </c>
      <c r="X1" s="25" t="s">
        <v>495</v>
      </c>
      <c r="Y1" s="25" t="s">
        <v>496</v>
      </c>
      <c r="Z1" s="25" t="s">
        <v>497</v>
      </c>
      <c r="AA1" s="25" t="s">
        <v>574</v>
      </c>
      <c r="AB1" s="25" t="s">
        <v>731</v>
      </c>
      <c r="AC1" s="25" t="s">
        <v>732</v>
      </c>
      <c r="AD1" s="25" t="s">
        <v>733</v>
      </c>
    </row>
    <row r="2" spans="1:30" ht="16.5" thickBot="1" x14ac:dyDescent="0.3">
      <c r="A2" s="35" t="s">
        <v>248</v>
      </c>
      <c r="B2" s="35">
        <v>46.2</v>
      </c>
      <c r="C2" s="73" t="s">
        <v>469</v>
      </c>
      <c r="D2" s="43">
        <v>1720</v>
      </c>
      <c r="E2" s="25" t="s">
        <v>524</v>
      </c>
      <c r="F2" s="25" t="s">
        <v>543</v>
      </c>
      <c r="G2" s="74">
        <v>951</v>
      </c>
      <c r="H2" s="75" t="s">
        <v>363</v>
      </c>
      <c r="I2" s="75" t="s">
        <v>502</v>
      </c>
      <c r="J2" s="75">
        <v>62</v>
      </c>
      <c r="K2" s="76" t="s">
        <v>524</v>
      </c>
      <c r="L2" s="76" t="s">
        <v>543</v>
      </c>
      <c r="M2" s="25">
        <v>0</v>
      </c>
      <c r="N2" s="25">
        <v>0</v>
      </c>
      <c r="O2" s="25">
        <v>0</v>
      </c>
      <c r="P2" s="25">
        <v>0</v>
      </c>
      <c r="Q2" s="25">
        <v>0</v>
      </c>
      <c r="R2" s="25">
        <v>0</v>
      </c>
      <c r="S2" s="25">
        <v>0</v>
      </c>
      <c r="T2" s="25">
        <v>0</v>
      </c>
      <c r="U2" s="25">
        <v>0</v>
      </c>
      <c r="V2" s="25">
        <v>0</v>
      </c>
      <c r="W2" s="25">
        <v>0</v>
      </c>
      <c r="X2" s="25">
        <v>0</v>
      </c>
      <c r="Y2" s="25">
        <v>0</v>
      </c>
      <c r="Z2" s="25">
        <v>0</v>
      </c>
      <c r="AA2" s="25">
        <v>0</v>
      </c>
      <c r="AB2" s="245">
        <v>1815.66</v>
      </c>
      <c r="AC2" s="25">
        <v>6222.48</v>
      </c>
      <c r="AD2" s="25">
        <v>9212.0400000000009</v>
      </c>
    </row>
    <row r="3" spans="1:30" x14ac:dyDescent="0.25">
      <c r="A3" s="35" t="s">
        <v>249</v>
      </c>
      <c r="B3" s="35">
        <v>48</v>
      </c>
      <c r="C3" s="35" t="s">
        <v>366</v>
      </c>
      <c r="D3" s="35">
        <v>716</v>
      </c>
      <c r="E3" s="25" t="s">
        <v>524</v>
      </c>
      <c r="F3" s="37" t="s">
        <v>543</v>
      </c>
      <c r="G3" s="77">
        <v>3075</v>
      </c>
      <c r="H3" s="77" t="s">
        <v>503</v>
      </c>
      <c r="I3" s="77" t="s">
        <v>504</v>
      </c>
      <c r="J3" s="78">
        <v>6.85</v>
      </c>
      <c r="K3" s="76" t="s">
        <v>524</v>
      </c>
      <c r="L3" s="76" t="s">
        <v>543</v>
      </c>
      <c r="M3" s="25">
        <v>0</v>
      </c>
      <c r="N3" s="25">
        <v>0</v>
      </c>
      <c r="O3" s="25">
        <v>0</v>
      </c>
      <c r="P3" s="25">
        <v>0</v>
      </c>
      <c r="Q3" s="25">
        <v>0</v>
      </c>
      <c r="R3" s="25">
        <v>0</v>
      </c>
      <c r="S3" s="25">
        <v>0</v>
      </c>
      <c r="T3" s="25">
        <v>0</v>
      </c>
      <c r="U3" s="25">
        <v>0</v>
      </c>
      <c r="V3" s="25">
        <v>0</v>
      </c>
      <c r="W3" s="25">
        <v>0</v>
      </c>
      <c r="X3" s="25">
        <v>0</v>
      </c>
      <c r="Y3" s="25">
        <v>0</v>
      </c>
      <c r="Z3" s="25">
        <v>0</v>
      </c>
      <c r="AA3" s="25">
        <v>0</v>
      </c>
      <c r="AB3" s="245">
        <v>0</v>
      </c>
      <c r="AC3" s="25">
        <v>0</v>
      </c>
      <c r="AD3" s="25">
        <v>0</v>
      </c>
    </row>
    <row r="4" spans="1:30" ht="16.5" thickBot="1" x14ac:dyDescent="0.3">
      <c r="A4" s="35" t="s">
        <v>247</v>
      </c>
      <c r="B4" s="35">
        <v>8.84</v>
      </c>
      <c r="C4" s="73" t="s">
        <v>470</v>
      </c>
      <c r="D4" s="73">
        <v>1481</v>
      </c>
      <c r="E4" s="25" t="s">
        <v>524</v>
      </c>
      <c r="F4" s="25" t="s">
        <v>543</v>
      </c>
      <c r="G4" s="74">
        <v>1589</v>
      </c>
      <c r="H4" s="75" t="s">
        <v>476</v>
      </c>
      <c r="I4" s="75" t="s">
        <v>505</v>
      </c>
      <c r="J4" s="79">
        <v>3.15</v>
      </c>
      <c r="K4" s="76" t="s">
        <v>524</v>
      </c>
      <c r="L4" s="76" t="s">
        <v>543</v>
      </c>
      <c r="M4" s="25">
        <v>1225.3499999999999</v>
      </c>
      <c r="N4" s="25">
        <v>1067.79</v>
      </c>
      <c r="O4" s="25">
        <v>591.03</v>
      </c>
      <c r="P4" s="25">
        <v>544.95000000000005</v>
      </c>
      <c r="Q4" s="25">
        <v>484.36</v>
      </c>
      <c r="R4" s="25">
        <v>214.22</v>
      </c>
      <c r="S4" s="25">
        <v>161.26</v>
      </c>
      <c r="T4" s="25">
        <v>151.94999999999999</v>
      </c>
      <c r="U4" s="25">
        <v>175.44</v>
      </c>
      <c r="V4" s="25">
        <v>640.37</v>
      </c>
      <c r="W4" s="25">
        <v>950.04</v>
      </c>
      <c r="X4" s="25">
        <v>1082.6600000000001</v>
      </c>
      <c r="Y4" s="25">
        <v>1096.22</v>
      </c>
      <c r="Z4" s="25">
        <v>1009.39</v>
      </c>
      <c r="AA4" s="25">
        <v>928.61</v>
      </c>
      <c r="AB4" s="245">
        <v>422.62</v>
      </c>
      <c r="AC4" s="25">
        <v>160.66999999999999</v>
      </c>
      <c r="AD4" s="25">
        <v>168.81</v>
      </c>
    </row>
    <row r="5" spans="1:30" ht="16.5" thickBot="1" x14ac:dyDescent="0.3">
      <c r="A5" s="35" t="s">
        <v>250</v>
      </c>
      <c r="B5" s="35">
        <v>3.15</v>
      </c>
      <c r="C5" s="73" t="s">
        <v>476</v>
      </c>
      <c r="D5" s="73">
        <v>1589</v>
      </c>
      <c r="E5" s="25" t="s">
        <v>524</v>
      </c>
      <c r="F5" s="25" t="s">
        <v>543</v>
      </c>
      <c r="G5" s="74">
        <v>1262</v>
      </c>
      <c r="H5" s="75" t="s">
        <v>370</v>
      </c>
      <c r="I5" s="75" t="s">
        <v>506</v>
      </c>
      <c r="J5" s="75">
        <v>49.1</v>
      </c>
      <c r="K5" s="76" t="s">
        <v>524</v>
      </c>
      <c r="L5" s="76" t="s">
        <v>543</v>
      </c>
      <c r="M5" s="25">
        <v>2935</v>
      </c>
      <c r="N5" s="25">
        <v>2911</v>
      </c>
      <c r="O5" s="25">
        <v>23747</v>
      </c>
      <c r="P5" s="25">
        <v>30024</v>
      </c>
      <c r="Q5" s="25">
        <v>23543</v>
      </c>
      <c r="R5" s="25">
        <v>8796</v>
      </c>
      <c r="S5" s="25">
        <v>2962.55</v>
      </c>
      <c r="T5" s="25">
        <v>1565.15</v>
      </c>
      <c r="U5" s="25">
        <v>2854</v>
      </c>
      <c r="V5" s="25">
        <v>4092</v>
      </c>
      <c r="W5" s="25">
        <v>8543.48</v>
      </c>
      <c r="X5" s="25">
        <v>6287.1</v>
      </c>
      <c r="Y5" s="25">
        <v>5883.47</v>
      </c>
      <c r="Z5" s="25">
        <v>15989.24</v>
      </c>
      <c r="AA5" s="25">
        <v>15980.01</v>
      </c>
      <c r="AB5" s="245">
        <v>19653.349999999999</v>
      </c>
      <c r="AC5" s="25">
        <v>16642.560000000001</v>
      </c>
      <c r="AD5" s="25">
        <v>21419.69</v>
      </c>
    </row>
    <row r="6" spans="1:30" ht="15.75" thickBot="1" x14ac:dyDescent="0.3">
      <c r="A6" s="35" t="s">
        <v>251</v>
      </c>
      <c r="B6" s="35">
        <v>62</v>
      </c>
      <c r="C6" s="35" t="s">
        <v>363</v>
      </c>
      <c r="D6" s="35">
        <v>951</v>
      </c>
      <c r="E6" s="25" t="s">
        <v>524</v>
      </c>
      <c r="F6" s="37" t="s">
        <v>543</v>
      </c>
      <c r="G6" s="74">
        <v>2766</v>
      </c>
      <c r="H6" s="75" t="s">
        <v>446</v>
      </c>
      <c r="I6" s="75" t="s">
        <v>507</v>
      </c>
      <c r="J6" s="75">
        <v>37.5</v>
      </c>
      <c r="K6" s="76" t="s">
        <v>524</v>
      </c>
      <c r="L6" s="76" t="s">
        <v>543</v>
      </c>
      <c r="M6" s="25">
        <v>5562.25</v>
      </c>
      <c r="N6" s="25">
        <v>3468.18</v>
      </c>
      <c r="O6" s="25">
        <v>2803.14</v>
      </c>
      <c r="P6" s="25">
        <v>5867.25</v>
      </c>
      <c r="Q6" s="25">
        <v>8035.68</v>
      </c>
      <c r="R6" s="25">
        <v>10367.31</v>
      </c>
      <c r="S6" s="25">
        <v>13272.95</v>
      </c>
      <c r="T6" s="25">
        <v>5957.67</v>
      </c>
      <c r="U6" s="25">
        <v>4080.84</v>
      </c>
      <c r="V6" s="25">
        <v>1289.1600000000001</v>
      </c>
      <c r="W6" s="25">
        <v>621.23</v>
      </c>
      <c r="X6" s="25">
        <v>750.56</v>
      </c>
      <c r="Y6" s="25">
        <v>1423.36</v>
      </c>
      <c r="Z6" s="25">
        <v>19623.41</v>
      </c>
      <c r="AA6" s="25">
        <v>15022.75</v>
      </c>
      <c r="AB6" s="245">
        <v>13114.75</v>
      </c>
      <c r="AC6" s="25">
        <v>9133.77</v>
      </c>
      <c r="AD6" s="25">
        <v>9485.99</v>
      </c>
    </row>
    <row r="7" spans="1:30" ht="15.75" thickBot="1" x14ac:dyDescent="0.3">
      <c r="A7" s="35" t="s">
        <v>252</v>
      </c>
      <c r="B7" s="35">
        <v>10.95</v>
      </c>
      <c r="C7" s="35" t="s">
        <v>365</v>
      </c>
      <c r="D7" s="35">
        <v>2768</v>
      </c>
      <c r="E7" s="25" t="s">
        <v>524</v>
      </c>
      <c r="F7" s="37" t="s">
        <v>543</v>
      </c>
      <c r="G7" s="74">
        <v>1650</v>
      </c>
      <c r="H7" s="75" t="s">
        <v>364</v>
      </c>
      <c r="I7" s="75" t="s">
        <v>508</v>
      </c>
      <c r="J7" s="75">
        <v>49.2</v>
      </c>
      <c r="K7" s="76" t="s">
        <v>524</v>
      </c>
      <c r="L7" s="76" t="s">
        <v>543</v>
      </c>
      <c r="M7" s="25">
        <v>2529.17</v>
      </c>
      <c r="N7" s="25">
        <v>1374.34</v>
      </c>
      <c r="O7" s="25">
        <v>14804.46</v>
      </c>
      <c r="P7" s="25">
        <v>18567.849999999999</v>
      </c>
      <c r="Q7" s="25">
        <v>17964.259999999998</v>
      </c>
      <c r="R7" s="25">
        <v>8945.9599999999991</v>
      </c>
      <c r="S7" s="25">
        <v>2738.8</v>
      </c>
      <c r="T7" s="25">
        <v>1190.8499999999999</v>
      </c>
      <c r="U7" s="25">
        <v>2313.8000000000002</v>
      </c>
      <c r="V7" s="25">
        <v>3860.94</v>
      </c>
      <c r="W7" s="25">
        <v>9257.9599999999991</v>
      </c>
      <c r="X7" s="25">
        <v>7091.36</v>
      </c>
      <c r="Y7" s="25">
        <v>5382.23</v>
      </c>
      <c r="Z7" s="25">
        <v>16066.5</v>
      </c>
      <c r="AA7" s="25">
        <v>13782.41</v>
      </c>
      <c r="AB7" s="245">
        <v>20332.39</v>
      </c>
      <c r="AC7" s="25">
        <v>17160.03</v>
      </c>
      <c r="AD7" s="25">
        <v>23284.23</v>
      </c>
    </row>
    <row r="8" spans="1:30" ht="15.75" thickBot="1" x14ac:dyDescent="0.3">
      <c r="A8" s="35" t="s">
        <v>253</v>
      </c>
      <c r="B8" s="35">
        <v>37.5</v>
      </c>
      <c r="C8" s="35" t="s">
        <v>446</v>
      </c>
      <c r="D8" s="35">
        <v>2766</v>
      </c>
      <c r="E8" s="25" t="s">
        <v>524</v>
      </c>
      <c r="F8" s="37" t="s">
        <v>543</v>
      </c>
      <c r="G8" s="74">
        <v>1720</v>
      </c>
      <c r="H8" s="75" t="s">
        <v>469</v>
      </c>
      <c r="I8" s="75" t="s">
        <v>509</v>
      </c>
      <c r="J8" s="75">
        <v>46.2</v>
      </c>
      <c r="K8" s="76" t="s">
        <v>524</v>
      </c>
      <c r="L8" s="76" t="s">
        <v>543</v>
      </c>
      <c r="M8" s="25">
        <v>10032.98</v>
      </c>
      <c r="N8" s="25">
        <v>5192.28</v>
      </c>
      <c r="O8" s="25">
        <v>17142.87</v>
      </c>
      <c r="P8" s="25">
        <v>13995.84</v>
      </c>
      <c r="Q8" s="25">
        <v>3670.79</v>
      </c>
      <c r="R8" s="25">
        <v>624.54</v>
      </c>
      <c r="S8" s="25">
        <v>83.36</v>
      </c>
      <c r="T8" s="25">
        <v>0</v>
      </c>
      <c r="U8" s="25">
        <v>0</v>
      </c>
      <c r="V8" s="25">
        <v>0</v>
      </c>
      <c r="W8" s="25">
        <v>1.1200000000000001</v>
      </c>
      <c r="X8" s="25">
        <v>6508.66</v>
      </c>
      <c r="Y8" s="25">
        <v>14768.16</v>
      </c>
      <c r="Z8" s="25">
        <v>22052.02</v>
      </c>
      <c r="AA8" s="25">
        <v>13065.54</v>
      </c>
      <c r="AB8" s="245">
        <v>16522.990000000002</v>
      </c>
      <c r="AC8" s="25">
        <v>13012.87</v>
      </c>
      <c r="AD8" s="25">
        <v>5702.71</v>
      </c>
    </row>
    <row r="9" spans="1:30" ht="16.5" thickBot="1" x14ac:dyDescent="0.3">
      <c r="A9" s="35" t="s">
        <v>254</v>
      </c>
      <c r="B9" s="35">
        <v>99</v>
      </c>
      <c r="C9" s="73" t="s">
        <v>471</v>
      </c>
      <c r="D9" s="43">
        <v>2341</v>
      </c>
      <c r="E9" s="30"/>
      <c r="F9" s="25">
        <v>2028</v>
      </c>
      <c r="G9" s="74">
        <v>1481</v>
      </c>
      <c r="H9" s="75" t="s">
        <v>470</v>
      </c>
      <c r="I9" s="75" t="s">
        <v>510</v>
      </c>
      <c r="J9" s="75">
        <v>8.84</v>
      </c>
      <c r="K9" s="76" t="s">
        <v>524</v>
      </c>
      <c r="L9" s="76" t="s">
        <v>543</v>
      </c>
      <c r="M9" s="25">
        <v>1412.6</v>
      </c>
      <c r="N9" s="25">
        <v>1109.0999999999999</v>
      </c>
      <c r="O9" s="25">
        <v>324</v>
      </c>
      <c r="P9" s="25">
        <v>452.8</v>
      </c>
      <c r="Q9" s="25">
        <v>322.89999999999998</v>
      </c>
      <c r="R9" s="25">
        <v>0</v>
      </c>
      <c r="S9" s="25">
        <v>317.10000000000002</v>
      </c>
      <c r="T9" s="25">
        <v>387.6</v>
      </c>
      <c r="U9" s="25">
        <v>0</v>
      </c>
      <c r="V9" s="25">
        <v>607.9</v>
      </c>
      <c r="W9" s="25">
        <v>625.1</v>
      </c>
      <c r="X9" s="25">
        <v>1044.2</v>
      </c>
      <c r="Y9" s="25">
        <v>1388.8</v>
      </c>
      <c r="Z9" s="25">
        <v>1890.7</v>
      </c>
      <c r="AA9" s="25">
        <v>1211.8</v>
      </c>
      <c r="AB9" s="245">
        <v>519.41999999999996</v>
      </c>
      <c r="AC9" s="25">
        <v>22.24</v>
      </c>
      <c r="AD9" s="25">
        <v>7.23</v>
      </c>
    </row>
    <row r="10" spans="1:30" ht="16.5" thickBot="1" x14ac:dyDescent="0.3">
      <c r="A10" s="81" t="s">
        <v>255</v>
      </c>
      <c r="B10" s="35">
        <v>63</v>
      </c>
      <c r="C10" s="73" t="s">
        <v>472</v>
      </c>
      <c r="D10" s="43">
        <v>988</v>
      </c>
      <c r="E10" s="25" t="s">
        <v>524</v>
      </c>
      <c r="F10" s="37" t="s">
        <v>543</v>
      </c>
      <c r="G10" s="74">
        <v>2149</v>
      </c>
      <c r="H10" s="75" t="s">
        <v>475</v>
      </c>
      <c r="I10" s="75" t="s">
        <v>511</v>
      </c>
      <c r="J10" s="75">
        <v>275.60000000000002</v>
      </c>
      <c r="K10" s="76">
        <v>73</v>
      </c>
      <c r="L10" s="76">
        <v>2025</v>
      </c>
      <c r="M10" s="25">
        <v>11477</v>
      </c>
      <c r="N10" s="25">
        <v>5818</v>
      </c>
      <c r="O10" s="25">
        <v>5850</v>
      </c>
      <c r="P10" s="25">
        <v>13605</v>
      </c>
      <c r="Q10" s="25">
        <v>12973</v>
      </c>
      <c r="R10" s="25">
        <v>14704</v>
      </c>
      <c r="S10" s="25">
        <v>11066</v>
      </c>
      <c r="T10" s="25">
        <v>12631</v>
      </c>
      <c r="U10" s="25">
        <v>10448</v>
      </c>
      <c r="V10" s="25">
        <v>6545</v>
      </c>
      <c r="W10" s="25">
        <v>5729</v>
      </c>
      <c r="X10" s="25">
        <v>8120</v>
      </c>
      <c r="Y10" s="25">
        <v>8575</v>
      </c>
      <c r="Z10" s="25">
        <v>41397</v>
      </c>
      <c r="AA10" s="25">
        <v>36786</v>
      </c>
      <c r="AB10" s="245">
        <v>50741.8</v>
      </c>
      <c r="AC10" s="25">
        <v>71072</v>
      </c>
      <c r="AD10" s="25">
        <v>53703</v>
      </c>
    </row>
    <row r="11" spans="1:30" ht="15.75" thickBot="1" x14ac:dyDescent="0.3">
      <c r="A11" s="35" t="s">
        <v>265</v>
      </c>
      <c r="B11" s="82">
        <v>49.2</v>
      </c>
      <c r="C11" s="35" t="s">
        <v>364</v>
      </c>
      <c r="D11" s="35">
        <v>1650</v>
      </c>
      <c r="E11" s="25" t="s">
        <v>524</v>
      </c>
      <c r="F11" s="37" t="s">
        <v>543</v>
      </c>
      <c r="G11" s="74">
        <v>2768</v>
      </c>
      <c r="H11" s="75" t="s">
        <v>365</v>
      </c>
      <c r="I11" s="75" t="s">
        <v>512</v>
      </c>
      <c r="J11" s="75">
        <v>10.95</v>
      </c>
      <c r="K11" s="76" t="s">
        <v>524</v>
      </c>
      <c r="L11" s="76" t="s">
        <v>543</v>
      </c>
      <c r="M11" s="25">
        <v>3609.8</v>
      </c>
      <c r="N11" s="25">
        <v>1724.98</v>
      </c>
      <c r="O11" s="25">
        <v>1507.81</v>
      </c>
      <c r="P11" s="25">
        <v>2219.34</v>
      </c>
      <c r="Q11" s="25">
        <v>1486.51</v>
      </c>
      <c r="R11" s="25">
        <v>972.84</v>
      </c>
      <c r="S11" s="25">
        <v>793.17</v>
      </c>
      <c r="T11" s="25">
        <v>730.82</v>
      </c>
      <c r="U11" s="25">
        <v>598.48</v>
      </c>
      <c r="V11" s="25">
        <v>1158.92</v>
      </c>
      <c r="W11" s="25">
        <v>1071</v>
      </c>
      <c r="X11" s="25">
        <v>1661.77</v>
      </c>
      <c r="Y11" s="25">
        <v>3374.14</v>
      </c>
      <c r="Z11" s="25">
        <v>5141.6899999999996</v>
      </c>
      <c r="AA11" s="25">
        <v>3381.47</v>
      </c>
      <c r="AB11" s="245">
        <v>2659.18</v>
      </c>
      <c r="AC11" s="25">
        <v>719.74</v>
      </c>
      <c r="AD11" s="25">
        <v>1255.52</v>
      </c>
    </row>
    <row r="12" spans="1:30" ht="15.75" thickBot="1" x14ac:dyDescent="0.3">
      <c r="A12" s="35" t="s">
        <v>256</v>
      </c>
      <c r="B12" s="35">
        <v>49.1</v>
      </c>
      <c r="C12" s="35" t="s">
        <v>370</v>
      </c>
      <c r="D12" s="35">
        <v>1262</v>
      </c>
      <c r="E12" s="25" t="s">
        <v>524</v>
      </c>
      <c r="F12" s="37" t="s">
        <v>543</v>
      </c>
      <c r="G12" s="74">
        <v>716</v>
      </c>
      <c r="H12" s="75" t="s">
        <v>366</v>
      </c>
      <c r="I12" s="75" t="s">
        <v>513</v>
      </c>
      <c r="J12" s="75">
        <v>48</v>
      </c>
      <c r="K12" s="76" t="s">
        <v>524</v>
      </c>
      <c r="L12" s="76" t="s">
        <v>543</v>
      </c>
      <c r="M12" s="25">
        <v>0</v>
      </c>
      <c r="N12" s="25">
        <v>0</v>
      </c>
      <c r="O12" s="25">
        <v>0</v>
      </c>
      <c r="P12" s="25">
        <v>0</v>
      </c>
      <c r="Q12" s="25">
        <v>0</v>
      </c>
      <c r="R12" s="25">
        <v>12574.7</v>
      </c>
      <c r="S12" s="25">
        <v>23515.18</v>
      </c>
      <c r="T12" s="25">
        <v>0</v>
      </c>
      <c r="U12" s="25">
        <v>0</v>
      </c>
      <c r="V12" s="25">
        <v>0</v>
      </c>
      <c r="W12" s="25">
        <v>0</v>
      </c>
      <c r="X12" s="25">
        <v>0</v>
      </c>
      <c r="Y12" s="25">
        <v>0</v>
      </c>
      <c r="Z12" s="25">
        <v>0</v>
      </c>
      <c r="AA12" s="25">
        <v>4867.21</v>
      </c>
      <c r="AB12" s="245">
        <v>13919.68</v>
      </c>
      <c r="AC12" s="25">
        <v>7113.37</v>
      </c>
      <c r="AD12" s="25">
        <v>19045.169999999998</v>
      </c>
    </row>
    <row r="13" spans="1:30" ht="15.75" thickBot="1" x14ac:dyDescent="0.3">
      <c r="A13" s="35" t="s">
        <v>257</v>
      </c>
      <c r="B13" s="35">
        <v>49.6</v>
      </c>
      <c r="C13" s="35" t="s">
        <v>367</v>
      </c>
      <c r="D13" s="35">
        <v>1091</v>
      </c>
      <c r="E13" s="25" t="s">
        <v>524</v>
      </c>
      <c r="F13" s="37" t="s">
        <v>543</v>
      </c>
      <c r="G13" s="74">
        <v>988</v>
      </c>
      <c r="H13" s="75" t="s">
        <v>472</v>
      </c>
      <c r="I13" s="75" t="s">
        <v>514</v>
      </c>
      <c r="J13" s="75">
        <v>63</v>
      </c>
      <c r="K13" s="76" t="s">
        <v>524</v>
      </c>
      <c r="L13" s="76" t="s">
        <v>543</v>
      </c>
      <c r="M13" s="25">
        <v>12906.61</v>
      </c>
      <c r="N13" s="25">
        <v>14564.93</v>
      </c>
      <c r="O13" s="25">
        <v>13305.93</v>
      </c>
      <c r="P13" s="25">
        <v>19258.8</v>
      </c>
      <c r="Q13" s="25">
        <v>26564.1</v>
      </c>
      <c r="R13" s="25">
        <v>24733.599999999999</v>
      </c>
      <c r="S13" s="25">
        <v>24696.29</v>
      </c>
      <c r="T13" s="25">
        <v>21763.25</v>
      </c>
      <c r="U13" s="25">
        <v>16928.060000000001</v>
      </c>
      <c r="V13" s="25">
        <v>8981.67</v>
      </c>
      <c r="W13" s="25">
        <v>14533.21</v>
      </c>
      <c r="X13" s="25">
        <v>20778.54</v>
      </c>
      <c r="Y13" s="25">
        <v>20592.54</v>
      </c>
      <c r="Z13" s="25">
        <v>16404.98</v>
      </c>
      <c r="AA13" s="25">
        <v>24619.8</v>
      </c>
      <c r="AB13" s="245">
        <v>18610.11</v>
      </c>
      <c r="AC13" s="25">
        <v>11128.47</v>
      </c>
      <c r="AD13" s="25">
        <v>20998.62</v>
      </c>
    </row>
    <row r="14" spans="1:30" ht="15.75" thickBot="1" x14ac:dyDescent="0.3">
      <c r="A14" s="35" t="s">
        <v>258</v>
      </c>
      <c r="B14" s="83">
        <v>49.99</v>
      </c>
      <c r="C14" s="35" t="s">
        <v>369</v>
      </c>
      <c r="D14" s="35">
        <v>1548</v>
      </c>
      <c r="E14" s="25" t="s">
        <v>524</v>
      </c>
      <c r="F14" s="37" t="s">
        <v>543</v>
      </c>
      <c r="G14" s="74">
        <v>1091</v>
      </c>
      <c r="H14" s="75" t="s">
        <v>367</v>
      </c>
      <c r="I14" s="75" t="s">
        <v>515</v>
      </c>
      <c r="J14" s="75">
        <v>49.6</v>
      </c>
      <c r="K14" s="76" t="s">
        <v>524</v>
      </c>
      <c r="L14" s="76" t="s">
        <v>543</v>
      </c>
      <c r="M14" s="25">
        <v>2043</v>
      </c>
      <c r="N14" s="25">
        <v>3465</v>
      </c>
      <c r="O14" s="25">
        <v>5954</v>
      </c>
      <c r="P14" s="25">
        <v>6312</v>
      </c>
      <c r="Q14" s="25">
        <v>9023</v>
      </c>
      <c r="R14" s="25">
        <v>6404</v>
      </c>
      <c r="S14" s="25">
        <v>3620</v>
      </c>
      <c r="T14" s="25">
        <v>3574</v>
      </c>
      <c r="U14" s="25">
        <v>3588</v>
      </c>
      <c r="V14" s="25">
        <v>3507</v>
      </c>
      <c r="W14" s="25">
        <v>1442</v>
      </c>
      <c r="X14" s="25">
        <v>332</v>
      </c>
      <c r="Y14" s="25">
        <v>2906</v>
      </c>
      <c r="Z14" s="25">
        <v>17095.810000000001</v>
      </c>
      <c r="AA14" s="25">
        <v>14492.92</v>
      </c>
      <c r="AB14" s="245">
        <v>15050.63</v>
      </c>
      <c r="AC14" s="25">
        <v>9641.35</v>
      </c>
      <c r="AD14" s="25">
        <v>8612.07</v>
      </c>
    </row>
    <row r="15" spans="1:30" ht="16.5" thickBot="1" x14ac:dyDescent="0.3">
      <c r="A15" s="36" t="s">
        <v>473</v>
      </c>
      <c r="B15" s="332">
        <v>275.60000000000002</v>
      </c>
      <c r="C15" s="73" t="s">
        <v>475</v>
      </c>
      <c r="D15" s="73">
        <v>2149</v>
      </c>
      <c r="E15" s="25">
        <v>73</v>
      </c>
      <c r="F15" s="25">
        <v>2025</v>
      </c>
      <c r="G15" s="74">
        <v>1977</v>
      </c>
      <c r="H15" s="75" t="s">
        <v>368</v>
      </c>
      <c r="I15" s="75" t="s">
        <v>516</v>
      </c>
      <c r="J15" s="75">
        <v>57</v>
      </c>
      <c r="K15" s="76">
        <v>73</v>
      </c>
      <c r="L15" s="76">
        <v>2026</v>
      </c>
      <c r="M15" s="25">
        <v>12597.32</v>
      </c>
      <c r="N15" s="25">
        <v>16414.099999999999</v>
      </c>
      <c r="O15" s="25">
        <v>19421.990000000002</v>
      </c>
      <c r="P15" s="25">
        <v>11989.56</v>
      </c>
      <c r="Q15" s="25">
        <v>19397.07</v>
      </c>
      <c r="R15" s="25">
        <v>21624.75</v>
      </c>
      <c r="S15" s="25">
        <v>16515.28</v>
      </c>
      <c r="T15" s="25">
        <v>19249.14</v>
      </c>
      <c r="U15" s="25">
        <v>19021.41</v>
      </c>
      <c r="V15" s="25">
        <v>13260.29</v>
      </c>
      <c r="W15" s="25">
        <v>16395.990000000002</v>
      </c>
      <c r="X15" s="25">
        <v>14704.94</v>
      </c>
      <c r="Y15" s="25">
        <v>23556.74</v>
      </c>
      <c r="Z15" s="25">
        <v>17913.22</v>
      </c>
      <c r="AA15" s="25">
        <v>15855.87</v>
      </c>
      <c r="AB15" s="245">
        <v>15132.49</v>
      </c>
      <c r="AC15" s="25">
        <v>15666.29</v>
      </c>
      <c r="AD15" s="25">
        <v>13358.43</v>
      </c>
    </row>
    <row r="16" spans="1:30" ht="16.5" thickBot="1" x14ac:dyDescent="0.3">
      <c r="A16" s="36" t="s">
        <v>474</v>
      </c>
      <c r="B16" s="332"/>
      <c r="C16" s="73" t="s">
        <v>475</v>
      </c>
      <c r="D16" s="73">
        <v>1931</v>
      </c>
      <c r="E16" s="25">
        <v>73</v>
      </c>
      <c r="F16" s="25">
        <v>2025</v>
      </c>
      <c r="G16" s="74">
        <v>2341</v>
      </c>
      <c r="H16" s="75" t="s">
        <v>471</v>
      </c>
      <c r="I16" s="75" t="s">
        <v>517</v>
      </c>
      <c r="J16" s="75">
        <v>99</v>
      </c>
      <c r="K16" s="76">
        <v>73</v>
      </c>
      <c r="L16" s="76">
        <v>2028</v>
      </c>
      <c r="M16" s="25">
        <v>20649.02</v>
      </c>
      <c r="N16" s="25">
        <v>22711.74</v>
      </c>
      <c r="O16" s="25">
        <v>26370.22</v>
      </c>
      <c r="P16" s="25">
        <v>34634.61</v>
      </c>
      <c r="Q16" s="25">
        <v>44548.84</v>
      </c>
      <c r="R16" s="25">
        <v>38067.919999999998</v>
      </c>
      <c r="S16" s="25">
        <v>38415.31</v>
      </c>
      <c r="T16" s="25">
        <v>32557.32</v>
      </c>
      <c r="U16" s="25">
        <v>25291.58</v>
      </c>
      <c r="V16" s="25">
        <v>14116.68</v>
      </c>
      <c r="W16" s="25">
        <v>24538.13</v>
      </c>
      <c r="X16" s="25">
        <v>32932.5</v>
      </c>
      <c r="Y16" s="25">
        <v>33186.44</v>
      </c>
      <c r="Z16" s="25">
        <v>33512.01</v>
      </c>
      <c r="AA16" s="25">
        <v>48035.75</v>
      </c>
      <c r="AB16" s="245">
        <v>49121.04</v>
      </c>
      <c r="AC16" s="25">
        <v>62665.03</v>
      </c>
      <c r="AD16" s="25">
        <v>61835.26</v>
      </c>
    </row>
    <row r="17" spans="1:30" ht="15.75" thickBot="1" x14ac:dyDescent="0.3">
      <c r="A17" s="35" t="s">
        <v>259</v>
      </c>
      <c r="B17" s="35">
        <v>54</v>
      </c>
      <c r="C17" s="35"/>
      <c r="D17" s="35"/>
      <c r="E17" s="25">
        <v>94</v>
      </c>
      <c r="F17" s="25">
        <v>2026</v>
      </c>
      <c r="G17" s="74">
        <v>1548</v>
      </c>
      <c r="H17" s="75" t="s">
        <v>369</v>
      </c>
      <c r="I17" s="75" t="s">
        <v>518</v>
      </c>
      <c r="J17" s="75">
        <v>49.99</v>
      </c>
      <c r="K17" s="76" t="s">
        <v>524</v>
      </c>
      <c r="L17" s="76" t="s">
        <v>543</v>
      </c>
      <c r="M17" s="25">
        <v>4611.01</v>
      </c>
      <c r="N17" s="25">
        <v>3163.36</v>
      </c>
      <c r="O17" s="25">
        <v>5548.48</v>
      </c>
      <c r="P17" s="25">
        <v>9661.1200000000008</v>
      </c>
      <c r="Q17" s="25">
        <v>21047.9</v>
      </c>
      <c r="R17" s="25">
        <v>8495.4699999999993</v>
      </c>
      <c r="S17" s="25">
        <v>3034.34</v>
      </c>
      <c r="T17" s="25">
        <v>1389.35</v>
      </c>
      <c r="U17" s="25">
        <v>923.91</v>
      </c>
      <c r="V17" s="25">
        <v>900.83</v>
      </c>
      <c r="W17" s="25">
        <v>1007.36</v>
      </c>
      <c r="X17" s="25">
        <v>2318.64</v>
      </c>
      <c r="Y17" s="25">
        <v>5717.71</v>
      </c>
      <c r="Z17" s="25">
        <v>23294.799999999999</v>
      </c>
      <c r="AA17" s="25">
        <v>22027.61</v>
      </c>
      <c r="AB17" s="245">
        <v>26259.22</v>
      </c>
      <c r="AC17" s="25">
        <v>17009.919999999998</v>
      </c>
      <c r="AD17" s="25">
        <v>26280.560000000001</v>
      </c>
    </row>
    <row r="18" spans="1:30" ht="15.75" thickBot="1" x14ac:dyDescent="0.3">
      <c r="A18" s="35" t="s">
        <v>260</v>
      </c>
      <c r="B18" s="35">
        <v>145.5</v>
      </c>
      <c r="C18" s="35"/>
      <c r="D18" s="35"/>
      <c r="E18" s="25">
        <v>73</v>
      </c>
      <c r="G18" s="74">
        <v>1712</v>
      </c>
      <c r="H18" s="75" t="s">
        <v>437</v>
      </c>
      <c r="I18" s="75" t="s">
        <v>519</v>
      </c>
      <c r="J18" s="75">
        <v>227.65</v>
      </c>
      <c r="K18" s="76" t="s">
        <v>524</v>
      </c>
      <c r="L18" s="76" t="s">
        <v>543</v>
      </c>
      <c r="M18" s="25">
        <v>20508.349999999999</v>
      </c>
      <c r="N18" s="25">
        <v>33355.75</v>
      </c>
      <c r="O18" s="25">
        <v>38775.599999999999</v>
      </c>
      <c r="P18" s="25">
        <v>30777.35</v>
      </c>
      <c r="Q18" s="25">
        <v>35368.839999999997</v>
      </c>
      <c r="R18" s="25">
        <v>37839.879999999997</v>
      </c>
      <c r="S18" s="25">
        <v>39875.629999999997</v>
      </c>
      <c r="T18" s="25">
        <v>44382.57</v>
      </c>
      <c r="U18" s="25">
        <v>38101.94</v>
      </c>
      <c r="V18" s="25">
        <v>33274.1</v>
      </c>
      <c r="W18" s="25">
        <v>18182.41</v>
      </c>
      <c r="X18" s="25">
        <v>21944.99</v>
      </c>
      <c r="Y18" s="25">
        <v>41026.5</v>
      </c>
      <c r="Z18" s="25">
        <v>36058.99</v>
      </c>
      <c r="AA18" s="25">
        <v>28591.29</v>
      </c>
      <c r="AB18" s="245">
        <v>20215.27</v>
      </c>
      <c r="AC18" s="25">
        <v>8453.35</v>
      </c>
      <c r="AD18" s="25">
        <v>24588.19</v>
      </c>
    </row>
    <row r="19" spans="1:30" ht="15.75" thickBot="1" x14ac:dyDescent="0.3">
      <c r="A19" s="35" t="s">
        <v>261</v>
      </c>
      <c r="B19" s="35">
        <v>57</v>
      </c>
      <c r="C19" s="35" t="s">
        <v>368</v>
      </c>
      <c r="D19" s="35">
        <v>1977</v>
      </c>
      <c r="E19" s="25">
        <v>73</v>
      </c>
      <c r="F19" s="25">
        <v>2026</v>
      </c>
      <c r="G19" s="74">
        <v>2066</v>
      </c>
      <c r="H19" s="75" t="s">
        <v>520</v>
      </c>
      <c r="I19" s="75" t="s">
        <v>521</v>
      </c>
      <c r="J19" s="75">
        <v>54</v>
      </c>
      <c r="K19" s="76" t="s">
        <v>524</v>
      </c>
      <c r="L19" s="76" t="s">
        <v>543</v>
      </c>
      <c r="M19" s="25">
        <v>13450.38</v>
      </c>
      <c r="N19" s="25">
        <v>8559.85</v>
      </c>
      <c r="O19" s="25">
        <v>13178.69</v>
      </c>
      <c r="P19" s="25">
        <v>8396.73</v>
      </c>
      <c r="Q19" s="25">
        <v>7790.38</v>
      </c>
      <c r="R19" s="25">
        <v>12199.04</v>
      </c>
      <c r="S19" s="25">
        <v>13585.86</v>
      </c>
      <c r="T19" s="25">
        <v>19739.59</v>
      </c>
      <c r="U19" s="25">
        <v>12529.5</v>
      </c>
      <c r="V19" s="25">
        <v>9284.27</v>
      </c>
      <c r="W19" s="25">
        <v>9935.7199999999993</v>
      </c>
      <c r="X19" s="25">
        <v>6758.49</v>
      </c>
      <c r="Y19" s="25">
        <v>17716.62</v>
      </c>
      <c r="Z19" s="25">
        <v>13114.15</v>
      </c>
      <c r="AA19" s="25">
        <v>9486.67</v>
      </c>
      <c r="AB19" s="245">
        <v>5602.72</v>
      </c>
      <c r="AC19" s="25">
        <v>8565.18</v>
      </c>
      <c r="AD19" s="25">
        <v>13530.48</v>
      </c>
    </row>
    <row r="20" spans="1:30" x14ac:dyDescent="0.25">
      <c r="A20" s="35" t="s">
        <v>262</v>
      </c>
      <c r="B20" s="35">
        <v>6.85</v>
      </c>
      <c r="C20" s="35"/>
      <c r="D20" s="43"/>
      <c r="E20" s="25" t="s">
        <v>524</v>
      </c>
      <c r="G20" s="25" t="s">
        <v>522</v>
      </c>
      <c r="M20" s="25">
        <v>125549.84</v>
      </c>
      <c r="N20" s="25">
        <v>124900.4</v>
      </c>
      <c r="O20" s="25">
        <v>189325.22</v>
      </c>
      <c r="P20" s="25">
        <v>206307.20000000001</v>
      </c>
      <c r="Q20" s="25">
        <v>232220.63</v>
      </c>
      <c r="R20" s="25">
        <v>206564.23</v>
      </c>
      <c r="S20" s="25">
        <v>194653.08</v>
      </c>
      <c r="T20" s="25">
        <v>165270.26</v>
      </c>
      <c r="U20" s="25">
        <v>136854.96</v>
      </c>
      <c r="V20" s="25">
        <v>101519.13</v>
      </c>
      <c r="W20" s="25">
        <v>112833.75</v>
      </c>
      <c r="X20" s="25">
        <v>132316.41</v>
      </c>
      <c r="Y20" s="25">
        <v>186593.93</v>
      </c>
      <c r="Z20" s="25">
        <v>280563.90999999997</v>
      </c>
      <c r="AA20" s="25">
        <v>268135.71000000002</v>
      </c>
      <c r="AB20" s="25">
        <v>289693.32</v>
      </c>
      <c r="AC20" s="25">
        <v>274389.32</v>
      </c>
      <c r="AD20" s="25">
        <v>312488</v>
      </c>
    </row>
    <row r="21" spans="1:30" x14ac:dyDescent="0.25">
      <c r="A21" s="35" t="s">
        <v>263</v>
      </c>
      <c r="B21" s="35">
        <v>82.15</v>
      </c>
      <c r="C21" s="35"/>
      <c r="D21" s="35"/>
      <c r="E21" s="25" t="s">
        <v>524</v>
      </c>
      <c r="AD21" s="80"/>
    </row>
    <row r="22" spans="1:30" x14ac:dyDescent="0.25">
      <c r="A22" s="35" t="s">
        <v>37</v>
      </c>
      <c r="B22" s="35">
        <f>SUM(B2:B21)</f>
        <v>1197.6300000000001</v>
      </c>
      <c r="C22" s="35"/>
      <c r="D22" s="35"/>
      <c r="I22" s="34" t="s">
        <v>532</v>
      </c>
      <c r="Y22" s="40">
        <f>(SUM(Y2,Y4:Y14,Y16:Y17)/SUM(M2,M4:M14,M16:M17))-1</f>
        <v>0.32028188544947689</v>
      </c>
      <c r="Z22" s="40">
        <f>(SUM(Z2,Z4:Z14,Z16:Z17)/SUM(N2,N4:N14,N16:N17))-1</f>
        <v>2.2067794089591959</v>
      </c>
      <c r="AA22" s="40">
        <f>(SUM(AA2,AA4:AA14,AA16:AA17)/SUM(O2,O4:O14,O16:O17))-1</f>
        <v>0.81605599846849008</v>
      </c>
      <c r="AB22" s="40">
        <f>(SUM(AB2,AB4:AB14,AB16:AB17)/SUM(P2,P4:P14,P16:P17))-1</f>
        <v>0.60330754302660083</v>
      </c>
      <c r="AC22" s="40">
        <f t="shared" ref="AC22:AD22" si="0">(SUM(AC2,AC4:AC14,AC16:AC17)/SUM(Q2,Q4:Q14,Q16:Q17))-1</f>
        <v>0.42460401519847957</v>
      </c>
      <c r="AD22" s="40">
        <f t="shared" si="0"/>
        <v>0.93483926234257364</v>
      </c>
    </row>
    <row r="23" spans="1:30" x14ac:dyDescent="0.25">
      <c r="I23" s="34" t="s">
        <v>526</v>
      </c>
      <c r="Y23" s="40"/>
      <c r="Z23" s="40">
        <f>(SUM(Y2:Z2,Y4:Z14,Y16:Z17)/SUM(M2:N2,M4:N14,M16:N17))-1</f>
        <v>1.1830298034912228</v>
      </c>
      <c r="AA23" s="40">
        <f>(SUM(Y2:AA2,Y4:AA14,Y16:AA17)/SUM(M2:O2,M4:O14,M16:O17))-1</f>
        <v>1.018771870564624</v>
      </c>
      <c r="AB23" s="40">
        <f>(SUM(Y2:AB2,Y4:AB14,Y16:AB17)/SUM(M2:P2,M4:P14,M16:P17))-1</f>
        <v>0.86481142951894863</v>
      </c>
      <c r="AC23" s="40">
        <f>(SUM(Y2:AC2,Y4:AC14,Y16:AC17)/SUM(M2:Q2,M4:Q14,M16:Q17))-1</f>
        <v>0.73786124667620046</v>
      </c>
      <c r="AD23" s="40">
        <f>(SUM(Y2:AD2,Y4:AD14,Y16:AD17)/SUM(M2:R2,M4:R14,M16:R17))-1</f>
        <v>0.77460300600138132</v>
      </c>
    </row>
    <row r="24" spans="1:30" x14ac:dyDescent="0.25">
      <c r="I24" s="34" t="s">
        <v>531</v>
      </c>
      <c r="Y24" s="40">
        <f>(Y19/M19)-1</f>
        <v>0.31718360373461563</v>
      </c>
      <c r="Z24" s="40">
        <f>(Z19/N19)-1</f>
        <v>0.53205371589455419</v>
      </c>
      <c r="AA24" s="40">
        <f>(AA19/O19)-1</f>
        <v>-0.28015075853518068</v>
      </c>
      <c r="AB24" s="40">
        <f>(AB19/P19)-1</f>
        <v>-0.33274977282823193</v>
      </c>
      <c r="AC24" s="40">
        <f t="shared" ref="AC24:AD24" si="1">(AC19/Q19)-1</f>
        <v>9.9455995728064739E-2</v>
      </c>
      <c r="AD24" s="40">
        <f t="shared" si="1"/>
        <v>0.10914301453229092</v>
      </c>
    </row>
    <row r="25" spans="1:30" x14ac:dyDescent="0.25">
      <c r="A25" s="33" t="s">
        <v>44</v>
      </c>
      <c r="I25" s="34" t="s">
        <v>533</v>
      </c>
      <c r="Y25" s="40"/>
      <c r="Z25" s="40">
        <f>(SUM(Y19:Z19)/SUM(M19:N19))-1</f>
        <v>0.40074728887430977</v>
      </c>
      <c r="AA25" s="40">
        <f>(SUM(Y19:AA19)/SUM(M19:O19))-1</f>
        <v>0.14574246666280177</v>
      </c>
      <c r="AB25" s="40">
        <f>(SUM(Y19:AB19)/SUM(M19:P19))-1</f>
        <v>5.3561435931321455E-2</v>
      </c>
      <c r="AC25" s="40">
        <f>(SUM(Y19:AC19)/SUM(M19:Q19))-1</f>
        <v>6.0520635790659583E-2</v>
      </c>
      <c r="AD25" s="40">
        <f>(SUM(Y19:AD19)/SUM(M19:R19))-1</f>
        <v>6.9850493282980208E-2</v>
      </c>
    </row>
    <row r="26" spans="1:30" x14ac:dyDescent="0.25">
      <c r="A26" s="25" t="s">
        <v>264</v>
      </c>
      <c r="I26" s="34" t="s">
        <v>529</v>
      </c>
      <c r="Y26" s="40">
        <f>(Y20/M20)-1</f>
        <v>0.48621400075061816</v>
      </c>
      <c r="Z26" s="40">
        <f>(Z20/N20)-1</f>
        <v>1.2463011327425693</v>
      </c>
      <c r="AA26" s="40">
        <f>(AA20/O20)-1</f>
        <v>0.41627042609537179</v>
      </c>
      <c r="AB26" s="40">
        <f>(AB20/P20)-1</f>
        <v>0.40418424562981792</v>
      </c>
      <c r="AC26" s="40">
        <f t="shared" ref="AC26:AD26" si="2">(AC20/Q20)-1</f>
        <v>0.18158890534402561</v>
      </c>
      <c r="AD26" s="40">
        <f t="shared" si="2"/>
        <v>0.51278854039733779</v>
      </c>
    </row>
    <row r="27" spans="1:30" x14ac:dyDescent="0.25">
      <c r="I27" s="34" t="s">
        <v>530</v>
      </c>
      <c r="Y27" s="40"/>
      <c r="Z27" s="40">
        <f>(SUM(Y20:Z20)/SUM(M20:N20))-1</f>
        <v>0.86527207959553154</v>
      </c>
      <c r="AA27" s="40">
        <f>(SUM(Y20:AA20)/SUM(M20:O20))-1</f>
        <v>0.6719749437587994</v>
      </c>
      <c r="AB27" s="40">
        <f>(SUM(Y20:AB20)/SUM(M20:P20))-1</f>
        <v>0.58646398279749556</v>
      </c>
      <c r="AC27" s="40">
        <f>(SUM(Y20:AC20)/SUM(M20:Q20))-1</f>
        <v>0.47941628455018126</v>
      </c>
      <c r="AD27" s="40">
        <f>(SUM(Y20:AD20)/SUM(M20:R20))-1</f>
        <v>0.48577052984312785</v>
      </c>
    </row>
    <row r="28" spans="1:30" ht="20.100000000000001" customHeight="1" x14ac:dyDescent="0.25">
      <c r="A28" s="42"/>
      <c r="AD28" s="80"/>
    </row>
    <row r="29" spans="1:30" ht="20.100000000000001" customHeight="1" x14ac:dyDescent="0.25">
      <c r="A29" s="42"/>
      <c r="I29" s="113" t="s">
        <v>667</v>
      </c>
      <c r="J29" s="107" t="s">
        <v>683</v>
      </c>
      <c r="K29" s="107" t="s">
        <v>684</v>
      </c>
      <c r="L29" s="107" t="s">
        <v>685</v>
      </c>
      <c r="M29" s="107" t="s">
        <v>484</v>
      </c>
      <c r="N29" s="107" t="s">
        <v>485</v>
      </c>
      <c r="O29" s="107" t="s">
        <v>486</v>
      </c>
      <c r="P29" s="107" t="s">
        <v>487</v>
      </c>
      <c r="Q29" s="107" t="s">
        <v>488</v>
      </c>
      <c r="R29" s="107" t="s">
        <v>489</v>
      </c>
      <c r="S29" s="107" t="s">
        <v>490</v>
      </c>
      <c r="T29" s="107" t="s">
        <v>491</v>
      </c>
      <c r="U29" s="107" t="s">
        <v>492</v>
      </c>
      <c r="V29" s="107" t="s">
        <v>493</v>
      </c>
      <c r="W29" s="107" t="s">
        <v>494</v>
      </c>
      <c r="X29" s="107" t="s">
        <v>495</v>
      </c>
      <c r="Y29" s="107" t="s">
        <v>496</v>
      </c>
      <c r="Z29" s="107" t="s">
        <v>497</v>
      </c>
      <c r="AA29" s="107" t="s">
        <v>574</v>
      </c>
      <c r="AB29" s="107" t="s">
        <v>731</v>
      </c>
      <c r="AC29" s="107" t="s">
        <v>732</v>
      </c>
      <c r="AD29" s="107" t="s">
        <v>733</v>
      </c>
    </row>
    <row r="30" spans="1:30" ht="15.75" thickBot="1" x14ac:dyDescent="0.3">
      <c r="I30" s="114" t="s">
        <v>502</v>
      </c>
      <c r="J30" s="107"/>
      <c r="K30" s="107"/>
      <c r="L30" s="107"/>
      <c r="M30" s="107">
        <f t="shared" ref="M30:AD30" si="3">M56*M2</f>
        <v>0</v>
      </c>
      <c r="N30" s="107">
        <f t="shared" si="3"/>
        <v>0</v>
      </c>
      <c r="O30" s="107">
        <f t="shared" si="3"/>
        <v>0</v>
      </c>
      <c r="P30" s="107">
        <f t="shared" si="3"/>
        <v>0</v>
      </c>
      <c r="Q30" s="107">
        <f t="shared" si="3"/>
        <v>0</v>
      </c>
      <c r="R30" s="107">
        <f t="shared" si="3"/>
        <v>0</v>
      </c>
      <c r="S30" s="107">
        <f t="shared" si="3"/>
        <v>0</v>
      </c>
      <c r="T30" s="107">
        <f t="shared" si="3"/>
        <v>0</v>
      </c>
      <c r="U30" s="107">
        <f t="shared" si="3"/>
        <v>0</v>
      </c>
      <c r="V30" s="107">
        <f t="shared" si="3"/>
        <v>0</v>
      </c>
      <c r="W30" s="107">
        <f t="shared" si="3"/>
        <v>0</v>
      </c>
      <c r="X30" s="107">
        <f t="shared" si="3"/>
        <v>0</v>
      </c>
      <c r="Y30" s="107">
        <f t="shared" si="3"/>
        <v>0</v>
      </c>
      <c r="Z30" s="107">
        <f t="shared" si="3"/>
        <v>0</v>
      </c>
      <c r="AA30" s="107">
        <f t="shared" si="3"/>
        <v>0</v>
      </c>
      <c r="AB30" s="107">
        <f t="shared" si="3"/>
        <v>43503.213600000003</v>
      </c>
      <c r="AC30" s="107">
        <f t="shared" si="3"/>
        <v>109328.9736</v>
      </c>
      <c r="AD30" s="107">
        <f t="shared" si="3"/>
        <v>267886.12320000003</v>
      </c>
    </row>
    <row r="31" spans="1:30" x14ac:dyDescent="0.25">
      <c r="B31" s="25" t="s">
        <v>566</v>
      </c>
      <c r="I31" s="115" t="s">
        <v>504</v>
      </c>
      <c r="J31" s="107"/>
      <c r="K31" s="107"/>
      <c r="L31" s="107"/>
      <c r="M31" s="107">
        <f t="shared" ref="M31:AD31" si="4">M3</f>
        <v>0</v>
      </c>
      <c r="N31" s="107">
        <f t="shared" si="4"/>
        <v>0</v>
      </c>
      <c r="O31" s="107">
        <f t="shared" si="4"/>
        <v>0</v>
      </c>
      <c r="P31" s="107">
        <f t="shared" si="4"/>
        <v>0</v>
      </c>
      <c r="Q31" s="107">
        <f t="shared" si="4"/>
        <v>0</v>
      </c>
      <c r="R31" s="107">
        <f t="shared" si="4"/>
        <v>0</v>
      </c>
      <c r="S31" s="107">
        <f t="shared" si="4"/>
        <v>0</v>
      </c>
      <c r="T31" s="107">
        <f t="shared" si="4"/>
        <v>0</v>
      </c>
      <c r="U31" s="107">
        <f t="shared" si="4"/>
        <v>0</v>
      </c>
      <c r="V31" s="107">
        <f t="shared" si="4"/>
        <v>0</v>
      </c>
      <c r="W31" s="107">
        <f t="shared" si="4"/>
        <v>0</v>
      </c>
      <c r="X31" s="107">
        <f t="shared" si="4"/>
        <v>0</v>
      </c>
      <c r="Y31" s="107">
        <f t="shared" si="4"/>
        <v>0</v>
      </c>
      <c r="Z31" s="107">
        <f t="shared" si="4"/>
        <v>0</v>
      </c>
      <c r="AA31" s="107">
        <f t="shared" si="4"/>
        <v>0</v>
      </c>
      <c r="AB31" s="107">
        <f t="shared" si="4"/>
        <v>0</v>
      </c>
      <c r="AC31" s="107">
        <f t="shared" si="4"/>
        <v>0</v>
      </c>
      <c r="AD31" s="107">
        <f t="shared" si="4"/>
        <v>0</v>
      </c>
    </row>
    <row r="32" spans="1:30" ht="21" thickBot="1" x14ac:dyDescent="0.3">
      <c r="A32" s="84">
        <v>2026</v>
      </c>
      <c r="B32" s="85">
        <v>1286</v>
      </c>
      <c r="C32" s="84" t="s">
        <v>562</v>
      </c>
      <c r="I32" s="114" t="s">
        <v>505</v>
      </c>
      <c r="J32" s="107"/>
      <c r="K32" s="107"/>
      <c r="L32" s="107"/>
      <c r="M32" s="107">
        <f t="shared" ref="M32:AD32" si="5">M56*M4</f>
        <v>87784.073999999993</v>
      </c>
      <c r="N32" s="107">
        <f t="shared" si="5"/>
        <v>74243.438699999999</v>
      </c>
      <c r="O32" s="107">
        <f t="shared" si="5"/>
        <v>35319.952799999999</v>
      </c>
      <c r="P32" s="107">
        <f t="shared" si="5"/>
        <v>35716.023000000008</v>
      </c>
      <c r="Q32" s="107">
        <f t="shared" si="5"/>
        <v>31013.570800000001</v>
      </c>
      <c r="R32" s="107">
        <f t="shared" si="5"/>
        <v>12199.829</v>
      </c>
      <c r="S32" s="107">
        <f t="shared" si="5"/>
        <v>11991.293599999999</v>
      </c>
      <c r="T32" s="107">
        <f t="shared" si="5"/>
        <v>11020.933499999999</v>
      </c>
      <c r="U32" s="107">
        <f t="shared" si="5"/>
        <v>11777.287199999999</v>
      </c>
      <c r="V32" s="107">
        <f t="shared" si="5"/>
        <v>42443.723599999998</v>
      </c>
      <c r="W32" s="107">
        <f t="shared" si="5"/>
        <v>63453.171600000001</v>
      </c>
      <c r="X32" s="107">
        <f t="shared" si="5"/>
        <v>76435.796000000002</v>
      </c>
      <c r="Y32" s="107">
        <f t="shared" si="5"/>
        <v>74542.960000000006</v>
      </c>
      <c r="Z32" s="107">
        <f t="shared" si="5"/>
        <v>49651.894099999998</v>
      </c>
      <c r="AA32" s="107">
        <f t="shared" si="5"/>
        <v>36429.370299999995</v>
      </c>
      <c r="AB32" s="107">
        <f t="shared" si="5"/>
        <v>10125.975200000001</v>
      </c>
      <c r="AC32" s="107">
        <f t="shared" si="5"/>
        <v>2822.9719</v>
      </c>
      <c r="AD32" s="107">
        <f t="shared" si="5"/>
        <v>4908.9947999999995</v>
      </c>
    </row>
    <row r="33" spans="1:30" ht="15.75" thickBot="1" x14ac:dyDescent="0.3">
      <c r="A33" s="84">
        <v>2027</v>
      </c>
      <c r="B33" s="85">
        <v>1338</v>
      </c>
      <c r="C33" s="84" t="s">
        <v>563</v>
      </c>
      <c r="I33" s="114" t="s">
        <v>506</v>
      </c>
      <c r="J33" s="107"/>
      <c r="K33" s="107"/>
      <c r="L33" s="107"/>
      <c r="M33" s="107">
        <f t="shared" ref="M33:AD33" si="6">M56*M5</f>
        <v>210263.4</v>
      </c>
      <c r="N33" s="107">
        <f t="shared" si="6"/>
        <v>202401.83000000002</v>
      </c>
      <c r="O33" s="107">
        <f t="shared" si="6"/>
        <v>1419120.72</v>
      </c>
      <c r="P33" s="107">
        <f t="shared" si="6"/>
        <v>1967772.9600000002</v>
      </c>
      <c r="Q33" s="107">
        <f t="shared" si="6"/>
        <v>1507458.29</v>
      </c>
      <c r="R33" s="107">
        <f t="shared" si="6"/>
        <v>500932.2</v>
      </c>
      <c r="S33" s="107">
        <f t="shared" si="6"/>
        <v>220295.21800000002</v>
      </c>
      <c r="T33" s="107">
        <f t="shared" si="6"/>
        <v>113520.32950000001</v>
      </c>
      <c r="U33" s="107">
        <f t="shared" si="6"/>
        <v>191589.02</v>
      </c>
      <c r="V33" s="107">
        <f t="shared" si="6"/>
        <v>271217.76</v>
      </c>
      <c r="W33" s="107">
        <f t="shared" si="6"/>
        <v>570619.02919999999</v>
      </c>
      <c r="X33" s="107">
        <f t="shared" si="6"/>
        <v>443869.26</v>
      </c>
      <c r="Y33" s="107">
        <f t="shared" si="6"/>
        <v>400075.96</v>
      </c>
      <c r="Z33" s="107">
        <f t="shared" si="6"/>
        <v>786510.7156</v>
      </c>
      <c r="AA33" s="107">
        <f t="shared" si="6"/>
        <v>626895.79229999997</v>
      </c>
      <c r="AB33" s="107">
        <f t="shared" si="6"/>
        <v>470894.266</v>
      </c>
      <c r="AC33" s="107">
        <f t="shared" si="6"/>
        <v>292409.77920000005</v>
      </c>
      <c r="AD33" s="107">
        <f t="shared" si="6"/>
        <v>622884.58519999997</v>
      </c>
    </row>
    <row r="34" spans="1:30" ht="21" thickBot="1" x14ac:dyDescent="0.3">
      <c r="A34" s="84" t="s">
        <v>564</v>
      </c>
      <c r="B34" s="85">
        <v>1838</v>
      </c>
      <c r="C34" s="84" t="s">
        <v>565</v>
      </c>
      <c r="I34" s="114" t="s">
        <v>507</v>
      </c>
      <c r="J34" s="107"/>
      <c r="K34" s="107"/>
      <c r="L34" s="107"/>
      <c r="M34" s="107">
        <f t="shared" ref="M34:AD34" si="7">M56*M6</f>
        <v>398479.59</v>
      </c>
      <c r="N34" s="107">
        <f t="shared" si="7"/>
        <v>241142.55539999998</v>
      </c>
      <c r="O34" s="107">
        <f t="shared" si="7"/>
        <v>167515.6464</v>
      </c>
      <c r="P34" s="107">
        <f t="shared" si="7"/>
        <v>384539.56500000006</v>
      </c>
      <c r="Q34" s="107">
        <f t="shared" si="7"/>
        <v>514524.59040000004</v>
      </c>
      <c r="R34" s="107">
        <f t="shared" si="7"/>
        <v>590418.30449999997</v>
      </c>
      <c r="S34" s="107">
        <f t="shared" si="7"/>
        <v>986976.56200000003</v>
      </c>
      <c r="T34" s="107">
        <f t="shared" si="7"/>
        <v>432109.8051</v>
      </c>
      <c r="U34" s="107">
        <f t="shared" si="7"/>
        <v>273946.7892</v>
      </c>
      <c r="V34" s="107">
        <f t="shared" si="7"/>
        <v>85445.524800000014</v>
      </c>
      <c r="W34" s="107">
        <f t="shared" si="7"/>
        <v>41491.951700000005</v>
      </c>
      <c r="X34" s="107">
        <f t="shared" si="7"/>
        <v>52989.535999999993</v>
      </c>
      <c r="Y34" s="107">
        <f t="shared" si="7"/>
        <v>96788.479999999996</v>
      </c>
      <c r="Z34" s="107">
        <f t="shared" si="7"/>
        <v>965275.5379</v>
      </c>
      <c r="AA34" s="107">
        <f t="shared" si="7"/>
        <v>589342.48249999993</v>
      </c>
      <c r="AB34" s="107">
        <f t="shared" si="7"/>
        <v>314229.41000000003</v>
      </c>
      <c r="AC34" s="107">
        <f t="shared" si="7"/>
        <v>160480.3389</v>
      </c>
      <c r="AD34" s="107">
        <f t="shared" si="7"/>
        <v>275852.58919999999</v>
      </c>
    </row>
    <row r="35" spans="1:30" ht="15.75" thickBot="1" x14ac:dyDescent="0.3">
      <c r="I35" s="114" t="s">
        <v>508</v>
      </c>
      <c r="J35" s="107"/>
      <c r="K35" s="107"/>
      <c r="L35" s="107"/>
      <c r="M35" s="107">
        <f t="shared" ref="M35:AD35" si="8">M56*M7</f>
        <v>181189.73880000002</v>
      </c>
      <c r="N35" s="107">
        <f t="shared" si="8"/>
        <v>95557.860199999996</v>
      </c>
      <c r="O35" s="107">
        <f t="shared" si="8"/>
        <v>884714.52959999989</v>
      </c>
      <c r="P35" s="107">
        <f t="shared" si="8"/>
        <v>1216936.889</v>
      </c>
      <c r="Q35" s="107">
        <f t="shared" si="8"/>
        <v>1150251.5677999998</v>
      </c>
      <c r="R35" s="107">
        <f t="shared" si="8"/>
        <v>509472.42199999996</v>
      </c>
      <c r="S35" s="107">
        <f t="shared" si="8"/>
        <v>203657.16800000001</v>
      </c>
      <c r="T35" s="107">
        <f t="shared" si="8"/>
        <v>86372.3505</v>
      </c>
      <c r="U35" s="107">
        <f t="shared" si="8"/>
        <v>155325.394</v>
      </c>
      <c r="V35" s="107">
        <f t="shared" si="8"/>
        <v>255903.10320000001</v>
      </c>
      <c r="W35" s="107">
        <f t="shared" si="8"/>
        <v>618339.14839999995</v>
      </c>
      <c r="X35" s="107">
        <f t="shared" si="8"/>
        <v>500650.01599999995</v>
      </c>
      <c r="Y35" s="107">
        <f t="shared" si="8"/>
        <v>365991.63999999996</v>
      </c>
      <c r="Z35" s="107">
        <f t="shared" si="8"/>
        <v>790311.13500000001</v>
      </c>
      <c r="AA35" s="107">
        <f t="shared" si="8"/>
        <v>540683.94429999997</v>
      </c>
      <c r="AB35" s="107">
        <f t="shared" si="8"/>
        <v>487164.06440000003</v>
      </c>
      <c r="AC35" s="107">
        <f t="shared" si="8"/>
        <v>301501.72709999996</v>
      </c>
      <c r="AD35" s="107">
        <f t="shared" si="8"/>
        <v>677105.40839999996</v>
      </c>
    </row>
    <row r="36" spans="1:30" ht="15.75" thickBot="1" x14ac:dyDescent="0.3">
      <c r="I36" s="114" t="s">
        <v>509</v>
      </c>
      <c r="J36" s="107"/>
      <c r="K36" s="107"/>
      <c r="L36" s="107"/>
      <c r="M36" s="107">
        <f t="shared" ref="M36:AD36" si="9">M56*M8</f>
        <v>718762.68719999993</v>
      </c>
      <c r="N36" s="107">
        <f t="shared" si="9"/>
        <v>361019.22839999996</v>
      </c>
      <c r="O36" s="107">
        <f t="shared" si="9"/>
        <v>1024457.9111999999</v>
      </c>
      <c r="P36" s="107">
        <f t="shared" si="9"/>
        <v>917287.35360000015</v>
      </c>
      <c r="Q36" s="107">
        <f t="shared" si="9"/>
        <v>235040.68369999999</v>
      </c>
      <c r="R36" s="107">
        <f t="shared" si="9"/>
        <v>35567.553</v>
      </c>
      <c r="S36" s="107">
        <f t="shared" si="9"/>
        <v>6198.6495999999997</v>
      </c>
      <c r="T36" s="107">
        <f t="shared" si="9"/>
        <v>0</v>
      </c>
      <c r="U36" s="107">
        <f t="shared" si="9"/>
        <v>0</v>
      </c>
      <c r="V36" s="107">
        <f t="shared" si="9"/>
        <v>0</v>
      </c>
      <c r="W36" s="107">
        <f t="shared" si="9"/>
        <v>74.804800000000014</v>
      </c>
      <c r="X36" s="107">
        <f t="shared" si="9"/>
        <v>459511.39599999995</v>
      </c>
      <c r="Y36" s="107">
        <f t="shared" si="9"/>
        <v>1004234.88</v>
      </c>
      <c r="Z36" s="107">
        <f t="shared" si="9"/>
        <v>1084738.8637999999</v>
      </c>
      <c r="AA36" s="107">
        <f t="shared" si="9"/>
        <v>512561.13419999997</v>
      </c>
      <c r="AB36" s="107">
        <f t="shared" si="9"/>
        <v>395890.84040000004</v>
      </c>
      <c r="AC36" s="107">
        <f>AC56*AC8</f>
        <v>228636.12590000001</v>
      </c>
      <c r="AD36" s="107">
        <f t="shared" si="9"/>
        <v>165834.80679999999</v>
      </c>
    </row>
    <row r="37" spans="1:30" ht="15.75" thickBot="1" x14ac:dyDescent="0.3">
      <c r="I37" s="114" t="s">
        <v>510</v>
      </c>
      <c r="J37" s="107"/>
      <c r="K37" s="107"/>
      <c r="L37" s="107"/>
      <c r="M37" s="107">
        <f t="shared" ref="M37:AD37" si="10">M56*M9</f>
        <v>101198.66399999999</v>
      </c>
      <c r="N37" s="107">
        <f t="shared" si="10"/>
        <v>77115.722999999998</v>
      </c>
      <c r="O37" s="107">
        <f t="shared" si="10"/>
        <v>19362.239999999998</v>
      </c>
      <c r="P37" s="107">
        <f t="shared" si="10"/>
        <v>29676.512000000002</v>
      </c>
      <c r="Q37" s="107">
        <f t="shared" si="10"/>
        <v>20675.287</v>
      </c>
      <c r="R37" s="107">
        <f t="shared" si="10"/>
        <v>0</v>
      </c>
      <c r="S37" s="107">
        <f t="shared" si="10"/>
        <v>23579.556</v>
      </c>
      <c r="T37" s="107">
        <f t="shared" si="10"/>
        <v>28112.628000000001</v>
      </c>
      <c r="U37" s="107">
        <f t="shared" si="10"/>
        <v>0</v>
      </c>
      <c r="V37" s="107">
        <f t="shared" si="10"/>
        <v>40291.612000000001</v>
      </c>
      <c r="W37" s="107">
        <f t="shared" si="10"/>
        <v>41750.429000000004</v>
      </c>
      <c r="X37" s="107">
        <f t="shared" si="10"/>
        <v>73720.52</v>
      </c>
      <c r="Y37" s="107">
        <f t="shared" si="10"/>
        <v>94438.399999999994</v>
      </c>
      <c r="Z37" s="107">
        <f t="shared" si="10"/>
        <v>93003.532999999996</v>
      </c>
      <c r="AA37" s="107">
        <f t="shared" si="10"/>
        <v>47538.913999999997</v>
      </c>
      <c r="AB37" s="107">
        <f t="shared" si="10"/>
        <v>12445.3032</v>
      </c>
      <c r="AC37" s="107">
        <f t="shared" si="10"/>
        <v>390.7568</v>
      </c>
      <c r="AD37" s="107">
        <f t="shared" si="10"/>
        <v>210.2484</v>
      </c>
    </row>
    <row r="38" spans="1:30" ht="15.75" thickBot="1" x14ac:dyDescent="0.3">
      <c r="I38" s="114" t="s">
        <v>511</v>
      </c>
      <c r="J38" s="107"/>
      <c r="K38" s="107"/>
      <c r="L38" s="107"/>
      <c r="M38" s="107">
        <f t="shared" ref="M38:X38" si="11">$K$10*M10</f>
        <v>837821</v>
      </c>
      <c r="N38" s="107">
        <f t="shared" si="11"/>
        <v>424714</v>
      </c>
      <c r="O38" s="107">
        <f t="shared" si="11"/>
        <v>427050</v>
      </c>
      <c r="P38" s="107">
        <f t="shared" si="11"/>
        <v>993165</v>
      </c>
      <c r="Q38" s="107">
        <f t="shared" si="11"/>
        <v>947029</v>
      </c>
      <c r="R38" s="107">
        <f t="shared" si="11"/>
        <v>1073392</v>
      </c>
      <c r="S38" s="107">
        <f t="shared" si="11"/>
        <v>807818</v>
      </c>
      <c r="T38" s="107">
        <f t="shared" si="11"/>
        <v>922063</v>
      </c>
      <c r="U38" s="107">
        <f t="shared" si="11"/>
        <v>762704</v>
      </c>
      <c r="V38" s="107">
        <f t="shared" si="11"/>
        <v>477785</v>
      </c>
      <c r="W38" s="107">
        <f t="shared" si="11"/>
        <v>418217</v>
      </c>
      <c r="X38" s="107">
        <f t="shared" si="11"/>
        <v>592760</v>
      </c>
      <c r="Y38" s="107">
        <f>Y56*Y10</f>
        <v>583100</v>
      </c>
      <c r="Z38" s="107">
        <f>Z56*Z10</f>
        <v>2036318.43</v>
      </c>
      <c r="AA38" s="107">
        <f>AA56*AA10</f>
        <v>1443114.7799999998</v>
      </c>
      <c r="AB38" s="107">
        <f t="shared" ref="AB38:AD38" si="12">AB56*AB10</f>
        <v>1215773.5280000002</v>
      </c>
      <c r="AC38" s="107">
        <f t="shared" si="12"/>
        <v>1248735.04</v>
      </c>
      <c r="AD38" s="107">
        <f t="shared" si="12"/>
        <v>1561683.24</v>
      </c>
    </row>
    <row r="39" spans="1:30" ht="15.75" thickBot="1" x14ac:dyDescent="0.3">
      <c r="I39" s="114" t="s">
        <v>512</v>
      </c>
      <c r="J39" s="107"/>
      <c r="K39" s="107"/>
      <c r="L39" s="107"/>
      <c r="M39" s="107">
        <f t="shared" ref="M39:Z39" si="13">M56*M11</f>
        <v>258606.07200000001</v>
      </c>
      <c r="N39" s="107">
        <f t="shared" si="13"/>
        <v>119937.8594</v>
      </c>
      <c r="O39" s="107">
        <f t="shared" si="13"/>
        <v>90106.725599999991</v>
      </c>
      <c r="P39" s="107">
        <f t="shared" si="13"/>
        <v>145455.54360000003</v>
      </c>
      <c r="Q39" s="107">
        <f t="shared" si="13"/>
        <v>95181.2353</v>
      </c>
      <c r="R39" s="107">
        <f t="shared" si="13"/>
        <v>55403.238000000005</v>
      </c>
      <c r="S39" s="107">
        <f t="shared" si="13"/>
        <v>58980.121199999994</v>
      </c>
      <c r="T39" s="107">
        <f t="shared" si="13"/>
        <v>53006.374600000003</v>
      </c>
      <c r="U39" s="107">
        <f t="shared" si="13"/>
        <v>40175.962399999997</v>
      </c>
      <c r="V39" s="107">
        <f t="shared" si="13"/>
        <v>76813.217600000004</v>
      </c>
      <c r="W39" s="107">
        <f t="shared" si="13"/>
        <v>71532.090000000011</v>
      </c>
      <c r="X39" s="107">
        <f t="shared" si="13"/>
        <v>117320.96199999998</v>
      </c>
      <c r="Y39" s="107">
        <f t="shared" si="13"/>
        <v>229441.52</v>
      </c>
      <c r="Z39" s="107">
        <f t="shared" si="13"/>
        <v>252919.73109999998</v>
      </c>
      <c r="AA39" s="107">
        <f>AA56*AA11</f>
        <v>132655.06809999997</v>
      </c>
      <c r="AB39" s="107">
        <f t="shared" ref="AB39:AD39" si="14">AB56*AB11</f>
        <v>63713.952799999999</v>
      </c>
      <c r="AC39" s="107">
        <f t="shared" si="14"/>
        <v>12645.8318</v>
      </c>
      <c r="AD39" s="107">
        <f t="shared" si="14"/>
        <v>36510.5216</v>
      </c>
    </row>
    <row r="40" spans="1:30" ht="15.75" thickBot="1" x14ac:dyDescent="0.3">
      <c r="I40" s="114" t="s">
        <v>513</v>
      </c>
      <c r="J40" s="107"/>
      <c r="K40" s="107"/>
      <c r="L40" s="107"/>
      <c r="M40" s="107">
        <f t="shared" ref="M40:AD40" si="15">M56*M12</f>
        <v>0</v>
      </c>
      <c r="N40" s="107">
        <f t="shared" si="15"/>
        <v>0</v>
      </c>
      <c r="O40" s="107">
        <f t="shared" si="15"/>
        <v>0</v>
      </c>
      <c r="P40" s="107">
        <f t="shared" si="15"/>
        <v>0</v>
      </c>
      <c r="Q40" s="107">
        <f t="shared" si="15"/>
        <v>0</v>
      </c>
      <c r="R40" s="107">
        <f t="shared" si="15"/>
        <v>716129.16500000004</v>
      </c>
      <c r="S40" s="107">
        <f t="shared" si="15"/>
        <v>1748588.7848</v>
      </c>
      <c r="T40" s="107">
        <f t="shared" si="15"/>
        <v>0</v>
      </c>
      <c r="U40" s="107">
        <f t="shared" si="15"/>
        <v>0</v>
      </c>
      <c r="V40" s="107">
        <f t="shared" si="15"/>
        <v>0</v>
      </c>
      <c r="W40" s="107">
        <f t="shared" si="15"/>
        <v>0</v>
      </c>
      <c r="X40" s="107">
        <f t="shared" si="15"/>
        <v>0</v>
      </c>
      <c r="Y40" s="107">
        <f t="shared" si="15"/>
        <v>0</v>
      </c>
      <c r="Z40" s="107">
        <f t="shared" si="15"/>
        <v>0</v>
      </c>
      <c r="AA40" s="107">
        <f t="shared" si="15"/>
        <v>190940.6483</v>
      </c>
      <c r="AB40" s="107">
        <f t="shared" si="15"/>
        <v>333515.53280000004</v>
      </c>
      <c r="AC40" s="107">
        <f t="shared" si="15"/>
        <v>124981.9109</v>
      </c>
      <c r="AD40" s="107">
        <f t="shared" si="15"/>
        <v>553833.54359999986</v>
      </c>
    </row>
    <row r="41" spans="1:30" ht="15.75" thickBot="1" x14ac:dyDescent="0.3">
      <c r="I41" s="114" t="s">
        <v>514</v>
      </c>
      <c r="J41" s="107"/>
      <c r="K41" s="107"/>
      <c r="L41" s="107"/>
      <c r="M41" s="107">
        <f t="shared" ref="M41:AD41" si="16">M56*M13</f>
        <v>924629.54040000006</v>
      </c>
      <c r="N41" s="107">
        <f t="shared" si="16"/>
        <v>1012699.5829</v>
      </c>
      <c r="O41" s="107">
        <f t="shared" si="16"/>
        <v>795162.37679999997</v>
      </c>
      <c r="P41" s="107">
        <f t="shared" si="16"/>
        <v>1262221.7520000001</v>
      </c>
      <c r="Q41" s="107">
        <f t="shared" si="16"/>
        <v>1700899.3229999999</v>
      </c>
      <c r="R41" s="107">
        <f t="shared" si="16"/>
        <v>1408578.52</v>
      </c>
      <c r="S41" s="107">
        <f t="shared" si="16"/>
        <v>1836416.1244000001</v>
      </c>
      <c r="T41" s="107">
        <f t="shared" si="16"/>
        <v>1578488.5225</v>
      </c>
      <c r="U41" s="107">
        <f t="shared" si="16"/>
        <v>1136380.6677999999</v>
      </c>
      <c r="V41" s="107">
        <f t="shared" si="16"/>
        <v>595305.08759999997</v>
      </c>
      <c r="W41" s="107">
        <f t="shared" si="16"/>
        <v>970673.09590000007</v>
      </c>
      <c r="X41" s="107">
        <f t="shared" si="16"/>
        <v>1466964.9239999999</v>
      </c>
      <c r="Y41" s="107">
        <f t="shared" si="16"/>
        <v>1400292.72</v>
      </c>
      <c r="Z41" s="107">
        <f t="shared" si="16"/>
        <v>806960.96619999991</v>
      </c>
      <c r="AA41" s="107">
        <f t="shared" si="16"/>
        <v>965834.75399999984</v>
      </c>
      <c r="AB41" s="107">
        <f t="shared" si="16"/>
        <v>445898.23560000001</v>
      </c>
      <c r="AC41" s="107">
        <f t="shared" si="16"/>
        <v>195527.21789999999</v>
      </c>
      <c r="AD41" s="107">
        <f t="shared" si="16"/>
        <v>610639.86959999998</v>
      </c>
    </row>
    <row r="42" spans="1:30" ht="15.75" thickBot="1" x14ac:dyDescent="0.3">
      <c r="I42" s="114" t="s">
        <v>515</v>
      </c>
      <c r="J42" s="107"/>
      <c r="K42" s="107"/>
      <c r="L42" s="107"/>
      <c r="M42" s="107">
        <f t="shared" ref="M42:AD42" si="17">M56*M14</f>
        <v>146360.51999999999</v>
      </c>
      <c r="N42" s="107">
        <f t="shared" si="17"/>
        <v>240921.45</v>
      </c>
      <c r="O42" s="107">
        <f t="shared" si="17"/>
        <v>355811.04</v>
      </c>
      <c r="P42" s="107">
        <f t="shared" si="17"/>
        <v>413688.48000000004</v>
      </c>
      <c r="Q42" s="107">
        <f t="shared" si="17"/>
        <v>577742.69000000006</v>
      </c>
      <c r="R42" s="107">
        <f t="shared" si="17"/>
        <v>364707.80000000005</v>
      </c>
      <c r="S42" s="107">
        <f t="shared" si="17"/>
        <v>269183.2</v>
      </c>
      <c r="T42" s="107">
        <f t="shared" si="17"/>
        <v>259222.22</v>
      </c>
      <c r="U42" s="107">
        <f t="shared" si="17"/>
        <v>240862.43999999997</v>
      </c>
      <c r="V42" s="107">
        <f t="shared" si="17"/>
        <v>232443.96</v>
      </c>
      <c r="W42" s="107">
        <f t="shared" si="17"/>
        <v>96311.180000000008</v>
      </c>
      <c r="X42" s="107">
        <f t="shared" si="17"/>
        <v>23439.199999999997</v>
      </c>
      <c r="Y42" s="107">
        <f t="shared" si="17"/>
        <v>197608</v>
      </c>
      <c r="Z42" s="107">
        <f t="shared" si="17"/>
        <v>840942.89390000002</v>
      </c>
      <c r="AA42" s="107">
        <f t="shared" si="17"/>
        <v>568557.25159999996</v>
      </c>
      <c r="AB42" s="107">
        <f t="shared" si="17"/>
        <v>360613.09480000002</v>
      </c>
      <c r="AC42" s="107">
        <f t="shared" si="17"/>
        <v>169398.51949999999</v>
      </c>
      <c r="AD42" s="107">
        <f t="shared" si="17"/>
        <v>250438.99559999997</v>
      </c>
    </row>
    <row r="43" spans="1:30" ht="15.75" thickBot="1" x14ac:dyDescent="0.3">
      <c r="I43" s="114" t="s">
        <v>516</v>
      </c>
      <c r="J43" s="107"/>
      <c r="K43" s="107"/>
      <c r="L43" s="107"/>
      <c r="M43" s="107">
        <f t="shared" ref="M43:AD43" si="18">$K$15*M15</f>
        <v>919604.36</v>
      </c>
      <c r="N43" s="107">
        <f t="shared" si="18"/>
        <v>1198229.2999999998</v>
      </c>
      <c r="O43" s="107">
        <f t="shared" si="18"/>
        <v>1417805.27</v>
      </c>
      <c r="P43" s="107">
        <f t="shared" si="18"/>
        <v>875237.88</v>
      </c>
      <c r="Q43" s="107">
        <f t="shared" si="18"/>
        <v>1415986.1099999999</v>
      </c>
      <c r="R43" s="107">
        <f t="shared" si="18"/>
        <v>1578606.75</v>
      </c>
      <c r="S43" s="107">
        <f t="shared" si="18"/>
        <v>1205615.44</v>
      </c>
      <c r="T43" s="107">
        <f t="shared" si="18"/>
        <v>1405187.22</v>
      </c>
      <c r="U43" s="107">
        <f t="shared" si="18"/>
        <v>1388562.93</v>
      </c>
      <c r="V43" s="107">
        <f t="shared" si="18"/>
        <v>968001.17</v>
      </c>
      <c r="W43" s="107">
        <f t="shared" si="18"/>
        <v>1196907.27</v>
      </c>
      <c r="X43" s="107">
        <f t="shared" si="18"/>
        <v>1073460.6200000001</v>
      </c>
      <c r="Y43" s="107">
        <f t="shared" si="18"/>
        <v>1719642.02</v>
      </c>
      <c r="Z43" s="107">
        <f t="shared" si="18"/>
        <v>1307665.06</v>
      </c>
      <c r="AA43" s="107">
        <f t="shared" si="18"/>
        <v>1157478.51</v>
      </c>
      <c r="AB43" s="107">
        <f t="shared" si="18"/>
        <v>1104671.77</v>
      </c>
      <c r="AC43" s="107">
        <f t="shared" si="18"/>
        <v>1143639.1700000002</v>
      </c>
      <c r="AD43" s="107">
        <f t="shared" si="18"/>
        <v>975165.39</v>
      </c>
    </row>
    <row r="44" spans="1:30" ht="15.75" thickBot="1" x14ac:dyDescent="0.3">
      <c r="I44" s="114" t="s">
        <v>517</v>
      </c>
      <c r="J44" s="107"/>
      <c r="K44" s="107"/>
      <c r="L44" s="107"/>
      <c r="M44" s="107">
        <f t="shared" ref="M44:AC44" si="19">$K$16*M16</f>
        <v>1507378.46</v>
      </c>
      <c r="N44" s="107">
        <f t="shared" si="19"/>
        <v>1657957.02</v>
      </c>
      <c r="O44" s="107">
        <f t="shared" si="19"/>
        <v>1925026.06</v>
      </c>
      <c r="P44" s="107">
        <f t="shared" si="19"/>
        <v>2528326.5300000003</v>
      </c>
      <c r="Q44" s="107">
        <f t="shared" si="19"/>
        <v>3252065.32</v>
      </c>
      <c r="R44" s="107">
        <f t="shared" si="19"/>
        <v>2778958.1599999997</v>
      </c>
      <c r="S44" s="107">
        <f t="shared" si="19"/>
        <v>2804317.63</v>
      </c>
      <c r="T44" s="107">
        <f t="shared" si="19"/>
        <v>2376684.36</v>
      </c>
      <c r="U44" s="107">
        <f t="shared" si="19"/>
        <v>1846285.34</v>
      </c>
      <c r="V44" s="107">
        <f t="shared" si="19"/>
        <v>1030517.64</v>
      </c>
      <c r="W44" s="107">
        <f t="shared" si="19"/>
        <v>1791283.49</v>
      </c>
      <c r="X44" s="107">
        <f t="shared" si="19"/>
        <v>2404072.5</v>
      </c>
      <c r="Y44" s="107">
        <f t="shared" si="19"/>
        <v>2422610.12</v>
      </c>
      <c r="Z44" s="107">
        <f t="shared" si="19"/>
        <v>2446376.73</v>
      </c>
      <c r="AA44" s="107">
        <f t="shared" si="19"/>
        <v>3506609.75</v>
      </c>
      <c r="AB44" s="107">
        <f t="shared" si="19"/>
        <v>3585835.92</v>
      </c>
      <c r="AC44" s="107">
        <f t="shared" si="19"/>
        <v>4574547.1899999995</v>
      </c>
      <c r="AD44" s="107">
        <f>$K$16*AD16</f>
        <v>4513973.9800000004</v>
      </c>
    </row>
    <row r="45" spans="1:30" ht="15.75" thickBot="1" x14ac:dyDescent="0.3">
      <c r="I45" s="114" t="s">
        <v>518</v>
      </c>
      <c r="J45" s="107"/>
      <c r="K45" s="107"/>
      <c r="L45" s="107"/>
      <c r="M45" s="107">
        <f t="shared" ref="M45:AD45" si="20">M56*M17</f>
        <v>330332.75640000001</v>
      </c>
      <c r="N45" s="107">
        <f t="shared" si="20"/>
        <v>219948.42080000002</v>
      </c>
      <c r="O45" s="107">
        <f t="shared" si="20"/>
        <v>331577.16479999997</v>
      </c>
      <c r="P45" s="107">
        <f t="shared" si="20"/>
        <v>633189.80480000016</v>
      </c>
      <c r="Q45" s="107">
        <f t="shared" si="20"/>
        <v>1347697.037</v>
      </c>
      <c r="R45" s="107">
        <f t="shared" si="20"/>
        <v>483817.01649999997</v>
      </c>
      <c r="S45" s="107">
        <f t="shared" si="20"/>
        <v>225633.52240000002</v>
      </c>
      <c r="T45" s="107">
        <f t="shared" si="20"/>
        <v>100769.5555</v>
      </c>
      <c r="U45" s="107">
        <f t="shared" si="20"/>
        <v>62022.078299999994</v>
      </c>
      <c r="V45" s="107">
        <f t="shared" si="20"/>
        <v>59707.012400000007</v>
      </c>
      <c r="W45" s="107">
        <f t="shared" si="20"/>
        <v>67281.574400000012</v>
      </c>
      <c r="X45" s="107">
        <f t="shared" si="20"/>
        <v>163695.98399999997</v>
      </c>
      <c r="Y45" s="107">
        <f t="shared" si="20"/>
        <v>388804.28</v>
      </c>
      <c r="Z45" s="107">
        <f t="shared" si="20"/>
        <v>1145871.2119999998</v>
      </c>
      <c r="AA45" s="107">
        <f t="shared" si="20"/>
        <v>864143.14029999997</v>
      </c>
      <c r="AB45" s="107">
        <f t="shared" si="20"/>
        <v>629170.91120000009</v>
      </c>
      <c r="AC45" s="107">
        <f t="shared" si="20"/>
        <v>298864.29439999996</v>
      </c>
      <c r="AD45" s="107">
        <f t="shared" si="20"/>
        <v>764238.68480000005</v>
      </c>
    </row>
    <row r="46" spans="1:30" ht="15.75" thickBot="1" x14ac:dyDescent="0.3">
      <c r="I46" s="114" t="s">
        <v>519</v>
      </c>
      <c r="J46" s="107"/>
      <c r="K46" s="107"/>
      <c r="L46" s="107"/>
      <c r="M46" s="107">
        <f t="shared" ref="M46:AD46" si="21">M18*M56</f>
        <v>1469218.1939999999</v>
      </c>
      <c r="N46" s="107">
        <f t="shared" si="21"/>
        <v>2319225.2974999999</v>
      </c>
      <c r="O46" s="107">
        <f t="shared" si="21"/>
        <v>2317229.8559999997</v>
      </c>
      <c r="P46" s="107">
        <f t="shared" si="21"/>
        <v>2017147.5190000001</v>
      </c>
      <c r="Q46" s="107">
        <f t="shared" si="21"/>
        <v>2264666.8251999998</v>
      </c>
      <c r="R46" s="107">
        <f t="shared" si="21"/>
        <v>2154981.1659999997</v>
      </c>
      <c r="S46" s="107">
        <f t="shared" si="21"/>
        <v>2965151.8467999999</v>
      </c>
      <c r="T46" s="107">
        <f t="shared" si="21"/>
        <v>3219067.8021</v>
      </c>
      <c r="U46" s="107">
        <f t="shared" si="21"/>
        <v>2557783.2322</v>
      </c>
      <c r="V46" s="107">
        <f t="shared" si="21"/>
        <v>2205407.3479999998</v>
      </c>
      <c r="W46" s="107">
        <f t="shared" si="21"/>
        <v>1214403.1639</v>
      </c>
      <c r="X46" s="107">
        <f t="shared" si="21"/>
        <v>1549316.294</v>
      </c>
      <c r="Y46" s="107">
        <f t="shared" si="21"/>
        <v>2789802</v>
      </c>
      <c r="Z46" s="107">
        <f t="shared" si="21"/>
        <v>1773741.7180999997</v>
      </c>
      <c r="AA46" s="107">
        <f t="shared" si="21"/>
        <v>1121636.3066999998</v>
      </c>
      <c r="AB46" s="107">
        <f t="shared" si="21"/>
        <v>484357.86920000002</v>
      </c>
      <c r="AC46" s="107">
        <f t="shared" si="21"/>
        <v>148525.35950000002</v>
      </c>
      <c r="AD46" s="107">
        <f t="shared" si="21"/>
        <v>715024.56519999995</v>
      </c>
    </row>
    <row r="47" spans="1:30" ht="15.75" thickBot="1" x14ac:dyDescent="0.3">
      <c r="I47" s="114" t="s">
        <v>521</v>
      </c>
      <c r="J47" s="107"/>
      <c r="K47" s="107"/>
      <c r="L47" s="107"/>
      <c r="M47" s="107">
        <f>M56*M19</f>
        <v>963585.22320000001</v>
      </c>
      <c r="N47" s="107">
        <f t="shared" ref="N47:AD47" si="22">N56*N19</f>
        <v>595166.37050000008</v>
      </c>
      <c r="O47" s="107">
        <f t="shared" si="22"/>
        <v>787558.51439999999</v>
      </c>
      <c r="P47" s="107">
        <f t="shared" si="22"/>
        <v>550321.68420000002</v>
      </c>
      <c r="Q47" s="107">
        <f t="shared" si="22"/>
        <v>498818.03140000004</v>
      </c>
      <c r="R47" s="107">
        <f t="shared" si="22"/>
        <v>694735.3280000001</v>
      </c>
      <c r="S47" s="107">
        <f t="shared" si="22"/>
        <v>1010244.5496</v>
      </c>
      <c r="T47" s="107">
        <f t="shared" si="22"/>
        <v>1431712.4627</v>
      </c>
      <c r="U47" s="107">
        <f t="shared" si="22"/>
        <v>841105.33499999996</v>
      </c>
      <c r="V47" s="107">
        <f t="shared" si="22"/>
        <v>615361.41560000007</v>
      </c>
      <c r="W47" s="107">
        <f t="shared" si="22"/>
        <v>663606.73880000005</v>
      </c>
      <c r="X47" s="107">
        <f t="shared" si="22"/>
        <v>477149.39399999997</v>
      </c>
      <c r="Y47" s="107">
        <f t="shared" si="22"/>
        <v>1204730.1599999999</v>
      </c>
      <c r="Z47" s="107">
        <f t="shared" si="22"/>
        <v>645085.03849999991</v>
      </c>
      <c r="AA47" s="107">
        <f t="shared" si="22"/>
        <v>372162.06409999996</v>
      </c>
      <c r="AB47" s="107">
        <f t="shared" si="22"/>
        <v>134241.17120000001</v>
      </c>
      <c r="AC47" s="107">
        <f t="shared" si="22"/>
        <v>150490.2126</v>
      </c>
      <c r="AD47" s="107">
        <f t="shared" si="22"/>
        <v>393466.35839999997</v>
      </c>
    </row>
    <row r="48" spans="1:30" x14ac:dyDescent="0.25">
      <c r="I48" s="116" t="s">
        <v>37</v>
      </c>
      <c r="J48" s="107"/>
      <c r="K48" s="107"/>
      <c r="L48" s="107"/>
      <c r="M48" s="107">
        <f>SUM(M30:M47)</f>
        <v>9055214.2800000012</v>
      </c>
      <c r="N48" s="107">
        <f t="shared" ref="N48:Z48" si="23">SUM(N30:N47)</f>
        <v>8840279.9367999993</v>
      </c>
      <c r="O48" s="107">
        <f t="shared" si="23"/>
        <v>11997818.0076</v>
      </c>
      <c r="P48" s="107">
        <f t="shared" si="23"/>
        <v>13970683.496200001</v>
      </c>
      <c r="Q48" s="107">
        <f t="shared" si="23"/>
        <v>15559049.561600002</v>
      </c>
      <c r="R48" s="107">
        <f t="shared" si="23"/>
        <v>12957899.451999998</v>
      </c>
      <c r="S48" s="107">
        <f t="shared" si="23"/>
        <v>14384647.666399999</v>
      </c>
      <c r="T48" s="107">
        <f t="shared" si="23"/>
        <v>12017337.563999999</v>
      </c>
      <c r="U48" s="107">
        <f t="shared" si="23"/>
        <v>9508520.4761000015</v>
      </c>
      <c r="V48" s="107">
        <f t="shared" si="23"/>
        <v>6956643.5747999996</v>
      </c>
      <c r="W48" s="107">
        <f t="shared" si="23"/>
        <v>7825944.1377000008</v>
      </c>
      <c r="X48" s="107">
        <f t="shared" si="23"/>
        <v>9475356.4020000007</v>
      </c>
      <c r="Y48" s="107">
        <f t="shared" si="23"/>
        <v>12972103.139999999</v>
      </c>
      <c r="Z48" s="107">
        <f t="shared" si="23"/>
        <v>15025373.459199999</v>
      </c>
      <c r="AA48" s="107">
        <f>SUM(AA30:AA47)</f>
        <v>12676583.910699999</v>
      </c>
      <c r="AB48" s="107">
        <f t="shared" ref="AB48:AD48" si="24">SUM(AB30:AB47)</f>
        <v>10092045.058400001</v>
      </c>
      <c r="AC48" s="107">
        <f t="shared" si="24"/>
        <v>9162925.4199999999</v>
      </c>
      <c r="AD48" s="107">
        <f t="shared" si="24"/>
        <v>12389657.9048</v>
      </c>
    </row>
    <row r="50" spans="9:30" x14ac:dyDescent="0.25">
      <c r="I50" s="34" t="s">
        <v>676</v>
      </c>
      <c r="O50" s="107">
        <f>SUM(M48:O48)</f>
        <v>29893312.224399999</v>
      </c>
      <c r="P50" s="107"/>
      <c r="Q50" s="107"/>
      <c r="R50" s="107">
        <f>SUM(P48:R48)</f>
        <v>42487632.509800002</v>
      </c>
      <c r="S50" s="107"/>
      <c r="T50" s="107"/>
      <c r="U50" s="107">
        <f>SUM(S48:U48)</f>
        <v>35910505.706499994</v>
      </c>
      <c r="V50" s="107"/>
      <c r="W50" s="107"/>
      <c r="X50" s="107">
        <f>SUM(V48:X48)</f>
        <v>24257944.114500001</v>
      </c>
      <c r="Y50" s="107"/>
      <c r="Z50" s="107"/>
      <c r="AA50" s="107">
        <f>SUM(Y48:AA48)</f>
        <v>40674060.509899996</v>
      </c>
      <c r="AD50" s="107">
        <f>SUM(AB48:AD48)</f>
        <v>31644628.383199997</v>
      </c>
    </row>
    <row r="51" spans="9:30" x14ac:dyDescent="0.25">
      <c r="I51" s="34" t="s">
        <v>677</v>
      </c>
      <c r="R51" s="40">
        <f>(R50/O50)-1</f>
        <v>0.42130896003956586</v>
      </c>
      <c r="S51" s="40"/>
      <c r="T51" s="40"/>
      <c r="U51" s="40">
        <f>(U50/R50)-1</f>
        <v>-0.15480097183063701</v>
      </c>
      <c r="V51" s="40"/>
      <c r="W51" s="40"/>
      <c r="X51" s="40">
        <f>(X50/U50)-1</f>
        <v>-0.32448893054410022</v>
      </c>
      <c r="Y51" s="40"/>
      <c r="Z51" s="40"/>
      <c r="AA51" s="40">
        <f>(AA50/X50)-1</f>
        <v>0.67673156133571055</v>
      </c>
      <c r="AD51" s="40">
        <f>(AD50/AA50)-1</f>
        <v>-0.2219948540545208</v>
      </c>
    </row>
    <row r="52" spans="9:30" x14ac:dyDescent="0.25">
      <c r="I52" s="34" t="s">
        <v>678</v>
      </c>
      <c r="R52" s="40"/>
      <c r="S52" s="40"/>
      <c r="T52" s="40"/>
      <c r="U52" s="40"/>
      <c r="V52" s="40"/>
      <c r="W52" s="40"/>
      <c r="X52" s="40"/>
      <c r="Y52" s="40"/>
      <c r="Z52" s="40"/>
      <c r="AA52" s="40">
        <f>(AA50/O50)-1</f>
        <v>0.36064080837119028</v>
      </c>
      <c r="AD52" s="40">
        <f>(AD50/R50)-1</f>
        <v>-0.25520377310030173</v>
      </c>
    </row>
    <row r="55" spans="9:30" x14ac:dyDescent="0.25">
      <c r="I55" s="25" t="s">
        <v>576</v>
      </c>
      <c r="M55" s="25" t="s">
        <v>484</v>
      </c>
      <c r="N55" s="25" t="s">
        <v>485</v>
      </c>
      <c r="O55" s="25" t="s">
        <v>486</v>
      </c>
      <c r="P55" s="25" t="s">
        <v>487</v>
      </c>
      <c r="Q55" s="25" t="s">
        <v>488</v>
      </c>
      <c r="R55" s="25" t="s">
        <v>489</v>
      </c>
      <c r="S55" s="25" t="s">
        <v>490</v>
      </c>
      <c r="T55" s="25" t="s">
        <v>491</v>
      </c>
      <c r="U55" s="25" t="s">
        <v>492</v>
      </c>
      <c r="V55" s="25" t="s">
        <v>493</v>
      </c>
      <c r="W55" s="25" t="s">
        <v>494</v>
      </c>
      <c r="X55" s="25" t="s">
        <v>495</v>
      </c>
      <c r="Y55" s="25" t="s">
        <v>496</v>
      </c>
      <c r="Z55" s="25" t="s">
        <v>497</v>
      </c>
      <c r="AA55" s="25" t="s">
        <v>574</v>
      </c>
      <c r="AB55" s="25" t="s">
        <v>731</v>
      </c>
      <c r="AC55" s="25" t="s">
        <v>732</v>
      </c>
      <c r="AD55" s="25" t="s">
        <v>733</v>
      </c>
    </row>
    <row r="56" spans="9:30" x14ac:dyDescent="0.25">
      <c r="I56" s="25" t="s">
        <v>573</v>
      </c>
      <c r="M56" s="62">
        <f>PTF!B8</f>
        <v>71.64</v>
      </c>
      <c r="N56" s="62">
        <f>PTF!C8</f>
        <v>69.53</v>
      </c>
      <c r="O56" s="62">
        <f>PTF!D8</f>
        <v>59.76</v>
      </c>
      <c r="P56" s="62">
        <f>PTF!E8</f>
        <v>65.540000000000006</v>
      </c>
      <c r="Q56" s="62">
        <f>PTF!F8</f>
        <v>64.03</v>
      </c>
      <c r="R56" s="62">
        <f>PTF!G8</f>
        <v>56.95</v>
      </c>
      <c r="S56" s="62">
        <f>PTF!H8</f>
        <v>74.36</v>
      </c>
      <c r="T56" s="62">
        <f>PTF!I8</f>
        <v>72.53</v>
      </c>
      <c r="U56" s="62">
        <f>PTF!J8</f>
        <v>67.13</v>
      </c>
      <c r="V56" s="62">
        <f>PTF!K8</f>
        <v>66.28</v>
      </c>
      <c r="W56" s="62">
        <f>PTF!L8</f>
        <v>66.790000000000006</v>
      </c>
      <c r="X56" s="62">
        <f>PTF!M8</f>
        <v>70.599999999999994</v>
      </c>
      <c r="Y56" s="62">
        <f>PTF!N8</f>
        <v>68</v>
      </c>
      <c r="Z56" s="62">
        <f>PTF!O8</f>
        <v>49.19</v>
      </c>
      <c r="AA56" s="62">
        <f>PTF!P8</f>
        <v>39.229999999999997</v>
      </c>
      <c r="AB56" s="62">
        <f>PTF!Q8</f>
        <v>23.96</v>
      </c>
      <c r="AC56" s="62">
        <f>PTF!R8</f>
        <v>17.57</v>
      </c>
      <c r="AD56" s="62">
        <f>PTF!S8</f>
        <v>29.08</v>
      </c>
    </row>
    <row r="58" spans="9:30" x14ac:dyDescent="0.25">
      <c r="I58" s="113" t="s">
        <v>681</v>
      </c>
      <c r="J58" s="107" t="s">
        <v>683</v>
      </c>
      <c r="K58" s="107" t="s">
        <v>684</v>
      </c>
      <c r="L58" s="107" t="s">
        <v>685</v>
      </c>
      <c r="M58" s="107" t="s">
        <v>484</v>
      </c>
      <c r="N58" s="107" t="s">
        <v>485</v>
      </c>
      <c r="O58" s="107" t="s">
        <v>486</v>
      </c>
      <c r="P58" s="107" t="s">
        <v>487</v>
      </c>
      <c r="Q58" s="107" t="s">
        <v>488</v>
      </c>
      <c r="R58" s="107" t="s">
        <v>489</v>
      </c>
      <c r="S58" s="107" t="s">
        <v>490</v>
      </c>
      <c r="T58" s="107" t="s">
        <v>491</v>
      </c>
      <c r="U58" s="107" t="s">
        <v>492</v>
      </c>
      <c r="V58" s="107" t="s">
        <v>493</v>
      </c>
      <c r="W58" s="107" t="s">
        <v>494</v>
      </c>
      <c r="X58" s="107" t="s">
        <v>495</v>
      </c>
      <c r="Y58" s="107" t="s">
        <v>496</v>
      </c>
      <c r="Z58" s="107" t="s">
        <v>497</v>
      </c>
      <c r="AA58" s="107" t="s">
        <v>574</v>
      </c>
      <c r="AB58" s="107" t="s">
        <v>731</v>
      </c>
      <c r="AC58" s="107" t="s">
        <v>732</v>
      </c>
      <c r="AD58" s="107" t="s">
        <v>733</v>
      </c>
    </row>
    <row r="59" spans="9:30" ht="15.75" thickBot="1" x14ac:dyDescent="0.3">
      <c r="I59" s="114" t="s">
        <v>502</v>
      </c>
      <c r="J59" s="107"/>
      <c r="K59" s="107"/>
      <c r="L59" s="107"/>
      <c r="M59" s="107">
        <f t="shared" ref="M59:M76" si="25">$M$86*M30</f>
        <v>0</v>
      </c>
      <c r="N59" s="107">
        <f>$N$86*N30</f>
        <v>0</v>
      </c>
      <c r="O59" s="107">
        <f>$O$86*O30</f>
        <v>0</v>
      </c>
      <c r="P59" s="107">
        <f>$P$86*P30</f>
        <v>0</v>
      </c>
      <c r="Q59" s="107">
        <f>$Q$86*Q30</f>
        <v>0</v>
      </c>
      <c r="R59" s="107">
        <f>$R$86*R30</f>
        <v>0</v>
      </c>
      <c r="S59" s="107">
        <f>$S$86*S30</f>
        <v>0</v>
      </c>
      <c r="T59" s="107">
        <f>$T$86*T30</f>
        <v>0</v>
      </c>
      <c r="U59" s="107">
        <f>$U$86*U30</f>
        <v>0</v>
      </c>
      <c r="V59" s="107">
        <f>$V$86*V30</f>
        <v>0</v>
      </c>
      <c r="W59" s="107">
        <f>$W$86*W30</f>
        <v>0</v>
      </c>
      <c r="X59" s="107">
        <f>$X$86*X30</f>
        <v>0</v>
      </c>
      <c r="Y59" s="107">
        <f>$Y$86*Y30</f>
        <v>0</v>
      </c>
      <c r="Z59" s="107">
        <f>$Z$86*Z30</f>
        <v>0</v>
      </c>
      <c r="AA59" s="107">
        <f>$AA$86*AA30</f>
        <v>0</v>
      </c>
      <c r="AB59" s="107">
        <f t="shared" ref="AB59:AD59" si="26">$AA$86*AB30</f>
        <v>1918491.7197600002</v>
      </c>
      <c r="AC59" s="107">
        <f t="shared" si="26"/>
        <v>4821407.7357599996</v>
      </c>
      <c r="AD59" s="107">
        <f t="shared" si="26"/>
        <v>11813778.033120003</v>
      </c>
    </row>
    <row r="60" spans="9:30" x14ac:dyDescent="0.25">
      <c r="I60" s="115" t="s">
        <v>504</v>
      </c>
      <c r="J60" s="107"/>
      <c r="K60" s="107"/>
      <c r="L60" s="107"/>
      <c r="M60" s="107">
        <f t="shared" si="25"/>
        <v>0</v>
      </c>
      <c r="N60" s="107">
        <f t="shared" ref="N60:N76" si="27">$N$86*N31</f>
        <v>0</v>
      </c>
      <c r="O60" s="107">
        <f t="shared" ref="O60:O76" si="28">$O$86*O31</f>
        <v>0</v>
      </c>
      <c r="P60" s="107">
        <f t="shared" ref="P60:P76" si="29">$P$86*P31</f>
        <v>0</v>
      </c>
      <c r="Q60" s="107">
        <f t="shared" ref="Q60:Q76" si="30">$Q$86*Q31</f>
        <v>0</v>
      </c>
      <c r="R60" s="107">
        <f t="shared" ref="R60:R76" si="31">$R$86*R31</f>
        <v>0</v>
      </c>
      <c r="S60" s="107">
        <f t="shared" ref="S60:S76" si="32">$S$86*S31</f>
        <v>0</v>
      </c>
      <c r="T60" s="107">
        <f t="shared" ref="T60:T76" si="33">$T$86*T31</f>
        <v>0</v>
      </c>
      <c r="U60" s="107">
        <f t="shared" ref="U60:U76" si="34">$U$86*U31</f>
        <v>0</v>
      </c>
      <c r="V60" s="107">
        <f t="shared" ref="V60:V76" si="35">$V$86*V31</f>
        <v>0</v>
      </c>
      <c r="W60" s="107">
        <f t="shared" ref="W60:W76" si="36">$W$86*W31</f>
        <v>0</v>
      </c>
      <c r="X60" s="107">
        <f t="shared" ref="X60:X76" si="37">$X$86*X31</f>
        <v>0</v>
      </c>
      <c r="Y60" s="107">
        <f t="shared" ref="Y60:Y76" si="38">$Y$86*Y31</f>
        <v>0</v>
      </c>
      <c r="Z60" s="107">
        <f t="shared" ref="Z60:Z76" si="39">$Z$86*Z31</f>
        <v>0</v>
      </c>
      <c r="AA60" s="107">
        <f t="shared" ref="AA60:AD76" si="40">$AA$86*AA31</f>
        <v>0</v>
      </c>
      <c r="AB60" s="107">
        <f t="shared" si="40"/>
        <v>0</v>
      </c>
      <c r="AC60" s="107">
        <f t="shared" si="40"/>
        <v>0</v>
      </c>
      <c r="AD60" s="107">
        <f t="shared" si="40"/>
        <v>0</v>
      </c>
    </row>
    <row r="61" spans="9:30" ht="15.75" thickBot="1" x14ac:dyDescent="0.3">
      <c r="I61" s="114" t="s">
        <v>505</v>
      </c>
      <c r="J61" s="107"/>
      <c r="K61" s="107"/>
      <c r="L61" s="107"/>
      <c r="M61" s="107">
        <f t="shared" si="25"/>
        <v>3114578.9455199996</v>
      </c>
      <c r="N61" s="107">
        <f t="shared" si="27"/>
        <v>2681673.0058439998</v>
      </c>
      <c r="O61" s="107">
        <f t="shared" si="28"/>
        <v>1308251.051712</v>
      </c>
      <c r="P61" s="107">
        <f t="shared" si="29"/>
        <v>1358994.6751500003</v>
      </c>
      <c r="Q61" s="107">
        <f t="shared" si="30"/>
        <v>1200845.461376</v>
      </c>
      <c r="R61" s="107">
        <f t="shared" si="31"/>
        <v>480307.26772999996</v>
      </c>
      <c r="S61" s="107">
        <f t="shared" si="32"/>
        <v>481330.52510399994</v>
      </c>
      <c r="T61" s="107">
        <f t="shared" si="33"/>
        <v>449103.04012499994</v>
      </c>
      <c r="U61" s="107">
        <f t="shared" si="34"/>
        <v>485695.32412799995</v>
      </c>
      <c r="V61" s="107">
        <f t="shared" si="35"/>
        <v>1772025.4602999999</v>
      </c>
      <c r="W61" s="107">
        <f t="shared" si="36"/>
        <v>2677723.8415200002</v>
      </c>
      <c r="X61" s="107">
        <f t="shared" si="37"/>
        <v>3256929.2675600001</v>
      </c>
      <c r="Y61" s="107">
        <f t="shared" si="38"/>
        <v>3215783.2944000005</v>
      </c>
      <c r="Z61" s="107">
        <f t="shared" si="39"/>
        <v>2165319.1017009998</v>
      </c>
      <c r="AA61" s="107">
        <f t="shared" si="40"/>
        <v>1606535.2302299999</v>
      </c>
      <c r="AB61" s="107">
        <f t="shared" si="40"/>
        <v>446555.50632000004</v>
      </c>
      <c r="AC61" s="107">
        <f t="shared" si="40"/>
        <v>124493.06079</v>
      </c>
      <c r="AD61" s="107">
        <f t="shared" si="40"/>
        <v>216486.67067999998</v>
      </c>
    </row>
    <row r="62" spans="9:30" ht="15.75" thickBot="1" x14ac:dyDescent="0.3">
      <c r="I62" s="114" t="s">
        <v>506</v>
      </c>
      <c r="J62" s="107"/>
      <c r="K62" s="107"/>
      <c r="L62" s="107"/>
      <c r="M62" s="107">
        <f t="shared" si="25"/>
        <v>7460145.4319999991</v>
      </c>
      <c r="N62" s="107">
        <f t="shared" si="27"/>
        <v>7310754.0996000003</v>
      </c>
      <c r="O62" s="107">
        <f t="shared" si="28"/>
        <v>52564231.468800001</v>
      </c>
      <c r="P62" s="107">
        <f t="shared" si="29"/>
        <v>74873761.128000006</v>
      </c>
      <c r="Q62" s="107">
        <f t="shared" si="30"/>
        <v>58368784.988799997</v>
      </c>
      <c r="R62" s="107">
        <f t="shared" si="31"/>
        <v>19721700.713999998</v>
      </c>
      <c r="S62" s="107">
        <f t="shared" si="32"/>
        <v>8842650.050520001</v>
      </c>
      <c r="T62" s="107">
        <f t="shared" si="33"/>
        <v>4625953.4271250004</v>
      </c>
      <c r="U62" s="107">
        <f t="shared" si="34"/>
        <v>7901131.1847999999</v>
      </c>
      <c r="V62" s="107">
        <f t="shared" si="35"/>
        <v>11323341.48</v>
      </c>
      <c r="W62" s="107">
        <f t="shared" si="36"/>
        <v>24080123.03224</v>
      </c>
      <c r="X62" s="107">
        <f t="shared" si="37"/>
        <v>18913269.1686</v>
      </c>
      <c r="Y62" s="107">
        <f t="shared" si="38"/>
        <v>17259276.9144</v>
      </c>
      <c r="Z62" s="107">
        <f t="shared" si="39"/>
        <v>34299732.307315998</v>
      </c>
      <c r="AA62" s="107">
        <f t="shared" si="40"/>
        <v>27646104.44043</v>
      </c>
      <c r="AB62" s="107">
        <f t="shared" si="40"/>
        <v>20766437.130600002</v>
      </c>
      <c r="AC62" s="107">
        <f t="shared" si="40"/>
        <v>12895271.262720002</v>
      </c>
      <c r="AD62" s="107">
        <f t="shared" si="40"/>
        <v>27469210.207320001</v>
      </c>
    </row>
    <row r="63" spans="9:30" ht="15.75" thickBot="1" x14ac:dyDescent="0.3">
      <c r="I63" s="114" t="s">
        <v>507</v>
      </c>
      <c r="J63" s="107"/>
      <c r="K63" s="107"/>
      <c r="L63" s="107"/>
      <c r="M63" s="107">
        <f t="shared" si="25"/>
        <v>14138055.8532</v>
      </c>
      <c r="N63" s="107">
        <f t="shared" si="27"/>
        <v>8710069.1010479983</v>
      </c>
      <c r="O63" s="107">
        <f t="shared" si="28"/>
        <v>6204779.5426559998</v>
      </c>
      <c r="P63" s="107">
        <f t="shared" si="29"/>
        <v>14631730.448250001</v>
      </c>
      <c r="Q63" s="107">
        <f t="shared" si="30"/>
        <v>19922392.140288003</v>
      </c>
      <c r="R63" s="107">
        <f t="shared" si="31"/>
        <v>23244768.648164999</v>
      </c>
      <c r="S63" s="107">
        <f t="shared" si="32"/>
        <v>39617239.198679999</v>
      </c>
      <c r="T63" s="107">
        <f t="shared" si="33"/>
        <v>17608474.557824999</v>
      </c>
      <c r="U63" s="107">
        <f t="shared" si="34"/>
        <v>11297565.586608</v>
      </c>
      <c r="V63" s="107">
        <f t="shared" si="35"/>
        <v>3567350.6604000004</v>
      </c>
      <c r="W63" s="107">
        <f t="shared" si="36"/>
        <v>1750960.3617400003</v>
      </c>
      <c r="X63" s="107">
        <f t="shared" si="37"/>
        <v>2257884.1289599999</v>
      </c>
      <c r="Y63" s="107">
        <f t="shared" si="38"/>
        <v>4175455.0271999999</v>
      </c>
      <c r="Z63" s="107">
        <f t="shared" si="39"/>
        <v>42095666.207819</v>
      </c>
      <c r="AA63" s="107">
        <f t="shared" si="40"/>
        <v>25990003.478249997</v>
      </c>
      <c r="AB63" s="107">
        <f t="shared" si="40"/>
        <v>13857516.981000002</v>
      </c>
      <c r="AC63" s="107">
        <f t="shared" si="40"/>
        <v>7077182.9454900008</v>
      </c>
      <c r="AD63" s="107">
        <f t="shared" si="40"/>
        <v>12165099.18372</v>
      </c>
    </row>
    <row r="64" spans="9:30" ht="15.75" thickBot="1" x14ac:dyDescent="0.3">
      <c r="I64" s="114" t="s">
        <v>508</v>
      </c>
      <c r="J64" s="107"/>
      <c r="K64" s="107"/>
      <c r="L64" s="107"/>
      <c r="M64" s="107">
        <f t="shared" si="25"/>
        <v>6428611.9326240001</v>
      </c>
      <c r="N64" s="107">
        <f t="shared" si="27"/>
        <v>3451549.9104239997</v>
      </c>
      <c r="O64" s="107">
        <f t="shared" si="28"/>
        <v>32769826.176383995</v>
      </c>
      <c r="P64" s="107">
        <f t="shared" si="29"/>
        <v>46304448.626449995</v>
      </c>
      <c r="Q64" s="107">
        <f t="shared" si="30"/>
        <v>44537740.705215991</v>
      </c>
      <c r="R64" s="107">
        <f t="shared" si="31"/>
        <v>20057929.254139997</v>
      </c>
      <c r="S64" s="107">
        <f t="shared" si="32"/>
        <v>8174798.7235200005</v>
      </c>
      <c r="T64" s="107">
        <f t="shared" si="33"/>
        <v>3519673.282875</v>
      </c>
      <c r="U64" s="107">
        <f t="shared" si="34"/>
        <v>6405619.2485600002</v>
      </c>
      <c r="V64" s="107">
        <f t="shared" si="35"/>
        <v>10683954.558600001</v>
      </c>
      <c r="W64" s="107">
        <f t="shared" si="36"/>
        <v>26093912.062479999</v>
      </c>
      <c r="X64" s="107">
        <f t="shared" si="37"/>
        <v>21332697.181759998</v>
      </c>
      <c r="Y64" s="107">
        <f t="shared" si="38"/>
        <v>15788879.349599998</v>
      </c>
      <c r="Z64" s="107">
        <f t="shared" si="39"/>
        <v>34465468.597350001</v>
      </c>
      <c r="AA64" s="107">
        <f t="shared" si="40"/>
        <v>23844161.943629999</v>
      </c>
      <c r="AB64" s="107">
        <f t="shared" si="40"/>
        <v>21483935.240040001</v>
      </c>
      <c r="AC64" s="107">
        <f t="shared" si="40"/>
        <v>13296226.165109999</v>
      </c>
      <c r="AD64" s="107">
        <f t="shared" si="40"/>
        <v>29860348.510439999</v>
      </c>
    </row>
    <row r="65" spans="9:30" ht="15.75" thickBot="1" x14ac:dyDescent="0.3">
      <c r="I65" s="114" t="s">
        <v>509</v>
      </c>
      <c r="J65" s="107"/>
      <c r="K65" s="107"/>
      <c r="L65" s="107"/>
      <c r="M65" s="107">
        <f t="shared" si="25"/>
        <v>25501700.141855996</v>
      </c>
      <c r="N65" s="107">
        <f t="shared" si="27"/>
        <v>13040014.529807998</v>
      </c>
      <c r="O65" s="107">
        <f t="shared" si="28"/>
        <v>37945921.030847996</v>
      </c>
      <c r="P65" s="107">
        <f t="shared" si="29"/>
        <v>34902783.804480001</v>
      </c>
      <c r="Q65" s="107">
        <f t="shared" si="30"/>
        <v>9100775.272863999</v>
      </c>
      <c r="R65" s="107">
        <f t="shared" si="31"/>
        <v>1400294.56161</v>
      </c>
      <c r="S65" s="107">
        <f t="shared" si="32"/>
        <v>248813.79494399999</v>
      </c>
      <c r="T65" s="107">
        <f t="shared" si="33"/>
        <v>0</v>
      </c>
      <c r="U65" s="107">
        <f t="shared" si="34"/>
        <v>0</v>
      </c>
      <c r="V65" s="107">
        <f t="shared" si="35"/>
        <v>0</v>
      </c>
      <c r="W65" s="107">
        <f t="shared" si="36"/>
        <v>3156.762560000001</v>
      </c>
      <c r="X65" s="107">
        <f t="shared" si="37"/>
        <v>19579780.583559997</v>
      </c>
      <c r="Y65" s="107">
        <f t="shared" si="38"/>
        <v>43322692.723200001</v>
      </c>
      <c r="Z65" s="107">
        <f t="shared" si="39"/>
        <v>47305461.850318</v>
      </c>
      <c r="AA65" s="107">
        <f t="shared" si="40"/>
        <v>22603946.01822</v>
      </c>
      <c r="AB65" s="107">
        <f t="shared" si="40"/>
        <v>17458786.061640002</v>
      </c>
      <c r="AC65" s="107">
        <f t="shared" si="40"/>
        <v>10082853.152190002</v>
      </c>
      <c r="AD65" s="107">
        <f t="shared" si="40"/>
        <v>7313314.9798799995</v>
      </c>
    </row>
    <row r="66" spans="9:30" ht="15.75" thickBot="1" x14ac:dyDescent="0.3">
      <c r="I66" s="114" t="s">
        <v>510</v>
      </c>
      <c r="J66" s="107"/>
      <c r="K66" s="107"/>
      <c r="L66" s="107"/>
      <c r="M66" s="107">
        <f t="shared" si="25"/>
        <v>3590528.5987199992</v>
      </c>
      <c r="N66" s="107">
        <f t="shared" si="27"/>
        <v>2785419.9147599996</v>
      </c>
      <c r="O66" s="107">
        <f t="shared" si="28"/>
        <v>717177.36959999986</v>
      </c>
      <c r="P66" s="107">
        <f t="shared" si="29"/>
        <v>1129191.2816000001</v>
      </c>
      <c r="Q66" s="107">
        <f t="shared" si="30"/>
        <v>800547.11263999995</v>
      </c>
      <c r="R66" s="107">
        <f t="shared" si="31"/>
        <v>0</v>
      </c>
      <c r="S66" s="107">
        <f t="shared" si="32"/>
        <v>946483.37784000009</v>
      </c>
      <c r="T66" s="107">
        <f t="shared" si="33"/>
        <v>1145589.591</v>
      </c>
      <c r="U66" s="107">
        <f t="shared" si="34"/>
        <v>0</v>
      </c>
      <c r="V66" s="107">
        <f t="shared" si="35"/>
        <v>1682174.801</v>
      </c>
      <c r="W66" s="107">
        <f t="shared" si="36"/>
        <v>1761868.1038000004</v>
      </c>
      <c r="X66" s="107">
        <f t="shared" si="37"/>
        <v>3141231.3572</v>
      </c>
      <c r="Y66" s="107">
        <f t="shared" si="38"/>
        <v>4074072.5759999999</v>
      </c>
      <c r="Z66" s="107">
        <f t="shared" si="39"/>
        <v>4055884.0741299996</v>
      </c>
      <c r="AA66" s="107">
        <f t="shared" si="40"/>
        <v>2096466.1073999999</v>
      </c>
      <c r="AB66" s="107">
        <f t="shared" si="40"/>
        <v>548837.87112000003</v>
      </c>
      <c r="AC66" s="107">
        <f t="shared" si="40"/>
        <v>17232.374879999999</v>
      </c>
      <c r="AD66" s="107">
        <f t="shared" si="40"/>
        <v>9271.9544400000013</v>
      </c>
    </row>
    <row r="67" spans="9:30" ht="15.75" thickBot="1" x14ac:dyDescent="0.3">
      <c r="I67" s="114" t="s">
        <v>511</v>
      </c>
      <c r="J67" s="107"/>
      <c r="K67" s="107"/>
      <c r="L67" s="107"/>
      <c r="M67" s="107">
        <f t="shared" si="25"/>
        <v>29725889.079999998</v>
      </c>
      <c r="N67" s="107">
        <f t="shared" si="27"/>
        <v>15340669.68</v>
      </c>
      <c r="O67" s="107">
        <f t="shared" si="28"/>
        <v>15817932</v>
      </c>
      <c r="P67" s="107">
        <f t="shared" si="29"/>
        <v>37789928.25</v>
      </c>
      <c r="Q67" s="107">
        <f t="shared" si="30"/>
        <v>36668962.879999995</v>
      </c>
      <c r="R67" s="107">
        <f t="shared" si="31"/>
        <v>42259443.039999999</v>
      </c>
      <c r="S67" s="107">
        <f t="shared" si="32"/>
        <v>32425814.52</v>
      </c>
      <c r="T67" s="107">
        <f t="shared" si="33"/>
        <v>37574067.25</v>
      </c>
      <c r="U67" s="107">
        <f t="shared" si="34"/>
        <v>31453912.960000001</v>
      </c>
      <c r="V67" s="107">
        <f t="shared" si="35"/>
        <v>19947523.75</v>
      </c>
      <c r="W67" s="107">
        <f t="shared" si="36"/>
        <v>17648757.400000002</v>
      </c>
      <c r="X67" s="107">
        <f t="shared" si="37"/>
        <v>25257503.600000001</v>
      </c>
      <c r="Y67" s="107">
        <f t="shared" si="38"/>
        <v>25154934</v>
      </c>
      <c r="Z67" s="107">
        <f t="shared" si="39"/>
        <v>88803846.732299998</v>
      </c>
      <c r="AA67" s="107">
        <f t="shared" si="40"/>
        <v>63641361.797999993</v>
      </c>
      <c r="AB67" s="107">
        <f t="shared" si="40"/>
        <v>53615612.584800012</v>
      </c>
      <c r="AC67" s="107">
        <f t="shared" si="40"/>
        <v>55069215.264000006</v>
      </c>
      <c r="AD67" s="107">
        <f t="shared" si="40"/>
        <v>68870230.884000003</v>
      </c>
    </row>
    <row r="68" spans="9:30" ht="15.75" thickBot="1" x14ac:dyDescent="0.3">
      <c r="I68" s="114" t="s">
        <v>512</v>
      </c>
      <c r="J68" s="107"/>
      <c r="K68" s="107"/>
      <c r="L68" s="107"/>
      <c r="M68" s="107">
        <f t="shared" si="25"/>
        <v>9175343.434559999</v>
      </c>
      <c r="N68" s="107">
        <f t="shared" si="27"/>
        <v>4332155.481528</v>
      </c>
      <c r="O68" s="107">
        <f t="shared" si="28"/>
        <v>3337553.1162239998</v>
      </c>
      <c r="P68" s="107">
        <f t="shared" si="29"/>
        <v>5534583.4339800011</v>
      </c>
      <c r="Q68" s="107">
        <f t="shared" si="30"/>
        <v>3685417.4308159999</v>
      </c>
      <c r="R68" s="107">
        <f t="shared" si="31"/>
        <v>2181225.48006</v>
      </c>
      <c r="S68" s="107">
        <f t="shared" si="32"/>
        <v>2367462.0649679997</v>
      </c>
      <c r="T68" s="107">
        <f t="shared" si="33"/>
        <v>2160009.7649500002</v>
      </c>
      <c r="U68" s="107">
        <f t="shared" si="34"/>
        <v>1656856.6893759998</v>
      </c>
      <c r="V68" s="107">
        <f t="shared" si="35"/>
        <v>3206951.8348000003</v>
      </c>
      <c r="W68" s="107">
        <f t="shared" si="36"/>
        <v>3018654.1980000008</v>
      </c>
      <c r="X68" s="107">
        <f t="shared" si="37"/>
        <v>4999046.1908199992</v>
      </c>
      <c r="Y68" s="107">
        <f t="shared" si="38"/>
        <v>9898107.1727999989</v>
      </c>
      <c r="Z68" s="107">
        <f t="shared" si="39"/>
        <v>11029829.473270999</v>
      </c>
      <c r="AA68" s="107">
        <f t="shared" si="40"/>
        <v>5850088.5032099988</v>
      </c>
      <c r="AB68" s="107">
        <f t="shared" si="40"/>
        <v>2809785.3184799999</v>
      </c>
      <c r="AC68" s="107">
        <f t="shared" si="40"/>
        <v>557681.18238000001</v>
      </c>
      <c r="AD68" s="107">
        <f t="shared" si="40"/>
        <v>1610114.0025600002</v>
      </c>
    </row>
    <row r="69" spans="9:30" ht="15.75" thickBot="1" x14ac:dyDescent="0.3">
      <c r="I69" s="114" t="s">
        <v>513</v>
      </c>
      <c r="J69" s="107"/>
      <c r="K69" s="107"/>
      <c r="L69" s="107"/>
      <c r="M69" s="107">
        <f t="shared" si="25"/>
        <v>0</v>
      </c>
      <c r="N69" s="107">
        <f t="shared" si="27"/>
        <v>0</v>
      </c>
      <c r="O69" s="107">
        <f t="shared" si="28"/>
        <v>0</v>
      </c>
      <c r="P69" s="107">
        <f t="shared" si="29"/>
        <v>0</v>
      </c>
      <c r="Q69" s="107">
        <f t="shared" si="30"/>
        <v>0</v>
      </c>
      <c r="R69" s="107">
        <f t="shared" si="31"/>
        <v>28194005.226050001</v>
      </c>
      <c r="S69" s="107">
        <f t="shared" si="32"/>
        <v>70188353.821871996</v>
      </c>
      <c r="T69" s="107">
        <f t="shared" si="33"/>
        <v>0</v>
      </c>
      <c r="U69" s="107">
        <f t="shared" si="34"/>
        <v>0</v>
      </c>
      <c r="V69" s="107">
        <f t="shared" si="35"/>
        <v>0</v>
      </c>
      <c r="W69" s="107">
        <f t="shared" si="36"/>
        <v>0</v>
      </c>
      <c r="X69" s="107">
        <f t="shared" si="37"/>
        <v>0</v>
      </c>
      <c r="Y69" s="107">
        <f t="shared" si="38"/>
        <v>0</v>
      </c>
      <c r="Z69" s="107">
        <f t="shared" si="39"/>
        <v>0</v>
      </c>
      <c r="AA69" s="107">
        <f t="shared" si="40"/>
        <v>8420482.5900299996</v>
      </c>
      <c r="AB69" s="107">
        <f t="shared" si="40"/>
        <v>14708034.996480003</v>
      </c>
      <c r="AC69" s="107">
        <f t="shared" si="40"/>
        <v>5511702.2706900006</v>
      </c>
      <c r="AD69" s="107">
        <f t="shared" si="40"/>
        <v>24424059.272759996</v>
      </c>
    </row>
    <row r="70" spans="9:30" ht="15.75" thickBot="1" x14ac:dyDescent="0.3">
      <c r="I70" s="114" t="s">
        <v>514</v>
      </c>
      <c r="J70" s="107"/>
      <c r="K70" s="107"/>
      <c r="L70" s="107"/>
      <c r="M70" s="107">
        <f t="shared" si="25"/>
        <v>32805856.093392</v>
      </c>
      <c r="N70" s="107">
        <f t="shared" si="27"/>
        <v>36578708.934348002</v>
      </c>
      <c r="O70" s="107">
        <f t="shared" si="28"/>
        <v>29452814.436671998</v>
      </c>
      <c r="P70" s="107">
        <f t="shared" si="29"/>
        <v>48027537.663599998</v>
      </c>
      <c r="Q70" s="107">
        <f t="shared" si="30"/>
        <v>65858821.786559992</v>
      </c>
      <c r="R70" s="107">
        <f t="shared" si="31"/>
        <v>55455736.332399994</v>
      </c>
      <c r="S70" s="107">
        <f t="shared" si="32"/>
        <v>73713743.233416006</v>
      </c>
      <c r="T70" s="107">
        <f t="shared" si="33"/>
        <v>64323407.291874997</v>
      </c>
      <c r="U70" s="107">
        <f t="shared" si="34"/>
        <v>46864338.740071997</v>
      </c>
      <c r="V70" s="107">
        <f t="shared" si="35"/>
        <v>24853987.407299999</v>
      </c>
      <c r="W70" s="107">
        <f t="shared" si="36"/>
        <v>40962404.646980003</v>
      </c>
      <c r="X70" s="107">
        <f t="shared" si="37"/>
        <v>62507375.411639996</v>
      </c>
      <c r="Y70" s="107">
        <f t="shared" si="38"/>
        <v>60408627.940799996</v>
      </c>
      <c r="Z70" s="107">
        <f t="shared" si="39"/>
        <v>35191567.735981993</v>
      </c>
      <c r="AA70" s="107">
        <f t="shared" si="40"/>
        <v>42593312.651399992</v>
      </c>
      <c r="AB70" s="107">
        <f t="shared" si="40"/>
        <v>19664112.189960003</v>
      </c>
      <c r="AC70" s="107">
        <f t="shared" si="40"/>
        <v>8622750.3093899991</v>
      </c>
      <c r="AD70" s="107">
        <f t="shared" si="40"/>
        <v>26929218.249359999</v>
      </c>
    </row>
    <row r="71" spans="9:30" ht="15.75" thickBot="1" x14ac:dyDescent="0.3">
      <c r="I71" s="114" t="s">
        <v>515</v>
      </c>
      <c r="J71" s="107"/>
      <c r="K71" s="107"/>
      <c r="L71" s="107"/>
      <c r="M71" s="107">
        <f t="shared" si="25"/>
        <v>5192871.2495999988</v>
      </c>
      <c r="N71" s="107">
        <f t="shared" si="27"/>
        <v>8702082.7740000002</v>
      </c>
      <c r="O71" s="107">
        <f t="shared" si="28"/>
        <v>13179240.921599999</v>
      </c>
      <c r="P71" s="107">
        <f t="shared" si="29"/>
        <v>15740846.664000001</v>
      </c>
      <c r="Q71" s="107">
        <f t="shared" si="30"/>
        <v>22370196.956800003</v>
      </c>
      <c r="R71" s="107">
        <f t="shared" si="31"/>
        <v>14358546.086000001</v>
      </c>
      <c r="S71" s="107">
        <f t="shared" si="32"/>
        <v>10805013.648</v>
      </c>
      <c r="T71" s="107">
        <f t="shared" si="33"/>
        <v>10563305.465</v>
      </c>
      <c r="U71" s="107">
        <f t="shared" si="34"/>
        <v>9933167.0255999994</v>
      </c>
      <c r="V71" s="107">
        <f t="shared" si="35"/>
        <v>9704535.3300000001</v>
      </c>
      <c r="W71" s="107">
        <f t="shared" si="36"/>
        <v>4064331.7960000006</v>
      </c>
      <c r="X71" s="107">
        <f t="shared" si="37"/>
        <v>998744.31199999992</v>
      </c>
      <c r="Y71" s="107">
        <f t="shared" si="38"/>
        <v>8524809.120000001</v>
      </c>
      <c r="Z71" s="107">
        <f t="shared" si="39"/>
        <v>36673519.602978997</v>
      </c>
      <c r="AA71" s="107">
        <f t="shared" si="40"/>
        <v>25073374.795559999</v>
      </c>
      <c r="AB71" s="107">
        <f t="shared" si="40"/>
        <v>15903037.480680002</v>
      </c>
      <c r="AC71" s="107">
        <f t="shared" si="40"/>
        <v>7470474.70995</v>
      </c>
      <c r="AD71" s="107">
        <f t="shared" si="40"/>
        <v>11044359.705959998</v>
      </c>
    </row>
    <row r="72" spans="9:30" ht="15.75" thickBot="1" x14ac:dyDescent="0.3">
      <c r="I72" s="114" t="s">
        <v>516</v>
      </c>
      <c r="J72" s="107"/>
      <c r="K72" s="107"/>
      <c r="L72" s="107"/>
      <c r="M72" s="107">
        <f t="shared" si="25"/>
        <v>32627562.692799997</v>
      </c>
      <c r="N72" s="107">
        <f t="shared" si="27"/>
        <v>43280042.315999992</v>
      </c>
      <c r="O72" s="107">
        <f t="shared" si="28"/>
        <v>52515507.200800002</v>
      </c>
      <c r="P72" s="107">
        <f t="shared" si="29"/>
        <v>33302801.333999999</v>
      </c>
      <c r="Q72" s="107">
        <f t="shared" si="30"/>
        <v>54826982.179199994</v>
      </c>
      <c r="R72" s="107">
        <f t="shared" si="31"/>
        <v>62149747.747499995</v>
      </c>
      <c r="S72" s="107">
        <f t="shared" si="32"/>
        <v>48393403.761599995</v>
      </c>
      <c r="T72" s="107">
        <f t="shared" si="33"/>
        <v>57261379.214999996</v>
      </c>
      <c r="U72" s="107">
        <f t="shared" si="34"/>
        <v>57264335.233199999</v>
      </c>
      <c r="V72" s="107">
        <f t="shared" si="35"/>
        <v>40414048.847500004</v>
      </c>
      <c r="W72" s="107">
        <f t="shared" si="36"/>
        <v>50509486.794000007</v>
      </c>
      <c r="X72" s="107">
        <f t="shared" si="37"/>
        <v>45740157.018200003</v>
      </c>
      <c r="Y72" s="107">
        <f t="shared" si="38"/>
        <v>74185356.742799997</v>
      </c>
      <c r="Z72" s="107">
        <f t="shared" si="39"/>
        <v>57027273.266600005</v>
      </c>
      <c r="AA72" s="107">
        <f t="shared" si="40"/>
        <v>51044802.291000001</v>
      </c>
      <c r="AB72" s="107">
        <f t="shared" si="40"/>
        <v>48716025.057000004</v>
      </c>
      <c r="AC72" s="107">
        <f t="shared" si="40"/>
        <v>50434487.397000007</v>
      </c>
      <c r="AD72" s="107">
        <f t="shared" si="40"/>
        <v>43004793.699000001</v>
      </c>
    </row>
    <row r="73" spans="9:30" ht="15.75" thickBot="1" x14ac:dyDescent="0.3">
      <c r="I73" s="114" t="s">
        <v>517</v>
      </c>
      <c r="J73" s="107"/>
      <c r="K73" s="107"/>
      <c r="L73" s="107"/>
      <c r="M73" s="107">
        <f t="shared" si="25"/>
        <v>53481787.760799997</v>
      </c>
      <c r="N73" s="107">
        <f t="shared" si="27"/>
        <v>59885407.562399998</v>
      </c>
      <c r="O73" s="107">
        <f t="shared" si="28"/>
        <v>71302965.262400001</v>
      </c>
      <c r="P73" s="107">
        <f t="shared" si="29"/>
        <v>96202824.466499999</v>
      </c>
      <c r="Q73" s="107">
        <f t="shared" si="30"/>
        <v>125919969.19039999</v>
      </c>
      <c r="R73" s="107">
        <f t="shared" si="31"/>
        <v>109407582.75919998</v>
      </c>
      <c r="S73" s="107">
        <f t="shared" si="32"/>
        <v>112565309.6682</v>
      </c>
      <c r="T73" s="107">
        <f t="shared" si="33"/>
        <v>96849887.670000002</v>
      </c>
      <c r="U73" s="107">
        <f t="shared" si="34"/>
        <v>76140807.421600014</v>
      </c>
      <c r="V73" s="107">
        <f t="shared" si="35"/>
        <v>43024111.469999999</v>
      </c>
      <c r="W73" s="107">
        <f t="shared" si="36"/>
        <v>75592163.278000012</v>
      </c>
      <c r="X73" s="107">
        <f t="shared" si="37"/>
        <v>102437529.22499999</v>
      </c>
      <c r="Y73" s="107">
        <f t="shared" si="38"/>
        <v>104511400.5768</v>
      </c>
      <c r="Z73" s="107">
        <f t="shared" si="39"/>
        <v>106686489.1953</v>
      </c>
      <c r="AA73" s="107">
        <f t="shared" si="40"/>
        <v>154641489.97499999</v>
      </c>
      <c r="AB73" s="107">
        <f t="shared" si="40"/>
        <v>158135364.072</v>
      </c>
      <c r="AC73" s="107">
        <f t="shared" si="40"/>
        <v>201737531.079</v>
      </c>
      <c r="AD73" s="107">
        <f t="shared" si="40"/>
        <v>199066252.51800004</v>
      </c>
    </row>
    <row r="74" spans="9:30" ht="15.75" thickBot="1" x14ac:dyDescent="0.3">
      <c r="I74" s="114" t="s">
        <v>518</v>
      </c>
      <c r="J74" s="107"/>
      <c r="K74" s="107"/>
      <c r="L74" s="107"/>
      <c r="M74" s="107">
        <f t="shared" si="25"/>
        <v>11720206.197071999</v>
      </c>
      <c r="N74" s="107">
        <f t="shared" si="27"/>
        <v>7944536.9592960002</v>
      </c>
      <c r="O74" s="107">
        <f t="shared" si="28"/>
        <v>12281618.184191998</v>
      </c>
      <c r="P74" s="107">
        <f t="shared" si="29"/>
        <v>24092872.072640005</v>
      </c>
      <c r="Q74" s="107">
        <f t="shared" si="30"/>
        <v>52182829.272639997</v>
      </c>
      <c r="R74" s="107">
        <f t="shared" si="31"/>
        <v>19047875.939604998</v>
      </c>
      <c r="S74" s="107">
        <f t="shared" si="32"/>
        <v>9056929.5891360007</v>
      </c>
      <c r="T74" s="107">
        <f t="shared" si="33"/>
        <v>4106359.3866250003</v>
      </c>
      <c r="U74" s="107">
        <f t="shared" si="34"/>
        <v>2557790.5090919998</v>
      </c>
      <c r="V74" s="107">
        <f t="shared" si="35"/>
        <v>2492767.7677000002</v>
      </c>
      <c r="W74" s="107">
        <f t="shared" si="36"/>
        <v>2839282.4396800008</v>
      </c>
      <c r="X74" s="107">
        <f t="shared" si="37"/>
        <v>6975085.8782399986</v>
      </c>
      <c r="Y74" s="107">
        <f t="shared" si="38"/>
        <v>16773016.639200002</v>
      </c>
      <c r="Z74" s="107">
        <f t="shared" si="39"/>
        <v>49971443.555319995</v>
      </c>
      <c r="AA74" s="107">
        <f t="shared" si="40"/>
        <v>38108712.487230003</v>
      </c>
      <c r="AB74" s="107">
        <f t="shared" si="40"/>
        <v>27746437.183920003</v>
      </c>
      <c r="AC74" s="107">
        <f t="shared" si="40"/>
        <v>13179915.383039998</v>
      </c>
      <c r="AD74" s="107">
        <f t="shared" si="40"/>
        <v>33702925.999680005</v>
      </c>
    </row>
    <row r="75" spans="9:30" ht="15.75" thickBot="1" x14ac:dyDescent="0.3">
      <c r="I75" s="114" t="s">
        <v>519</v>
      </c>
      <c r="J75" s="107"/>
      <c r="K75" s="107"/>
      <c r="L75" s="107"/>
      <c r="M75" s="107">
        <f t="shared" si="25"/>
        <v>52127861.523119994</v>
      </c>
      <c r="N75" s="107">
        <f t="shared" si="27"/>
        <v>83770417.745699987</v>
      </c>
      <c r="O75" s="107">
        <f t="shared" si="28"/>
        <v>85830193.86623998</v>
      </c>
      <c r="P75" s="107">
        <f t="shared" si="29"/>
        <v>76752463.097949997</v>
      </c>
      <c r="Q75" s="107">
        <f t="shared" si="30"/>
        <v>87687899.471743986</v>
      </c>
      <c r="R75" s="107">
        <f t="shared" si="31"/>
        <v>84841608.505419984</v>
      </c>
      <c r="S75" s="107">
        <f t="shared" si="32"/>
        <v>119021195.13055199</v>
      </c>
      <c r="T75" s="107">
        <f t="shared" si="33"/>
        <v>131177012.93557499</v>
      </c>
      <c r="U75" s="107">
        <f t="shared" si="34"/>
        <v>105482980.495928</v>
      </c>
      <c r="V75" s="107">
        <f t="shared" si="35"/>
        <v>92075756.778999984</v>
      </c>
      <c r="W75" s="107">
        <f t="shared" si="36"/>
        <v>51247813.516580008</v>
      </c>
      <c r="X75" s="107">
        <f t="shared" si="37"/>
        <v>66016367.28734</v>
      </c>
      <c r="Y75" s="107">
        <f t="shared" si="38"/>
        <v>120352058.28</v>
      </c>
      <c r="Z75" s="107">
        <f t="shared" si="39"/>
        <v>77352876.326340988</v>
      </c>
      <c r="AA75" s="107">
        <f t="shared" si="40"/>
        <v>49464161.125469998</v>
      </c>
      <c r="AB75" s="107">
        <f t="shared" si="40"/>
        <v>21360182.031720001</v>
      </c>
      <c r="AC75" s="107">
        <f t="shared" si="40"/>
        <v>6549968.3539500013</v>
      </c>
      <c r="AD75" s="107">
        <f t="shared" si="40"/>
        <v>31532583.325319998</v>
      </c>
    </row>
    <row r="76" spans="9:30" ht="15.75" thickBot="1" x14ac:dyDescent="0.3">
      <c r="I76" s="114" t="s">
        <v>521</v>
      </c>
      <c r="J76" s="107"/>
      <c r="K76" s="107"/>
      <c r="L76" s="107"/>
      <c r="M76" s="107">
        <f t="shared" si="25"/>
        <v>34188003.719136</v>
      </c>
      <c r="N76" s="107">
        <f t="shared" si="27"/>
        <v>21497409.30246</v>
      </c>
      <c r="O76" s="107">
        <f t="shared" si="28"/>
        <v>29171167.373375997</v>
      </c>
      <c r="P76" s="107">
        <f t="shared" si="29"/>
        <v>20939740.083809998</v>
      </c>
      <c r="Q76" s="107">
        <f t="shared" si="30"/>
        <v>19314234.175808001</v>
      </c>
      <c r="R76" s="107">
        <f t="shared" si="31"/>
        <v>27351729.863360003</v>
      </c>
      <c r="S76" s="107">
        <f t="shared" si="32"/>
        <v>40551216.220944002</v>
      </c>
      <c r="T76" s="107">
        <f t="shared" si="33"/>
        <v>58342282.855025001</v>
      </c>
      <c r="U76" s="107">
        <f t="shared" si="34"/>
        <v>34687184.0154</v>
      </c>
      <c r="V76" s="107">
        <f t="shared" si="35"/>
        <v>25691339.101300001</v>
      </c>
      <c r="W76" s="107">
        <f t="shared" si="36"/>
        <v>28004204.377360005</v>
      </c>
      <c r="X76" s="107">
        <f t="shared" si="37"/>
        <v>20331335.678339999</v>
      </c>
      <c r="Y76" s="107">
        <f t="shared" si="38"/>
        <v>51972059.102399997</v>
      </c>
      <c r="Z76" s="107">
        <f t="shared" si="39"/>
        <v>28132158.528984997</v>
      </c>
      <c r="AA76" s="107">
        <f t="shared" si="40"/>
        <v>16412347.026809998</v>
      </c>
      <c r="AB76" s="107">
        <f t="shared" si="40"/>
        <v>5920035.6499200007</v>
      </c>
      <c r="AC76" s="107">
        <f t="shared" si="40"/>
        <v>6636618.3756600004</v>
      </c>
      <c r="AD76" s="107">
        <f t="shared" si="40"/>
        <v>17351866.405439999</v>
      </c>
    </row>
    <row r="77" spans="9:30" x14ac:dyDescent="0.25">
      <c r="I77" s="116" t="s">
        <v>37</v>
      </c>
      <c r="J77" s="107"/>
      <c r="K77" s="107"/>
      <c r="L77" s="107"/>
      <c r="M77" s="107">
        <f t="shared" ref="M77:AD77" si="41">SUM(M59:M76)</f>
        <v>321279002.65439999</v>
      </c>
      <c r="N77" s="107">
        <f t="shared" si="41"/>
        <v>319310911.31721598</v>
      </c>
      <c r="O77" s="107">
        <f t="shared" si="41"/>
        <v>444399179.00150394</v>
      </c>
      <c r="P77" s="107">
        <f t="shared" si="41"/>
        <v>531584507.03040993</v>
      </c>
      <c r="Q77" s="107">
        <f t="shared" si="41"/>
        <v>602446399.02515185</v>
      </c>
      <c r="R77" s="107">
        <f t="shared" si="41"/>
        <v>510152501.42523992</v>
      </c>
      <c r="S77" s="107">
        <f t="shared" si="41"/>
        <v>577399757.32929611</v>
      </c>
      <c r="T77" s="107">
        <f t="shared" si="41"/>
        <v>489706505.73299998</v>
      </c>
      <c r="U77" s="107">
        <f t="shared" si="41"/>
        <v>392131384.43436402</v>
      </c>
      <c r="V77" s="107">
        <f t="shared" si="41"/>
        <v>290439869.24790001</v>
      </c>
      <c r="W77" s="107">
        <f t="shared" si="41"/>
        <v>330254842.61094004</v>
      </c>
      <c r="X77" s="107">
        <f t="shared" si="41"/>
        <v>403744936.28921998</v>
      </c>
      <c r="Y77" s="107">
        <f t="shared" si="41"/>
        <v>559616529.45959997</v>
      </c>
      <c r="Z77" s="107">
        <f t="shared" si="41"/>
        <v>655256536.5557121</v>
      </c>
      <c r="AA77" s="107">
        <f t="shared" si="41"/>
        <v>559037350.46187007</v>
      </c>
      <c r="AB77" s="107">
        <f t="shared" si="41"/>
        <v>445059187.07543999</v>
      </c>
      <c r="AC77" s="107">
        <f t="shared" si="41"/>
        <v>404085011.02200007</v>
      </c>
      <c r="AD77" s="107">
        <f t="shared" si="41"/>
        <v>546383913.60168004</v>
      </c>
    </row>
    <row r="79" spans="9:30" x14ac:dyDescent="0.25">
      <c r="I79" s="34" t="s">
        <v>676</v>
      </c>
      <c r="O79" s="107">
        <f>SUM(M77:O77)</f>
        <v>1084989092.97312</v>
      </c>
      <c r="P79" s="107"/>
      <c r="Q79" s="107"/>
      <c r="R79" s="107">
        <f>SUM(P77:R77)</f>
        <v>1644183407.4808016</v>
      </c>
      <c r="S79" s="107"/>
      <c r="T79" s="107"/>
      <c r="U79" s="107">
        <f>SUM(S77:U77)</f>
        <v>1459237647.4966602</v>
      </c>
      <c r="V79" s="107"/>
      <c r="W79" s="107"/>
      <c r="X79" s="107">
        <f>SUM(V77:X77)</f>
        <v>1024439648.14806</v>
      </c>
      <c r="Y79" s="107"/>
      <c r="Z79" s="107"/>
      <c r="AA79" s="107">
        <f>SUM(Y77:AA77)</f>
        <v>1773910416.4771824</v>
      </c>
      <c r="AD79" s="107">
        <f>SUM(AB77:AD77)</f>
        <v>1395528111.69912</v>
      </c>
    </row>
    <row r="80" spans="9:30" x14ac:dyDescent="0.25">
      <c r="I80" s="34" t="s">
        <v>677</v>
      </c>
      <c r="M80" s="24"/>
      <c r="R80" s="40">
        <f>(R79/O79)-1</f>
        <v>0.51539164598914122</v>
      </c>
      <c r="S80" s="40"/>
      <c r="T80" s="40"/>
      <c r="U80" s="40">
        <f>(U79/R79)-1</f>
        <v>-0.11248487190824596</v>
      </c>
      <c r="V80" s="40"/>
      <c r="W80" s="40"/>
      <c r="X80" s="40">
        <f>(X79/U79)-1</f>
        <v>-0.29796243270895695</v>
      </c>
      <c r="Y80" s="40"/>
      <c r="Z80" s="40"/>
      <c r="AA80" s="40">
        <f>(AA79/X79)-1</f>
        <v>0.73159094309165495</v>
      </c>
      <c r="AD80" s="40">
        <f>(AD79/AA79)-1</f>
        <v>-0.21330406612612018</v>
      </c>
    </row>
    <row r="81" spans="9:30" x14ac:dyDescent="0.25">
      <c r="I81" s="34" t="s">
        <v>678</v>
      </c>
      <c r="R81" s="40"/>
      <c r="S81" s="40"/>
      <c r="T81" s="40"/>
      <c r="U81" s="40"/>
      <c r="V81" s="40"/>
      <c r="W81" s="40"/>
      <c r="X81" s="40"/>
      <c r="Y81" s="40"/>
      <c r="Z81" s="40"/>
      <c r="AA81" s="40">
        <f>(AA79/O79)-1</f>
        <v>0.63495691151720179</v>
      </c>
      <c r="AD81" s="40">
        <f>(AD79/R79)-1</f>
        <v>-0.15123330806668844</v>
      </c>
    </row>
    <row r="85" spans="9:30" x14ac:dyDescent="0.25">
      <c r="I85" s="25" t="s">
        <v>578</v>
      </c>
      <c r="M85" s="25" t="s">
        <v>484</v>
      </c>
      <c r="N85" s="25" t="s">
        <v>485</v>
      </c>
      <c r="O85" s="25" t="s">
        <v>486</v>
      </c>
      <c r="P85" s="25" t="s">
        <v>487</v>
      </c>
      <c r="Q85" s="25" t="s">
        <v>488</v>
      </c>
      <c r="R85" s="25" t="s">
        <v>489</v>
      </c>
      <c r="S85" s="25" t="s">
        <v>490</v>
      </c>
      <c r="T85" s="25" t="s">
        <v>491</v>
      </c>
      <c r="U85" s="25" t="s">
        <v>492</v>
      </c>
      <c r="V85" s="25" t="s">
        <v>493</v>
      </c>
      <c r="W85" s="25" t="s">
        <v>494</v>
      </c>
      <c r="X85" s="25" t="s">
        <v>495</v>
      </c>
      <c r="Y85" s="25" t="s">
        <v>496</v>
      </c>
      <c r="Z85" s="25" t="s">
        <v>497</v>
      </c>
      <c r="AA85" s="25" t="s">
        <v>574</v>
      </c>
      <c r="AB85" s="25" t="s">
        <v>731</v>
      </c>
      <c r="AC85" s="25" t="s">
        <v>732</v>
      </c>
      <c r="AD85" s="25" t="s">
        <v>733</v>
      </c>
    </row>
    <row r="86" spans="9:30" x14ac:dyDescent="0.25">
      <c r="I86" s="25" t="s">
        <v>576</v>
      </c>
      <c r="M86" s="62" t="str">
        <f>PTF!B5</f>
        <v>35,48</v>
      </c>
      <c r="N86" s="62">
        <f>PTF!C5</f>
        <v>36.119999999999997</v>
      </c>
      <c r="O86" s="62">
        <f>PTF!D5</f>
        <v>37.04</v>
      </c>
      <c r="P86" s="62">
        <f>PTF!E5</f>
        <v>38.049999999999997</v>
      </c>
      <c r="Q86" s="62">
        <f>PTF!F5</f>
        <v>38.72</v>
      </c>
      <c r="R86" s="62">
        <f>PTF!G5</f>
        <v>39.369999999999997</v>
      </c>
      <c r="S86" s="62">
        <f>PTF!H5</f>
        <v>40.14</v>
      </c>
      <c r="T86" s="62">
        <f>PTF!I5</f>
        <v>40.75</v>
      </c>
      <c r="U86" s="62">
        <f>PTF!J5</f>
        <v>41.24</v>
      </c>
      <c r="V86" s="62">
        <f>PTF!K5</f>
        <v>41.75</v>
      </c>
      <c r="W86" s="62">
        <f>PTF!L5</f>
        <v>42.2</v>
      </c>
      <c r="X86" s="62">
        <f>PTF!M5</f>
        <v>42.61</v>
      </c>
      <c r="Y86" s="62">
        <f>PTF!N5</f>
        <v>43.14</v>
      </c>
      <c r="Z86" s="62">
        <f>PTF!O5</f>
        <v>43.61</v>
      </c>
      <c r="AA86" s="62">
        <f>PTF!P5</f>
        <v>44.1</v>
      </c>
      <c r="AB86" s="62">
        <f>PTF!Q5</f>
        <v>44.68</v>
      </c>
      <c r="AC86" s="62">
        <f>PTF!R5</f>
        <v>45.36</v>
      </c>
      <c r="AD86" s="62">
        <f>PTF!S5</f>
        <v>46.17</v>
      </c>
    </row>
    <row r="89" spans="9:30" x14ac:dyDescent="0.25">
      <c r="I89" s="25" t="s">
        <v>719</v>
      </c>
      <c r="J89" s="25" t="s">
        <v>484</v>
      </c>
      <c r="K89" s="25" t="s">
        <v>485</v>
      </c>
      <c r="L89" s="25" t="s">
        <v>486</v>
      </c>
      <c r="M89" s="25" t="s">
        <v>487</v>
      </c>
      <c r="N89" s="25" t="s">
        <v>488</v>
      </c>
      <c r="O89" s="25" t="s">
        <v>489</v>
      </c>
      <c r="P89" s="25" t="s">
        <v>490</v>
      </c>
      <c r="Q89" s="25" t="s">
        <v>491</v>
      </c>
      <c r="R89" s="25" t="s">
        <v>492</v>
      </c>
      <c r="S89" s="25" t="s">
        <v>493</v>
      </c>
      <c r="T89" s="25" t="s">
        <v>494</v>
      </c>
      <c r="U89" s="25" t="s">
        <v>495</v>
      </c>
      <c r="V89" s="25" t="s">
        <v>496</v>
      </c>
      <c r="W89" s="25" t="s">
        <v>497</v>
      </c>
      <c r="X89" s="25" t="s">
        <v>574</v>
      </c>
      <c r="Y89" s="25" t="s">
        <v>731</v>
      </c>
      <c r="Z89" s="25" t="s">
        <v>732</v>
      </c>
      <c r="AA89" s="25" t="s">
        <v>733</v>
      </c>
    </row>
    <row r="90" spans="9:30" x14ac:dyDescent="0.25">
      <c r="I90" s="25" t="s">
        <v>29</v>
      </c>
      <c r="J90" s="25">
        <f>SUM(M2,M4:M14,M16:M17)</f>
        <v>78993.789999999994</v>
      </c>
      <c r="K90" s="25">
        <f t="shared" ref="K90:AA90" si="42">SUM(N2,N4:N14,N16:N17)</f>
        <v>66570.700000000012</v>
      </c>
      <c r="L90" s="25">
        <f t="shared" si="42"/>
        <v>117948.93999999999</v>
      </c>
      <c r="M90" s="25">
        <f t="shared" si="42"/>
        <v>155143.56</v>
      </c>
      <c r="N90" s="25">
        <f t="shared" si="42"/>
        <v>169664.34</v>
      </c>
      <c r="O90" s="25">
        <f t="shared" si="42"/>
        <v>134900.55999999997</v>
      </c>
      <c r="P90" s="25">
        <f t="shared" si="42"/>
        <v>124676.31</v>
      </c>
      <c r="Q90" s="25">
        <f t="shared" si="42"/>
        <v>81898.960000000006</v>
      </c>
      <c r="R90" s="25">
        <f t="shared" si="42"/>
        <v>67202.110000000015</v>
      </c>
      <c r="S90" s="25">
        <f t="shared" si="42"/>
        <v>45700.47</v>
      </c>
      <c r="T90" s="25">
        <f t="shared" si="42"/>
        <v>68319.63</v>
      </c>
      <c r="U90" s="25">
        <f t="shared" si="42"/>
        <v>88907.99</v>
      </c>
      <c r="V90" s="25">
        <f t="shared" si="42"/>
        <v>104294.07000000002</v>
      </c>
      <c r="W90" s="25">
        <f t="shared" si="42"/>
        <v>213477.55</v>
      </c>
      <c r="X90" s="25">
        <f t="shared" si="42"/>
        <v>214201.88</v>
      </c>
      <c r="Y90" s="25">
        <f t="shared" si="42"/>
        <v>248742.84000000003</v>
      </c>
      <c r="Z90" s="25">
        <f t="shared" si="42"/>
        <v>241704.5</v>
      </c>
      <c r="AA90" s="25">
        <f t="shared" si="42"/>
        <v>261010.90000000002</v>
      </c>
    </row>
    <row r="91" spans="9:30" x14ac:dyDescent="0.25">
      <c r="I91" s="25" t="s">
        <v>28</v>
      </c>
      <c r="J91" s="25">
        <f>SUM(M15,M18:M19)</f>
        <v>46556.049999999996</v>
      </c>
      <c r="K91" s="25">
        <f t="shared" ref="K91:AA91" si="43">SUM(N15,N18:N19)</f>
        <v>58329.7</v>
      </c>
      <c r="L91" s="25">
        <f t="shared" si="43"/>
        <v>71376.28</v>
      </c>
      <c r="M91" s="25">
        <f t="shared" si="43"/>
        <v>51163.64</v>
      </c>
      <c r="N91" s="25">
        <f t="shared" si="43"/>
        <v>62556.289999999994</v>
      </c>
      <c r="O91" s="25">
        <f t="shared" si="43"/>
        <v>71663.67</v>
      </c>
      <c r="P91" s="25">
        <f t="shared" si="43"/>
        <v>69976.76999999999</v>
      </c>
      <c r="Q91" s="25">
        <f t="shared" si="43"/>
        <v>83371.3</v>
      </c>
      <c r="R91" s="25">
        <f t="shared" si="43"/>
        <v>69652.850000000006</v>
      </c>
      <c r="S91" s="25">
        <f t="shared" si="43"/>
        <v>55818.66</v>
      </c>
      <c r="T91" s="25">
        <f t="shared" si="43"/>
        <v>44514.12</v>
      </c>
      <c r="U91" s="25">
        <f t="shared" si="43"/>
        <v>43408.42</v>
      </c>
      <c r="V91" s="25">
        <f t="shared" si="43"/>
        <v>82299.86</v>
      </c>
      <c r="W91" s="25">
        <f t="shared" si="43"/>
        <v>67086.36</v>
      </c>
      <c r="X91" s="25">
        <f t="shared" si="43"/>
        <v>53933.83</v>
      </c>
      <c r="Y91" s="25">
        <f t="shared" si="43"/>
        <v>40950.480000000003</v>
      </c>
      <c r="Z91" s="25">
        <f t="shared" si="43"/>
        <v>32684.82</v>
      </c>
      <c r="AA91" s="25">
        <f t="shared" si="43"/>
        <v>51477.099999999991</v>
      </c>
    </row>
    <row r="92" spans="9:30" x14ac:dyDescent="0.25">
      <c r="I92" s="25" t="s">
        <v>31</v>
      </c>
      <c r="J92" s="25">
        <f>M3</f>
        <v>0</v>
      </c>
      <c r="K92" s="25">
        <f t="shared" ref="K92:AA92" si="44">N3</f>
        <v>0</v>
      </c>
      <c r="L92" s="25">
        <f t="shared" si="44"/>
        <v>0</v>
      </c>
      <c r="M92" s="25">
        <f t="shared" si="44"/>
        <v>0</v>
      </c>
      <c r="N92" s="25">
        <f t="shared" si="44"/>
        <v>0</v>
      </c>
      <c r="O92" s="25">
        <f t="shared" si="44"/>
        <v>0</v>
      </c>
      <c r="P92" s="25">
        <f t="shared" si="44"/>
        <v>0</v>
      </c>
      <c r="Q92" s="25">
        <f t="shared" si="44"/>
        <v>0</v>
      </c>
      <c r="R92" s="25">
        <f t="shared" si="44"/>
        <v>0</v>
      </c>
      <c r="S92" s="25">
        <f t="shared" si="44"/>
        <v>0</v>
      </c>
      <c r="T92" s="25">
        <f t="shared" si="44"/>
        <v>0</v>
      </c>
      <c r="U92" s="25">
        <f t="shared" si="44"/>
        <v>0</v>
      </c>
      <c r="V92" s="25">
        <f t="shared" si="44"/>
        <v>0</v>
      </c>
      <c r="W92" s="25">
        <f t="shared" si="44"/>
        <v>0</v>
      </c>
      <c r="X92" s="25">
        <f t="shared" si="44"/>
        <v>0</v>
      </c>
      <c r="Y92" s="25">
        <f t="shared" si="44"/>
        <v>0</v>
      </c>
      <c r="Z92" s="25">
        <f t="shared" si="44"/>
        <v>0</v>
      </c>
      <c r="AA92" s="25">
        <f t="shared" si="44"/>
        <v>0</v>
      </c>
    </row>
    <row r="93" spans="9:30" x14ac:dyDescent="0.25">
      <c r="I93" s="25" t="s">
        <v>522</v>
      </c>
      <c r="J93" s="25">
        <f>SUM(J90:J92)</f>
        <v>125549.84</v>
      </c>
      <c r="K93" s="25">
        <f t="shared" ref="K93:AA93" si="45">SUM(K90:K92)</f>
        <v>124900.40000000001</v>
      </c>
      <c r="L93" s="25">
        <f t="shared" si="45"/>
        <v>189325.21999999997</v>
      </c>
      <c r="M93" s="25">
        <f t="shared" si="45"/>
        <v>206307.20000000001</v>
      </c>
      <c r="N93" s="25">
        <f t="shared" si="45"/>
        <v>232220.63</v>
      </c>
      <c r="O93" s="25">
        <f t="shared" si="45"/>
        <v>206564.22999999998</v>
      </c>
      <c r="P93" s="25">
        <f t="shared" si="45"/>
        <v>194653.08</v>
      </c>
      <c r="Q93" s="25">
        <f t="shared" si="45"/>
        <v>165270.26</v>
      </c>
      <c r="R93" s="25">
        <f t="shared" si="45"/>
        <v>136854.96000000002</v>
      </c>
      <c r="S93" s="25">
        <f t="shared" si="45"/>
        <v>101519.13</v>
      </c>
      <c r="T93" s="25">
        <f t="shared" si="45"/>
        <v>112833.75</v>
      </c>
      <c r="U93" s="25">
        <f t="shared" si="45"/>
        <v>132316.41</v>
      </c>
      <c r="V93" s="25">
        <f t="shared" si="45"/>
        <v>186593.93000000002</v>
      </c>
      <c r="W93" s="25">
        <f t="shared" si="45"/>
        <v>280563.90999999997</v>
      </c>
      <c r="X93" s="25">
        <f t="shared" si="45"/>
        <v>268135.71000000002</v>
      </c>
      <c r="Y93" s="25">
        <f t="shared" si="45"/>
        <v>289693.32</v>
      </c>
      <c r="Z93" s="25">
        <f t="shared" si="45"/>
        <v>274389.32</v>
      </c>
      <c r="AA93" s="25">
        <f t="shared" si="45"/>
        <v>312488</v>
      </c>
    </row>
    <row r="96" spans="9:30" x14ac:dyDescent="0.25">
      <c r="I96" s="25" t="s">
        <v>719</v>
      </c>
      <c r="J96" s="25" t="s">
        <v>756</v>
      </c>
      <c r="K96" s="25" t="s">
        <v>757</v>
      </c>
      <c r="L96" s="25" t="s">
        <v>758</v>
      </c>
      <c r="M96" s="25" t="s">
        <v>759</v>
      </c>
      <c r="N96" s="25" t="s">
        <v>760</v>
      </c>
      <c r="O96" s="25" t="s">
        <v>761</v>
      </c>
    </row>
    <row r="97" spans="9:15" x14ac:dyDescent="0.25">
      <c r="I97" s="25" t="s">
        <v>29</v>
      </c>
      <c r="J97" s="25">
        <f>SUM(J90:L90)</f>
        <v>263513.43</v>
      </c>
      <c r="K97" s="25">
        <f>SUM(M90:O90)</f>
        <v>459708.45999999996</v>
      </c>
      <c r="L97" s="25">
        <f>SUM(P90:R90)</f>
        <v>273777.38</v>
      </c>
      <c r="M97" s="25">
        <f>SUM(S90:U90)</f>
        <v>202928.09000000003</v>
      </c>
      <c r="N97" s="25">
        <f>SUM(V90:X90)</f>
        <v>531973.5</v>
      </c>
      <c r="O97" s="25">
        <f>SUM(Y90:AA90)</f>
        <v>751458.24</v>
      </c>
    </row>
    <row r="98" spans="9:15" x14ac:dyDescent="0.25">
      <c r="I98" s="25" t="s">
        <v>28</v>
      </c>
      <c r="J98" s="25">
        <f t="shared" ref="J98:J100" si="46">SUM(J91:L91)</f>
        <v>176262.03</v>
      </c>
      <c r="K98" s="25">
        <f t="shared" ref="K98:K100" si="47">SUM(M91:O91)</f>
        <v>185383.59999999998</v>
      </c>
      <c r="L98" s="25">
        <f t="shared" ref="L98:L100" si="48">SUM(P91:R91)</f>
        <v>223000.92</v>
      </c>
      <c r="M98" s="25">
        <f t="shared" ref="M98:M100" si="49">SUM(S91:U91)</f>
        <v>143741.20000000001</v>
      </c>
      <c r="N98" s="25">
        <f t="shared" ref="N98:N100" si="50">SUM(V91:X91)</f>
        <v>203320.05</v>
      </c>
      <c r="O98" s="25">
        <f t="shared" ref="O98:O100" si="51">SUM(Y91:AA91)</f>
        <v>125112.4</v>
      </c>
    </row>
    <row r="99" spans="9:15" x14ac:dyDescent="0.25">
      <c r="I99" s="25" t="s">
        <v>31</v>
      </c>
      <c r="J99" s="25">
        <f t="shared" si="46"/>
        <v>0</v>
      </c>
      <c r="K99" s="25">
        <f t="shared" si="47"/>
        <v>0</v>
      </c>
      <c r="L99" s="25">
        <f t="shared" si="48"/>
        <v>0</v>
      </c>
      <c r="M99" s="25">
        <f t="shared" si="49"/>
        <v>0</v>
      </c>
      <c r="N99" s="25">
        <f t="shared" si="50"/>
        <v>0</v>
      </c>
      <c r="O99" s="25">
        <f t="shared" si="51"/>
        <v>0</v>
      </c>
    </row>
    <row r="100" spans="9:15" x14ac:dyDescent="0.25">
      <c r="I100" s="25" t="s">
        <v>522</v>
      </c>
      <c r="J100" s="25">
        <f t="shared" si="46"/>
        <v>439775.45999999996</v>
      </c>
      <c r="K100" s="25">
        <f t="shared" si="47"/>
        <v>645092.06000000006</v>
      </c>
      <c r="L100" s="25">
        <f t="shared" si="48"/>
        <v>496778.3</v>
      </c>
      <c r="M100" s="25">
        <f t="shared" si="49"/>
        <v>346669.29000000004</v>
      </c>
      <c r="N100" s="25">
        <f t="shared" si="50"/>
        <v>735293.55</v>
      </c>
      <c r="O100" s="25">
        <f t="shared" si="51"/>
        <v>876570.64</v>
      </c>
    </row>
    <row r="115" spans="15:21" x14ac:dyDescent="0.25">
      <c r="O115" s="25" t="s">
        <v>734</v>
      </c>
      <c r="P115" s="25" t="s">
        <v>735</v>
      </c>
      <c r="Q115" s="25" t="s">
        <v>736</v>
      </c>
      <c r="R115" s="25" t="s">
        <v>737</v>
      </c>
      <c r="S115" s="25" t="s">
        <v>738</v>
      </c>
      <c r="T115" s="25" t="s">
        <v>739</v>
      </c>
      <c r="U115" s="25" t="s">
        <v>740</v>
      </c>
    </row>
    <row r="116" spans="15:21" x14ac:dyDescent="0.25">
      <c r="O116" s="25" t="s">
        <v>741</v>
      </c>
      <c r="P116" s="25">
        <v>4.5599999999999996</v>
      </c>
      <c r="Q116" s="25">
        <v>2.65</v>
      </c>
      <c r="R116" s="25">
        <v>3.84</v>
      </c>
      <c r="S116" s="25">
        <v>3.17</v>
      </c>
      <c r="T116" s="25">
        <v>3.75</v>
      </c>
    </row>
    <row r="117" spans="15:21" x14ac:dyDescent="0.25">
      <c r="O117" s="25" t="s">
        <v>742</v>
      </c>
      <c r="P117" s="25">
        <v>1.1200000000000001</v>
      </c>
      <c r="Q117" s="25">
        <v>1.68</v>
      </c>
      <c r="R117" s="25">
        <v>1.5</v>
      </c>
      <c r="S117" s="25">
        <v>1.05</v>
      </c>
      <c r="T117" s="25">
        <v>1.84</v>
      </c>
      <c r="U117" s="25">
        <v>1.48</v>
      </c>
    </row>
    <row r="119" spans="15:21" x14ac:dyDescent="0.25">
      <c r="O119" s="25" t="s">
        <v>743</v>
      </c>
      <c r="P119" s="25" t="s">
        <v>735</v>
      </c>
      <c r="Q119" s="25" t="s">
        <v>736</v>
      </c>
      <c r="R119" s="25" t="s">
        <v>737</v>
      </c>
      <c r="S119" s="25" t="s">
        <v>738</v>
      </c>
      <c r="T119" s="25" t="s">
        <v>739</v>
      </c>
    </row>
    <row r="120" spans="15:21" x14ac:dyDescent="0.25">
      <c r="O120" s="25" t="s">
        <v>744</v>
      </c>
      <c r="P120" s="25">
        <v>1.52</v>
      </c>
      <c r="Q120" s="25">
        <v>2.0099999999999998</v>
      </c>
      <c r="R120" s="25">
        <v>1.91</v>
      </c>
      <c r="S120" s="25" t="s">
        <v>543</v>
      </c>
      <c r="T120" s="25">
        <v>3.52</v>
      </c>
    </row>
    <row r="121" spans="15:21" x14ac:dyDescent="0.25">
      <c r="O121" s="25" t="s">
        <v>745</v>
      </c>
      <c r="P121" s="25">
        <v>1.28</v>
      </c>
      <c r="Q121" s="25">
        <v>1.69</v>
      </c>
      <c r="R121" s="25" t="s">
        <v>543</v>
      </c>
      <c r="S121" s="25" t="s">
        <v>543</v>
      </c>
      <c r="T121" s="25">
        <v>3.63</v>
      </c>
    </row>
    <row r="122" spans="15:21" x14ac:dyDescent="0.25">
      <c r="O122" s="25" t="s">
        <v>746</v>
      </c>
      <c r="P122" s="25" t="s">
        <v>543</v>
      </c>
      <c r="Q122" s="25">
        <v>1.99</v>
      </c>
      <c r="R122" s="25">
        <v>1.8</v>
      </c>
      <c r="S122" s="25" t="s">
        <v>543</v>
      </c>
      <c r="T122" s="25" t="s">
        <v>543</v>
      </c>
    </row>
    <row r="123" spans="15:21" x14ac:dyDescent="0.25">
      <c r="O123" s="25" t="s">
        <v>747</v>
      </c>
      <c r="P123" s="25" t="s">
        <v>543</v>
      </c>
      <c r="Q123" s="25" t="s">
        <v>543</v>
      </c>
      <c r="R123" s="25" t="s">
        <v>543</v>
      </c>
      <c r="S123" s="25">
        <v>1.3</v>
      </c>
      <c r="T123" s="25">
        <v>3.64</v>
      </c>
    </row>
    <row r="124" spans="15:21" x14ac:dyDescent="0.25">
      <c r="O124" s="25" t="s">
        <v>748</v>
      </c>
      <c r="P124" s="25" t="s">
        <v>543</v>
      </c>
      <c r="Q124" s="25" t="s">
        <v>543</v>
      </c>
      <c r="R124" s="25" t="s">
        <v>543</v>
      </c>
      <c r="S124" s="25">
        <v>1.3</v>
      </c>
      <c r="T124" s="25">
        <v>3.54</v>
      </c>
    </row>
  </sheetData>
  <mergeCells count="1">
    <mergeCell ref="B15:B16"/>
  </mergeCells>
  <phoneticPr fontId="48" type="noConversion"/>
  <conditionalFormatting sqref="R51:AA52">
    <cfRule type="colorScale" priority="15">
      <colorScale>
        <cfvo type="min"/>
        <cfvo type="percentile" val="50"/>
        <cfvo type="max"/>
        <color rgb="FFF8696B"/>
        <color rgb="FFFFEB84"/>
        <color rgb="FF63BE7B"/>
      </colorScale>
    </cfRule>
  </conditionalFormatting>
  <conditionalFormatting sqref="R80:AA81">
    <cfRule type="colorScale" priority="14">
      <colorScale>
        <cfvo type="min"/>
        <cfvo type="percentile" val="50"/>
        <cfvo type="max"/>
        <color rgb="FFF8696B"/>
        <color rgb="FFFFEB84"/>
        <color rgb="FF63BE7B"/>
      </colorScale>
    </cfRule>
  </conditionalFormatting>
  <conditionalFormatting sqref="R51:AD52">
    <cfRule type="colorScale" priority="1">
      <colorScale>
        <cfvo type="min"/>
        <cfvo type="percentile" val="50"/>
        <cfvo type="max"/>
        <color rgb="FFF8696B"/>
        <color rgb="FFFFEB84"/>
        <color rgb="FF63BE7B"/>
      </colorScale>
    </cfRule>
  </conditionalFormatting>
  <conditionalFormatting sqref="R80:AD81">
    <cfRule type="colorScale" priority="2">
      <colorScale>
        <cfvo type="min"/>
        <cfvo type="percentile" val="50"/>
        <cfvo type="max"/>
        <color rgb="FFF8696B"/>
        <color rgb="FFFFEB84"/>
        <color rgb="FF63BE7B"/>
      </colorScale>
    </cfRule>
  </conditionalFormatting>
  <conditionalFormatting sqref="Y22:AA27">
    <cfRule type="colorScale" priority="16">
      <colorScale>
        <cfvo type="min"/>
        <cfvo type="percentile" val="50"/>
        <cfvo type="max"/>
        <color rgb="FFF8696B"/>
        <color rgb="FFFFEB84"/>
        <color rgb="FF63BE7B"/>
      </colorScale>
    </cfRule>
  </conditionalFormatting>
  <conditionalFormatting sqref="Y22:AD27">
    <cfRule type="colorScale" priority="7">
      <colorScale>
        <cfvo type="min"/>
        <cfvo type="percentile" val="50"/>
        <cfvo type="max"/>
        <color rgb="FFF8696B"/>
        <color rgb="FFFFEB84"/>
        <color rgb="FF63BE7B"/>
      </colorScale>
    </cfRule>
  </conditionalFormatting>
  <conditionalFormatting sqref="AB22:AD22">
    <cfRule type="colorScale" priority="13">
      <colorScale>
        <cfvo type="min"/>
        <cfvo type="percentile" val="50"/>
        <cfvo type="max"/>
        <color rgb="FFF8696B"/>
        <color rgb="FFFFEB84"/>
        <color rgb="FF63BE7B"/>
      </colorScale>
    </cfRule>
  </conditionalFormatting>
  <conditionalFormatting sqref="AB23:AD23">
    <cfRule type="colorScale" priority="10">
      <colorScale>
        <cfvo type="min"/>
        <cfvo type="percentile" val="50"/>
        <cfvo type="max"/>
        <color rgb="FFF8696B"/>
        <color rgb="FFFFEB84"/>
        <color rgb="FF63BE7B"/>
      </colorScale>
    </cfRule>
  </conditionalFormatting>
  <conditionalFormatting sqref="AB24:AD24">
    <cfRule type="colorScale" priority="12">
      <colorScale>
        <cfvo type="min"/>
        <cfvo type="percentile" val="50"/>
        <cfvo type="max"/>
        <color rgb="FFF8696B"/>
        <color rgb="FFFFEB84"/>
        <color rgb="FF63BE7B"/>
      </colorScale>
    </cfRule>
  </conditionalFormatting>
  <conditionalFormatting sqref="AB25:AD25">
    <cfRule type="colorScale" priority="9">
      <colorScale>
        <cfvo type="min"/>
        <cfvo type="percentile" val="50"/>
        <cfvo type="max"/>
        <color rgb="FFF8696B"/>
        <color rgb="FFFFEB84"/>
        <color rgb="FF63BE7B"/>
      </colorScale>
    </cfRule>
  </conditionalFormatting>
  <conditionalFormatting sqref="AB26:AD26">
    <cfRule type="colorScale" priority="11">
      <colorScale>
        <cfvo type="min"/>
        <cfvo type="percentile" val="50"/>
        <cfvo type="max"/>
        <color rgb="FFF8696B"/>
        <color rgb="FFFFEB84"/>
        <color rgb="FF63BE7B"/>
      </colorScale>
    </cfRule>
  </conditionalFormatting>
  <conditionalFormatting sqref="AB27:AD27">
    <cfRule type="colorScale" priority="8">
      <colorScale>
        <cfvo type="min"/>
        <cfvo type="percentile" val="50"/>
        <cfvo type="max"/>
        <color rgb="FFF8696B"/>
        <color rgb="FFFFEB84"/>
        <color rgb="FF63BE7B"/>
      </colorScale>
    </cfRule>
  </conditionalFormatting>
  <conditionalFormatting sqref="AD51">
    <cfRule type="colorScale" priority="6">
      <colorScale>
        <cfvo type="min"/>
        <cfvo type="percentile" val="50"/>
        <cfvo type="max"/>
        <color rgb="FFF8696B"/>
        <color rgb="FFFFEB84"/>
        <color rgb="FF63BE7B"/>
      </colorScale>
    </cfRule>
  </conditionalFormatting>
  <conditionalFormatting sqref="AD52">
    <cfRule type="colorScale" priority="5">
      <colorScale>
        <cfvo type="min"/>
        <cfvo type="percentile" val="50"/>
        <cfvo type="max"/>
        <color rgb="FFF8696B"/>
        <color rgb="FFFFEB84"/>
        <color rgb="FF63BE7B"/>
      </colorScale>
    </cfRule>
  </conditionalFormatting>
  <conditionalFormatting sqref="AD80">
    <cfRule type="colorScale" priority="4">
      <colorScale>
        <cfvo type="min"/>
        <cfvo type="percentile" val="50"/>
        <cfvo type="max"/>
        <color rgb="FFF8696B"/>
        <color rgb="FFFFEB84"/>
        <color rgb="FF63BE7B"/>
      </colorScale>
    </cfRule>
  </conditionalFormatting>
  <conditionalFormatting sqref="AD81">
    <cfRule type="colorScale" priority="3">
      <colorScale>
        <cfvo type="min"/>
        <cfvo type="percentile" val="50"/>
        <cfvo type="max"/>
        <color rgb="FFF8696B"/>
        <color rgb="FFFFEB84"/>
        <color rgb="FF63BE7B"/>
      </colorScale>
    </cfRule>
  </conditionalFormatting>
  <pageMargins left="0.7" right="0.7" top="0.75" bottom="0.75" header="0.3" footer="0.3"/>
  <legacyDrawing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5647E-58E3-4A75-B6C8-EC5303D3E753}">
  <dimension ref="A1:Y70"/>
  <sheetViews>
    <sheetView topLeftCell="K33" zoomScale="85" zoomScaleNormal="85" workbookViewId="0">
      <selection activeCell="L49" sqref="L49"/>
    </sheetView>
  </sheetViews>
  <sheetFormatPr defaultColWidth="9.140625" defaultRowHeight="15" x14ac:dyDescent="0.25"/>
  <cols>
    <col min="1" max="1" width="46.42578125" style="25" customWidth="1"/>
    <col min="2" max="2" width="11.5703125" style="25" customWidth="1"/>
    <col min="3" max="3" width="17.85546875" style="25" customWidth="1"/>
    <col min="4" max="4" width="9.140625" style="25" customWidth="1"/>
    <col min="5" max="5" width="11" style="25" customWidth="1"/>
    <col min="6" max="6" width="14.5703125" style="25" customWidth="1"/>
    <col min="7" max="7" width="14.42578125" style="25" bestFit="1" customWidth="1"/>
    <col min="8" max="8" width="15.42578125" style="25" bestFit="1" customWidth="1"/>
    <col min="9" max="9" width="15.5703125" style="25" bestFit="1" customWidth="1"/>
    <col min="10" max="11" width="15.42578125" style="25" bestFit="1" customWidth="1"/>
    <col min="12" max="12" width="16.5703125" style="25" bestFit="1" customWidth="1"/>
    <col min="13" max="14" width="15.42578125" style="25" bestFit="1" customWidth="1"/>
    <col min="15" max="15" width="16.5703125" style="25" bestFit="1" customWidth="1"/>
    <col min="16" max="17" width="14.42578125" style="25" bestFit="1" customWidth="1"/>
    <col min="18" max="20" width="15.42578125" style="25" bestFit="1" customWidth="1"/>
    <col min="21" max="21" width="19" style="25" bestFit="1" customWidth="1"/>
    <col min="22" max="23" width="14.5703125" style="25" bestFit="1" customWidth="1"/>
    <col min="24" max="24" width="16.5703125" style="25" bestFit="1" customWidth="1"/>
    <col min="25" max="16384" width="9.140625" style="25"/>
  </cols>
  <sheetData>
    <row r="1" spans="1:24" x14ac:dyDescent="0.25">
      <c r="A1" s="35" t="s">
        <v>35</v>
      </c>
      <c r="B1" s="35" t="s">
        <v>111</v>
      </c>
      <c r="C1" s="35" t="s">
        <v>338</v>
      </c>
      <c r="D1" s="35" t="s">
        <v>454</v>
      </c>
      <c r="E1" s="37" t="s">
        <v>551</v>
      </c>
      <c r="F1" s="37" t="s">
        <v>552</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35" t="s">
        <v>266</v>
      </c>
      <c r="B2" s="35">
        <v>31.5</v>
      </c>
      <c r="C2" s="35" t="s">
        <v>445</v>
      </c>
      <c r="D2" s="35">
        <v>1472</v>
      </c>
      <c r="E2" s="37" t="s">
        <v>524</v>
      </c>
      <c r="F2" s="37" t="s">
        <v>543</v>
      </c>
      <c r="G2" s="35">
        <v>5705.45</v>
      </c>
      <c r="H2" s="25">
        <v>8807.42</v>
      </c>
      <c r="I2" s="25">
        <v>6054.2</v>
      </c>
      <c r="J2" s="25">
        <v>4631.05</v>
      </c>
      <c r="K2" s="25">
        <v>5804.1</v>
      </c>
      <c r="L2" s="25">
        <v>8319.91</v>
      </c>
      <c r="M2" s="25">
        <v>6363.23</v>
      </c>
      <c r="N2" s="25">
        <v>6846.55</v>
      </c>
      <c r="O2" s="25">
        <v>7495.33</v>
      </c>
      <c r="P2" s="25">
        <v>5972.86</v>
      </c>
      <c r="Q2" s="25">
        <v>5740.19</v>
      </c>
      <c r="R2" s="25">
        <v>7170.5</v>
      </c>
      <c r="S2" s="25">
        <v>10865.41</v>
      </c>
      <c r="T2" s="25">
        <v>7862.46</v>
      </c>
      <c r="U2" s="25">
        <v>6292.45</v>
      </c>
      <c r="V2" s="245">
        <v>5346.58</v>
      </c>
      <c r="W2" s="25">
        <v>5060.95</v>
      </c>
      <c r="X2" s="25">
        <v>4572.57</v>
      </c>
    </row>
    <row r="3" spans="1:24" x14ac:dyDescent="0.25">
      <c r="A3" s="35" t="s">
        <v>267</v>
      </c>
      <c r="B3" s="35">
        <v>20</v>
      </c>
      <c r="C3" s="35" t="s">
        <v>371</v>
      </c>
      <c r="D3" s="35">
        <v>2031</v>
      </c>
      <c r="E3" s="311" t="s">
        <v>524</v>
      </c>
      <c r="F3" s="311" t="s">
        <v>543</v>
      </c>
      <c r="G3" s="35">
        <v>3309.63</v>
      </c>
      <c r="H3" s="25">
        <v>5033.8100000000004</v>
      </c>
      <c r="I3" s="25">
        <v>4302.74</v>
      </c>
      <c r="J3" s="25">
        <v>2336.6</v>
      </c>
      <c r="K3" s="25">
        <v>3757.85</v>
      </c>
      <c r="L3" s="25">
        <v>3636.97</v>
      </c>
      <c r="M3" s="25">
        <v>2300.12</v>
      </c>
      <c r="N3" s="25">
        <v>2424.35</v>
      </c>
      <c r="O3" s="25">
        <v>2625.26</v>
      </c>
      <c r="P3" s="25">
        <v>3532.86</v>
      </c>
      <c r="Q3" s="25">
        <v>3743.65</v>
      </c>
      <c r="R3" s="25">
        <v>3449.98</v>
      </c>
      <c r="S3" s="25">
        <v>7008.52</v>
      </c>
      <c r="T3" s="25">
        <v>4554.47</v>
      </c>
      <c r="U3" s="25">
        <v>2482.59</v>
      </c>
      <c r="V3" s="245">
        <v>2497.91</v>
      </c>
      <c r="W3" s="25">
        <v>2736.83</v>
      </c>
      <c r="X3" s="25">
        <v>1740.68</v>
      </c>
    </row>
    <row r="4" spans="1:24" x14ac:dyDescent="0.25">
      <c r="A4" s="35" t="s">
        <v>184</v>
      </c>
      <c r="B4" s="35">
        <v>30.75</v>
      </c>
      <c r="C4" s="35" t="s">
        <v>444</v>
      </c>
      <c r="D4" s="35">
        <v>1578</v>
      </c>
      <c r="E4" s="37" t="s">
        <v>524</v>
      </c>
      <c r="F4" s="37" t="s">
        <v>543</v>
      </c>
      <c r="G4" s="35">
        <v>4337.3100000000004</v>
      </c>
      <c r="H4" s="25">
        <v>8580</v>
      </c>
      <c r="I4" s="25">
        <v>7922.6</v>
      </c>
      <c r="J4" s="25">
        <v>3665.03</v>
      </c>
      <c r="K4" s="25">
        <v>6084.82</v>
      </c>
      <c r="L4" s="25">
        <v>7307.57</v>
      </c>
      <c r="M4" s="25">
        <v>3537.1</v>
      </c>
      <c r="N4" s="25">
        <v>5883.38</v>
      </c>
      <c r="O4" s="25">
        <v>5943.62</v>
      </c>
      <c r="P4" s="25">
        <v>4622.08</v>
      </c>
      <c r="Q4" s="25">
        <v>5781.28</v>
      </c>
      <c r="R4" s="25">
        <v>3922.32</v>
      </c>
      <c r="S4" s="25">
        <v>8080.87</v>
      </c>
      <c r="T4" s="25">
        <v>6383.79</v>
      </c>
      <c r="U4" s="25">
        <v>4810.37</v>
      </c>
      <c r="V4" s="245">
        <v>3078.71</v>
      </c>
      <c r="W4" s="25">
        <v>3434.57</v>
      </c>
      <c r="X4" s="25">
        <v>4511.1000000000004</v>
      </c>
    </row>
    <row r="5" spans="1:24" x14ac:dyDescent="0.25">
      <c r="A5" s="35" t="s">
        <v>268</v>
      </c>
      <c r="B5" s="35">
        <v>24</v>
      </c>
      <c r="C5" s="35" t="s">
        <v>373</v>
      </c>
      <c r="D5" s="35">
        <v>1759</v>
      </c>
      <c r="E5" s="37" t="s">
        <v>524</v>
      </c>
      <c r="F5" s="37" t="s">
        <v>543</v>
      </c>
      <c r="G5" s="35">
        <v>3391.73</v>
      </c>
      <c r="H5" s="25">
        <v>6180.73</v>
      </c>
      <c r="I5" s="25">
        <v>5028.25</v>
      </c>
      <c r="J5" s="25">
        <v>3288.55</v>
      </c>
      <c r="K5" s="25">
        <v>3472.5</v>
      </c>
      <c r="L5" s="25">
        <v>7925.97</v>
      </c>
      <c r="M5" s="25">
        <v>4625.3500000000004</v>
      </c>
      <c r="N5" s="25">
        <v>6157.73</v>
      </c>
      <c r="O5" s="25">
        <v>6264.45</v>
      </c>
      <c r="P5" s="25">
        <v>3425.7</v>
      </c>
      <c r="Q5" s="25">
        <v>4242.09</v>
      </c>
      <c r="R5" s="25">
        <v>4071.91</v>
      </c>
      <c r="S5" s="25">
        <v>8351.1</v>
      </c>
      <c r="T5" s="25">
        <v>5561.11</v>
      </c>
      <c r="U5" s="25">
        <v>5299.05</v>
      </c>
      <c r="V5" s="245">
        <v>3456.34</v>
      </c>
      <c r="W5" s="25">
        <v>2419.12</v>
      </c>
      <c r="X5" s="25">
        <v>3809.03</v>
      </c>
    </row>
    <row r="6" spans="1:24" x14ac:dyDescent="0.25">
      <c r="A6" s="35" t="s">
        <v>269</v>
      </c>
      <c r="B6" s="35">
        <v>68.86</v>
      </c>
      <c r="C6" s="35" t="s">
        <v>372</v>
      </c>
      <c r="D6" s="35">
        <v>1286</v>
      </c>
      <c r="E6" s="37" t="s">
        <v>524</v>
      </c>
      <c r="F6" s="37" t="s">
        <v>543</v>
      </c>
      <c r="G6" s="35">
        <v>1064.74</v>
      </c>
      <c r="H6" s="25">
        <v>1126.08</v>
      </c>
      <c r="I6" s="25">
        <v>19878.3</v>
      </c>
      <c r="J6" s="25">
        <v>33906.25</v>
      </c>
      <c r="K6" s="25">
        <v>43735.85</v>
      </c>
      <c r="L6" s="25">
        <v>20077.2</v>
      </c>
      <c r="M6" s="25">
        <v>4972.41</v>
      </c>
      <c r="N6" s="25">
        <v>1423.15</v>
      </c>
      <c r="O6" s="25">
        <v>438.26</v>
      </c>
      <c r="P6" s="25">
        <v>13.29</v>
      </c>
      <c r="Q6" s="25">
        <v>0</v>
      </c>
      <c r="R6" s="25">
        <v>1556.86</v>
      </c>
      <c r="S6" s="25">
        <v>2691.62</v>
      </c>
      <c r="T6" s="25">
        <v>8664.56</v>
      </c>
      <c r="U6" s="25">
        <v>9400.5400000000009</v>
      </c>
      <c r="V6" s="245">
        <v>19610.59</v>
      </c>
      <c r="W6" s="25">
        <v>23070.74</v>
      </c>
      <c r="X6" s="25">
        <v>33279.75</v>
      </c>
    </row>
    <row r="7" spans="1:24" x14ac:dyDescent="0.25">
      <c r="A7" s="35" t="s">
        <v>270</v>
      </c>
      <c r="B7" s="35">
        <v>27.6</v>
      </c>
      <c r="C7" s="35" t="s">
        <v>374</v>
      </c>
      <c r="D7" s="35">
        <v>2640</v>
      </c>
      <c r="E7" s="35">
        <v>73</v>
      </c>
      <c r="F7" s="35">
        <v>2030</v>
      </c>
      <c r="G7" s="35">
        <v>5609.09</v>
      </c>
      <c r="H7" s="25">
        <v>8474.6200000000008</v>
      </c>
      <c r="I7" s="25">
        <v>7784.3</v>
      </c>
      <c r="J7" s="25">
        <v>7938.43</v>
      </c>
      <c r="K7" s="25">
        <v>7474.11</v>
      </c>
      <c r="L7" s="25">
        <v>12194.65</v>
      </c>
      <c r="M7" s="25">
        <v>10870.89</v>
      </c>
      <c r="N7" s="25">
        <v>13690.85</v>
      </c>
      <c r="O7" s="25">
        <v>11527.65</v>
      </c>
      <c r="P7" s="25">
        <v>4690.99</v>
      </c>
      <c r="Q7" s="25">
        <v>4665.17</v>
      </c>
      <c r="R7" s="25">
        <v>4553.17</v>
      </c>
      <c r="S7" s="25">
        <v>10557.08</v>
      </c>
      <c r="T7" s="25">
        <v>7825.11</v>
      </c>
      <c r="U7" s="25">
        <v>9875.18</v>
      </c>
      <c r="V7" s="245">
        <v>7502.57</v>
      </c>
      <c r="W7" s="25">
        <v>7042.46</v>
      </c>
      <c r="X7" s="25">
        <v>11285.26</v>
      </c>
    </row>
    <row r="8" spans="1:24" x14ac:dyDescent="0.25">
      <c r="A8" s="35" t="s">
        <v>37</v>
      </c>
      <c r="B8" s="35">
        <f>SUM(B2:B7)</f>
        <v>202.71</v>
      </c>
      <c r="C8" s="35"/>
      <c r="D8" s="35"/>
      <c r="E8" s="35"/>
      <c r="F8" s="35"/>
      <c r="G8" s="35">
        <v>23417.95</v>
      </c>
      <c r="H8" s="25">
        <v>38202.660000000003</v>
      </c>
      <c r="I8" s="25">
        <v>50970.39</v>
      </c>
      <c r="J8" s="25">
        <v>55765.91</v>
      </c>
      <c r="K8" s="25">
        <v>70329.23</v>
      </c>
      <c r="L8" s="25">
        <v>59462.27</v>
      </c>
      <c r="M8" s="25">
        <v>32669.1</v>
      </c>
      <c r="N8" s="25">
        <v>36426.01</v>
      </c>
      <c r="O8" s="25">
        <v>34294.57</v>
      </c>
      <c r="P8" s="25">
        <v>22257.78</v>
      </c>
      <c r="Q8" s="25">
        <v>24172.38</v>
      </c>
      <c r="R8" s="25">
        <v>24724.74</v>
      </c>
      <c r="S8" s="25">
        <v>47554.6</v>
      </c>
      <c r="T8" s="25">
        <v>40851.5</v>
      </c>
      <c r="U8" s="25">
        <v>38160.18</v>
      </c>
      <c r="V8" s="245">
        <v>41492.699999999997</v>
      </c>
      <c r="W8" s="25">
        <v>43764.67</v>
      </c>
      <c r="X8" s="25">
        <v>59198.39</v>
      </c>
    </row>
    <row r="9" spans="1:24" x14ac:dyDescent="0.25">
      <c r="A9" s="35"/>
      <c r="B9" s="35"/>
      <c r="C9" s="35"/>
      <c r="D9" s="35"/>
      <c r="E9" s="35"/>
      <c r="F9" s="35"/>
      <c r="G9" s="35"/>
      <c r="X9" s="39"/>
    </row>
    <row r="10" spans="1:24" x14ac:dyDescent="0.25">
      <c r="A10" s="35" t="s">
        <v>238</v>
      </c>
      <c r="B10" s="35"/>
      <c r="C10" s="35"/>
      <c r="D10" s="35"/>
      <c r="E10" s="35"/>
      <c r="F10" s="35"/>
      <c r="G10" s="35"/>
      <c r="X10" s="39"/>
    </row>
    <row r="11" spans="1:24" x14ac:dyDescent="0.25">
      <c r="A11" s="35" t="s">
        <v>274</v>
      </c>
      <c r="B11" s="35">
        <v>34</v>
      </c>
      <c r="C11" s="35"/>
      <c r="D11" s="35"/>
      <c r="E11" s="35"/>
      <c r="F11" s="35"/>
      <c r="G11" s="35"/>
      <c r="X11" s="39"/>
    </row>
    <row r="12" spans="1:24" x14ac:dyDescent="0.25">
      <c r="A12" s="35" t="s">
        <v>275</v>
      </c>
      <c r="B12" s="35">
        <v>74.599999999999994</v>
      </c>
      <c r="C12" s="35"/>
      <c r="D12" s="35"/>
      <c r="E12" s="35"/>
      <c r="F12" s="35"/>
      <c r="G12" s="35"/>
      <c r="X12" s="39"/>
    </row>
    <row r="13" spans="1:24" x14ac:dyDescent="0.25">
      <c r="A13" s="35" t="s">
        <v>276</v>
      </c>
      <c r="B13" s="35">
        <v>1.1100000000000001</v>
      </c>
      <c r="C13" s="35"/>
      <c r="D13" s="35"/>
      <c r="E13" s="35"/>
      <c r="F13" s="35"/>
      <c r="G13" s="35"/>
      <c r="X13" s="39"/>
    </row>
    <row r="14" spans="1:24" x14ac:dyDescent="0.25">
      <c r="X14" s="39"/>
    </row>
    <row r="15" spans="1:24" x14ac:dyDescent="0.25">
      <c r="A15" s="34" t="s">
        <v>532</v>
      </c>
      <c r="S15" s="40">
        <f>(S6/G6)-1</f>
        <v>1.5279598775287861</v>
      </c>
      <c r="T15" s="40">
        <f>(T6/H6)-1</f>
        <v>6.6944444444444446</v>
      </c>
      <c r="U15" s="40">
        <f>(U6/I6)-1</f>
        <v>-0.52709537535905981</v>
      </c>
      <c r="V15" s="40">
        <f>(V6/J6)-1</f>
        <v>-0.42162315207373269</v>
      </c>
      <c r="W15" s="40">
        <f t="shared" ref="W15:X15" si="0">(W6/K6)-1</f>
        <v>-0.47249819084343847</v>
      </c>
      <c r="X15" s="40">
        <f t="shared" si="0"/>
        <v>0.65758920566612877</v>
      </c>
    </row>
    <row r="16" spans="1:24" x14ac:dyDescent="0.25">
      <c r="A16" s="34" t="s">
        <v>526</v>
      </c>
      <c r="S16" s="40"/>
      <c r="T16" s="40">
        <f>(SUM(S6:T6)/SUM(G6:H6))-1</f>
        <v>4.1835294547247157</v>
      </c>
      <c r="U16" s="40">
        <f>(SUM(S6:U6)/SUM(G6:I6))-1</f>
        <v>-5.9467708726038793E-2</v>
      </c>
      <c r="V16" s="40">
        <f>(SUM(S6:V6)/SUM(G6:J6))-1</f>
        <v>-0.27883799606862802</v>
      </c>
      <c r="W16" s="40">
        <f>(SUM(S6:W6)/SUM(G6:K6))-1</f>
        <v>-0.36378223032473178</v>
      </c>
      <c r="X16" s="40">
        <f>(SUM(S6:X6)/SUM(G6:L6))-1</f>
        <v>-0.19259474329822523</v>
      </c>
    </row>
    <row r="17" spans="1:24" x14ac:dyDescent="0.25">
      <c r="A17" s="34" t="s">
        <v>531</v>
      </c>
      <c r="S17" s="40">
        <f>(SUM(S2:S5,S7)/SUM(G2:G5,G7))-1</f>
        <v>1.0070039157686974</v>
      </c>
      <c r="T17" s="40">
        <f>(SUM(T2:T5,T7)/SUM(H2:H5,H7))-1</f>
        <v>-0.13187947755699148</v>
      </c>
      <c r="U17" s="40">
        <f>(SUM(U2:U5,U7)/SUM(I2:I5,I7))-1</f>
        <v>-7.5017472289575893E-2</v>
      </c>
      <c r="V17" s="40">
        <f>(SUM(V2:V5,V7)/SUM(J2:J5,J7))-1</f>
        <v>1.0270059095156547E-3</v>
      </c>
      <c r="W17" s="40">
        <f t="shared" ref="W17:X17" si="1">(SUM(W2:W5,W7)/SUM(K2:K5,K7))-1</f>
        <v>-0.22183904415309375</v>
      </c>
      <c r="X17" s="40">
        <f t="shared" si="1"/>
        <v>-0.34191712748003245</v>
      </c>
    </row>
    <row r="18" spans="1:24" x14ac:dyDescent="0.25">
      <c r="A18" s="34" t="s">
        <v>533</v>
      </c>
      <c r="S18" s="40"/>
      <c r="T18" s="40">
        <f>(SUM(S2:T5,S7:T7)/SUM(G2:H5,G7:H7))-1</f>
        <v>0.296486492716868</v>
      </c>
      <c r="U18" s="40">
        <f>(SUM(S2:U5,S7:U7)/SUM(G2:I5,G7:I7))-1</f>
        <v>0.16888381019042042</v>
      </c>
      <c r="V18" s="40">
        <f>(SUM(S2:V5,S7:V7)/SUM(G2:J5,G7:J7))-1</f>
        <v>0.13623349528757167</v>
      </c>
      <c r="W18" s="40">
        <f>(SUM(S2:W5,S7:W7)/SUM(G2:K5,G7:K7))-1</f>
        <v>6.7714951733737649E-2</v>
      </c>
      <c r="X18" s="40">
        <f>(SUM(S2:X5,S7:X7)/SUM(G2:L5,G7:L7))-1</f>
        <v>-2.2739124396676358E-2</v>
      </c>
    </row>
    <row r="19" spans="1:24" ht="30" x14ac:dyDescent="0.25">
      <c r="A19" s="34" t="s">
        <v>529</v>
      </c>
      <c r="S19" s="40">
        <f>(S8/G8)-1</f>
        <v>1.0306901329962699</v>
      </c>
      <c r="T19" s="40">
        <f>(T8/H8)-1</f>
        <v>6.933653311052157E-2</v>
      </c>
      <c r="U19" s="40">
        <f>(U8/I8)-1</f>
        <v>-0.25132650544757451</v>
      </c>
      <c r="V19" s="40">
        <f>(V8/J8)-1</f>
        <v>-0.25594866110855186</v>
      </c>
      <c r="W19" s="40">
        <f t="shared" ref="W19:X19" si="2">(W8/K8)-1</f>
        <v>-0.37771720236379669</v>
      </c>
      <c r="X19" s="40">
        <f t="shared" si="2"/>
        <v>-4.4377720527655207E-3</v>
      </c>
    </row>
    <row r="20" spans="1:24" x14ac:dyDescent="0.25">
      <c r="A20" s="34" t="s">
        <v>530</v>
      </c>
      <c r="S20" s="40"/>
      <c r="T20" s="40">
        <f>(SUM(S8:T8)/SUM(G8:H8))-1</f>
        <v>0.43468394746497974</v>
      </c>
      <c r="U20" s="40">
        <f>(SUM(S8:U8)/SUM(G8:I8))-1</f>
        <v>0.12412430833725607</v>
      </c>
      <c r="V20" s="40">
        <f>(SUM(S8:V8)/SUM(G8:J8))-1</f>
        <v>-1.7696333343254489E-3</v>
      </c>
      <c r="W20" s="40">
        <f>(SUM(S8:W8)/SUM(G8:K8))-1</f>
        <v>-0.11254314976144009</v>
      </c>
      <c r="X20" s="40">
        <f>(SUM(S8:X8)/SUM(G8:L8))-1</f>
        <v>-9.098277599400928E-2</v>
      </c>
    </row>
    <row r="22" spans="1:24" x14ac:dyDescent="0.25">
      <c r="A22" s="34" t="s">
        <v>667</v>
      </c>
      <c r="B22" s="25" t="s">
        <v>683</v>
      </c>
      <c r="C22" s="25" t="s">
        <v>684</v>
      </c>
      <c r="D22" s="25" t="s">
        <v>685</v>
      </c>
      <c r="E22" s="25" t="s">
        <v>686</v>
      </c>
      <c r="F22" s="25" t="s">
        <v>687</v>
      </c>
      <c r="G22" s="25" t="s">
        <v>484</v>
      </c>
      <c r="H22" s="25" t="s">
        <v>485</v>
      </c>
      <c r="I22" s="25" t="s">
        <v>486</v>
      </c>
      <c r="J22" s="25" t="s">
        <v>487</v>
      </c>
      <c r="K22" s="25" t="s">
        <v>488</v>
      </c>
      <c r="L22" s="25" t="s">
        <v>489</v>
      </c>
      <c r="M22" s="25" t="s">
        <v>490</v>
      </c>
      <c r="N22" s="25" t="s">
        <v>491</v>
      </c>
      <c r="O22" s="25" t="s">
        <v>492</v>
      </c>
      <c r="P22" s="25" t="s">
        <v>493</v>
      </c>
      <c r="Q22" s="25" t="s">
        <v>494</v>
      </c>
      <c r="R22" s="25" t="s">
        <v>495</v>
      </c>
      <c r="S22" s="25" t="s">
        <v>496</v>
      </c>
      <c r="T22" s="25" t="s">
        <v>497</v>
      </c>
      <c r="U22" s="25" t="s">
        <v>574</v>
      </c>
      <c r="V22" s="25" t="s">
        <v>731</v>
      </c>
      <c r="W22" s="25" t="s">
        <v>732</v>
      </c>
      <c r="X22" s="25" t="s">
        <v>733</v>
      </c>
    </row>
    <row r="23" spans="1:24" x14ac:dyDescent="0.25">
      <c r="A23" s="35" t="s">
        <v>266</v>
      </c>
      <c r="G23" s="107">
        <f t="shared" ref="G23:X23" si="3">G38*G2</f>
        <v>408738.43799999997</v>
      </c>
      <c r="H23" s="107">
        <f t="shared" si="3"/>
        <v>612379.91260000004</v>
      </c>
      <c r="I23" s="107">
        <f t="shared" si="3"/>
        <v>361798.99199999997</v>
      </c>
      <c r="J23" s="107">
        <f t="shared" si="3"/>
        <v>303519.01700000005</v>
      </c>
      <c r="K23" s="107">
        <f t="shared" si="3"/>
        <v>371636.52300000004</v>
      </c>
      <c r="L23" s="107">
        <f t="shared" si="3"/>
        <v>473818.87450000003</v>
      </c>
      <c r="M23" s="107">
        <f t="shared" si="3"/>
        <v>473169.78279999999</v>
      </c>
      <c r="N23" s="107">
        <f t="shared" si="3"/>
        <v>496580.27150000003</v>
      </c>
      <c r="O23" s="107">
        <f t="shared" si="3"/>
        <v>503161.50289999996</v>
      </c>
      <c r="P23" s="107">
        <f t="shared" si="3"/>
        <v>395881.16080000001</v>
      </c>
      <c r="Q23" s="107">
        <f t="shared" si="3"/>
        <v>383387.29009999998</v>
      </c>
      <c r="R23" s="107">
        <f t="shared" si="3"/>
        <v>506237.29999999993</v>
      </c>
      <c r="S23" s="107">
        <f t="shared" si="3"/>
        <v>738847.88</v>
      </c>
      <c r="T23" s="107">
        <f t="shared" si="3"/>
        <v>386754.40739999997</v>
      </c>
      <c r="U23" s="107">
        <f t="shared" si="3"/>
        <v>246852.81349999996</v>
      </c>
      <c r="V23" s="107">
        <f t="shared" si="3"/>
        <v>128104.05680000001</v>
      </c>
      <c r="W23" s="107">
        <f t="shared" si="3"/>
        <v>88920.891499999998</v>
      </c>
      <c r="X23" s="107">
        <f t="shared" si="3"/>
        <v>132970.33559999999</v>
      </c>
    </row>
    <row r="24" spans="1:24" x14ac:dyDescent="0.25">
      <c r="A24" s="35" t="s">
        <v>267</v>
      </c>
      <c r="G24" s="107">
        <f>G38*G3</f>
        <v>237101.89320000002</v>
      </c>
      <c r="H24" s="107">
        <f t="shared" ref="H24:X24" si="4">H38*H3</f>
        <v>350000.80930000002</v>
      </c>
      <c r="I24" s="107">
        <f t="shared" si="4"/>
        <v>257131.74239999999</v>
      </c>
      <c r="J24" s="107">
        <f t="shared" si="4"/>
        <v>153140.764</v>
      </c>
      <c r="K24" s="107">
        <f t="shared" si="4"/>
        <v>240615.1355</v>
      </c>
      <c r="L24" s="107">
        <f t="shared" si="4"/>
        <v>207125.44149999999</v>
      </c>
      <c r="M24" s="107">
        <f t="shared" si="4"/>
        <v>171036.92319999999</v>
      </c>
      <c r="N24" s="107">
        <f t="shared" si="4"/>
        <v>175838.10550000001</v>
      </c>
      <c r="O24" s="107">
        <f t="shared" si="4"/>
        <v>176233.70379999999</v>
      </c>
      <c r="P24" s="107">
        <f t="shared" si="4"/>
        <v>234157.9608</v>
      </c>
      <c r="Q24" s="107">
        <f t="shared" si="4"/>
        <v>250038.38350000003</v>
      </c>
      <c r="R24" s="107">
        <f t="shared" si="4"/>
        <v>243568.58799999999</v>
      </c>
      <c r="S24" s="107">
        <f t="shared" si="4"/>
        <v>476579.36000000004</v>
      </c>
      <c r="T24" s="107">
        <f t="shared" si="4"/>
        <v>224034.3793</v>
      </c>
      <c r="U24" s="107">
        <f t="shared" si="4"/>
        <v>97392.005699999994</v>
      </c>
      <c r="V24" s="107">
        <f t="shared" si="4"/>
        <v>59849.923600000002</v>
      </c>
      <c r="W24" s="107">
        <f t="shared" si="4"/>
        <v>48086.1031</v>
      </c>
      <c r="X24" s="107">
        <f t="shared" si="4"/>
        <v>50618.974399999999</v>
      </c>
    </row>
    <row r="25" spans="1:24" x14ac:dyDescent="0.25">
      <c r="A25" s="35" t="s">
        <v>184</v>
      </c>
      <c r="G25" s="107">
        <f t="shared" ref="G25:X25" si="5">G38*G4</f>
        <v>310724.88840000005</v>
      </c>
      <c r="H25" s="107">
        <f t="shared" si="5"/>
        <v>596567.4</v>
      </c>
      <c r="I25" s="107">
        <f t="shared" si="5"/>
        <v>473454.576</v>
      </c>
      <c r="J25" s="107">
        <f t="shared" si="5"/>
        <v>240206.06620000003</v>
      </c>
      <c r="K25" s="107">
        <f t="shared" si="5"/>
        <v>389611.0246</v>
      </c>
      <c r="L25" s="107">
        <f t="shared" si="5"/>
        <v>416166.1115</v>
      </c>
      <c r="M25" s="107">
        <f t="shared" si="5"/>
        <v>263018.75599999999</v>
      </c>
      <c r="N25" s="107">
        <f t="shared" si="5"/>
        <v>426721.5514</v>
      </c>
      <c r="O25" s="107">
        <f t="shared" si="5"/>
        <v>398995.21059999999</v>
      </c>
      <c r="P25" s="107">
        <f t="shared" si="5"/>
        <v>306351.46240000002</v>
      </c>
      <c r="Q25" s="107">
        <f t="shared" si="5"/>
        <v>386131.6912</v>
      </c>
      <c r="R25" s="107">
        <f t="shared" si="5"/>
        <v>276915.79200000002</v>
      </c>
      <c r="S25" s="107">
        <f t="shared" si="5"/>
        <v>549499.16</v>
      </c>
      <c r="T25" s="107">
        <f t="shared" si="5"/>
        <v>314018.63010000001</v>
      </c>
      <c r="U25" s="107">
        <f t="shared" si="5"/>
        <v>188710.81509999998</v>
      </c>
      <c r="V25" s="107">
        <f t="shared" si="5"/>
        <v>73765.891600000003</v>
      </c>
      <c r="W25" s="107">
        <f t="shared" si="5"/>
        <v>60345.394900000007</v>
      </c>
      <c r="X25" s="107">
        <f t="shared" si="5"/>
        <v>131182.788</v>
      </c>
    </row>
    <row r="26" spans="1:24" x14ac:dyDescent="0.25">
      <c r="A26" s="35" t="s">
        <v>268</v>
      </c>
      <c r="G26" s="107">
        <f t="shared" ref="G26:X26" si="6">G38*G5</f>
        <v>242983.53719999999</v>
      </c>
      <c r="H26" s="107">
        <f t="shared" si="6"/>
        <v>429746.1569</v>
      </c>
      <c r="I26" s="107">
        <f t="shared" si="6"/>
        <v>300488.21999999997</v>
      </c>
      <c r="J26" s="107">
        <f t="shared" si="6"/>
        <v>215531.56700000004</v>
      </c>
      <c r="K26" s="107">
        <f t="shared" si="6"/>
        <v>222344.17500000002</v>
      </c>
      <c r="L26" s="107">
        <f t="shared" si="6"/>
        <v>451383.99150000006</v>
      </c>
      <c r="M26" s="107">
        <f t="shared" si="6"/>
        <v>343941.02600000001</v>
      </c>
      <c r="N26" s="107">
        <f t="shared" si="6"/>
        <v>446620.1569</v>
      </c>
      <c r="O26" s="107">
        <f t="shared" si="6"/>
        <v>420532.52849999996</v>
      </c>
      <c r="P26" s="107">
        <f t="shared" si="6"/>
        <v>227055.39599999998</v>
      </c>
      <c r="Q26" s="107">
        <f t="shared" si="6"/>
        <v>283329.19110000005</v>
      </c>
      <c r="R26" s="107">
        <f t="shared" si="6"/>
        <v>287476.84599999996</v>
      </c>
      <c r="S26" s="107">
        <f t="shared" si="6"/>
        <v>567874.80000000005</v>
      </c>
      <c r="T26" s="107">
        <f t="shared" si="6"/>
        <v>273551.00089999998</v>
      </c>
      <c r="U26" s="107">
        <f t="shared" si="6"/>
        <v>207881.73149999999</v>
      </c>
      <c r="V26" s="107">
        <f t="shared" si="6"/>
        <v>82813.906400000007</v>
      </c>
      <c r="W26" s="107">
        <f t="shared" si="6"/>
        <v>42503.938399999999</v>
      </c>
      <c r="X26" s="107">
        <f t="shared" si="6"/>
        <v>110766.59239999999</v>
      </c>
    </row>
    <row r="27" spans="1:24" x14ac:dyDescent="0.25">
      <c r="A27" s="35" t="s">
        <v>269</v>
      </c>
      <c r="G27" s="107">
        <f t="shared" ref="G27:X27" si="7">G38*G6</f>
        <v>76277.973599999998</v>
      </c>
      <c r="H27" s="107">
        <f t="shared" si="7"/>
        <v>78296.342399999994</v>
      </c>
      <c r="I27" s="107">
        <f t="shared" si="7"/>
        <v>1187927.2079999999</v>
      </c>
      <c r="J27" s="107">
        <f t="shared" si="7"/>
        <v>2222215.625</v>
      </c>
      <c r="K27" s="107">
        <f t="shared" si="7"/>
        <v>2800406.4755000002</v>
      </c>
      <c r="L27" s="107">
        <f t="shared" si="7"/>
        <v>1143396.54</v>
      </c>
      <c r="M27" s="107">
        <f t="shared" si="7"/>
        <v>369748.40759999998</v>
      </c>
      <c r="N27" s="107">
        <f t="shared" si="7"/>
        <v>103221.06950000001</v>
      </c>
      <c r="O27" s="107">
        <f t="shared" si="7"/>
        <v>29420.393799999998</v>
      </c>
      <c r="P27" s="107">
        <f t="shared" si="7"/>
        <v>880.86119999999994</v>
      </c>
      <c r="Q27" s="107">
        <f t="shared" si="7"/>
        <v>0</v>
      </c>
      <c r="R27" s="107">
        <f t="shared" si="7"/>
        <v>109914.31599999998</v>
      </c>
      <c r="S27" s="107">
        <f t="shared" si="7"/>
        <v>183030.16</v>
      </c>
      <c r="T27" s="107">
        <f t="shared" si="7"/>
        <v>426209.70639999997</v>
      </c>
      <c r="U27" s="107">
        <f t="shared" si="7"/>
        <v>368783.18420000002</v>
      </c>
      <c r="V27" s="107">
        <f t="shared" si="7"/>
        <v>469869.73639999999</v>
      </c>
      <c r="W27" s="107">
        <f t="shared" si="7"/>
        <v>405352.90180000005</v>
      </c>
      <c r="X27" s="107">
        <f t="shared" si="7"/>
        <v>967775.12999999989</v>
      </c>
    </row>
    <row r="28" spans="1:24" x14ac:dyDescent="0.25">
      <c r="A28" s="35" t="s">
        <v>270</v>
      </c>
      <c r="G28" s="107">
        <f t="shared" ref="G28:X28" si="8">$E$7*G7</f>
        <v>409463.57</v>
      </c>
      <c r="H28" s="107">
        <f t="shared" si="8"/>
        <v>618647.26</v>
      </c>
      <c r="I28" s="107">
        <f t="shared" si="8"/>
        <v>568253.9</v>
      </c>
      <c r="J28" s="107">
        <f t="shared" si="8"/>
        <v>579505.39</v>
      </c>
      <c r="K28" s="107">
        <f t="shared" si="8"/>
        <v>545610.03</v>
      </c>
      <c r="L28" s="107">
        <f t="shared" si="8"/>
        <v>890209.45</v>
      </c>
      <c r="M28" s="107">
        <f t="shared" si="8"/>
        <v>793574.97</v>
      </c>
      <c r="N28" s="107">
        <f t="shared" si="8"/>
        <v>999432.05</v>
      </c>
      <c r="O28" s="107">
        <f t="shared" si="8"/>
        <v>841518.45</v>
      </c>
      <c r="P28" s="107">
        <f t="shared" si="8"/>
        <v>342442.26999999996</v>
      </c>
      <c r="Q28" s="107">
        <f t="shared" si="8"/>
        <v>340557.41000000003</v>
      </c>
      <c r="R28" s="107">
        <f t="shared" si="8"/>
        <v>332381.41000000003</v>
      </c>
      <c r="S28" s="107">
        <f t="shared" si="8"/>
        <v>770666.84</v>
      </c>
      <c r="T28" s="107">
        <f t="shared" si="8"/>
        <v>571233.03</v>
      </c>
      <c r="U28" s="107">
        <f t="shared" si="8"/>
        <v>720888.14</v>
      </c>
      <c r="V28" s="107">
        <f t="shared" si="8"/>
        <v>547687.61</v>
      </c>
      <c r="W28" s="107">
        <f t="shared" si="8"/>
        <v>514099.58</v>
      </c>
      <c r="X28" s="107">
        <f t="shared" si="8"/>
        <v>823823.98</v>
      </c>
    </row>
    <row r="29" spans="1:24" x14ac:dyDescent="0.25">
      <c r="A29" s="35" t="s">
        <v>37</v>
      </c>
      <c r="G29" s="107">
        <f>SUM(G23:G28)</f>
        <v>1685290.3004000001</v>
      </c>
      <c r="H29" s="107">
        <f t="shared" ref="H29:X29" si="9">SUM(H23:H28)</f>
        <v>2685637.8812000002</v>
      </c>
      <c r="I29" s="107">
        <f t="shared" si="9"/>
        <v>3149054.6383999996</v>
      </c>
      <c r="J29" s="107">
        <f t="shared" si="9"/>
        <v>3714118.4292000001</v>
      </c>
      <c r="K29" s="107">
        <f t="shared" si="9"/>
        <v>4570223.3636000007</v>
      </c>
      <c r="L29" s="107">
        <f t="shared" si="9"/>
        <v>3582100.409</v>
      </c>
      <c r="M29" s="107">
        <f t="shared" si="9"/>
        <v>2414489.8656000001</v>
      </c>
      <c r="N29" s="107">
        <f t="shared" si="9"/>
        <v>2648413.2048000004</v>
      </c>
      <c r="O29" s="107">
        <f t="shared" si="9"/>
        <v>2369861.7895999998</v>
      </c>
      <c r="P29" s="107">
        <f t="shared" si="9"/>
        <v>1506769.1111999999</v>
      </c>
      <c r="Q29" s="107">
        <f t="shared" si="9"/>
        <v>1643443.9659000002</v>
      </c>
      <c r="R29" s="107">
        <f t="shared" si="9"/>
        <v>1756494.2519999999</v>
      </c>
      <c r="S29" s="107">
        <f t="shared" si="9"/>
        <v>3286498.2</v>
      </c>
      <c r="T29" s="107">
        <f t="shared" si="9"/>
        <v>2195801.1540999999</v>
      </c>
      <c r="U29" s="107">
        <f t="shared" si="9"/>
        <v>1830508.69</v>
      </c>
      <c r="V29" s="107">
        <f t="shared" si="9"/>
        <v>1362091.1247999999</v>
      </c>
      <c r="W29" s="107">
        <f t="shared" si="9"/>
        <v>1159308.8097000001</v>
      </c>
      <c r="X29" s="107">
        <f t="shared" si="9"/>
        <v>2217137.8004000001</v>
      </c>
    </row>
    <row r="30" spans="1:24" x14ac:dyDescent="0.25">
      <c r="A30" s="35"/>
      <c r="G30" s="24"/>
      <c r="H30" s="24"/>
      <c r="I30" s="24"/>
      <c r="J30" s="24"/>
      <c r="K30" s="24"/>
      <c r="L30" s="24"/>
      <c r="M30" s="24"/>
      <c r="N30" s="24"/>
      <c r="O30" s="24"/>
      <c r="P30" s="24"/>
      <c r="Q30" s="24"/>
      <c r="R30" s="24"/>
      <c r="S30" s="24"/>
      <c r="T30" s="24"/>
    </row>
    <row r="31" spans="1:24" x14ac:dyDescent="0.25">
      <c r="A31" s="34" t="s">
        <v>676</v>
      </c>
      <c r="I31" s="107">
        <f>SUM(G29:I29)</f>
        <v>7519982.8200000003</v>
      </c>
      <c r="J31" s="107"/>
      <c r="K31" s="107"/>
      <c r="L31" s="107">
        <f>SUM(J29:L29)</f>
        <v>11866442.2018</v>
      </c>
      <c r="M31" s="107"/>
      <c r="N31" s="107"/>
      <c r="O31" s="107">
        <f>SUM(M29:O29)</f>
        <v>7432764.8600000003</v>
      </c>
      <c r="P31" s="107"/>
      <c r="Q31" s="107"/>
      <c r="R31" s="107">
        <f>SUM(P29:R29)</f>
        <v>4906707.3290999997</v>
      </c>
      <c r="S31" s="107"/>
      <c r="T31" s="107"/>
      <c r="U31" s="107">
        <f>SUM(S29:U29)</f>
        <v>7312808.0440999996</v>
      </c>
      <c r="X31" s="107">
        <f>SUM(V29:X29)</f>
        <v>4738537.7348999996</v>
      </c>
    </row>
    <row r="32" spans="1:24" x14ac:dyDescent="0.25">
      <c r="A32" s="34" t="s">
        <v>677</v>
      </c>
      <c r="L32" s="40">
        <f>(L31/I31)-1</f>
        <v>0.57798794037670409</v>
      </c>
      <c r="M32" s="40"/>
      <c r="N32" s="40"/>
      <c r="O32" s="40">
        <f>(O31/L31)-1</f>
        <v>-0.37363156255271379</v>
      </c>
      <c r="P32" s="40"/>
      <c r="Q32" s="40"/>
      <c r="R32" s="40">
        <f>(R31/O31)-1</f>
        <v>-0.33985435816679399</v>
      </c>
      <c r="S32" s="40"/>
      <c r="T32" s="40"/>
      <c r="U32" s="40">
        <f>(U31/R31)-1</f>
        <v>0.49036972324194705</v>
      </c>
      <c r="X32" s="40">
        <f>(X31/U31)-1</f>
        <v>-0.35202213618569278</v>
      </c>
    </row>
    <row r="33" spans="1:24" x14ac:dyDescent="0.25">
      <c r="A33" s="34" t="s">
        <v>678</v>
      </c>
      <c r="L33" s="40"/>
      <c r="M33" s="40"/>
      <c r="N33" s="40"/>
      <c r="O33" s="40"/>
      <c r="P33" s="40"/>
      <c r="Q33" s="40"/>
      <c r="R33" s="40"/>
      <c r="S33" s="40"/>
      <c r="T33" s="40"/>
      <c r="U33" s="40">
        <f>(U31/I31)-1</f>
        <v>-2.7549900160543261E-2</v>
      </c>
      <c r="X33" s="40">
        <f>(X31/L31)-1</f>
        <v>-0.60067746892314378</v>
      </c>
    </row>
    <row r="37" spans="1:24" x14ac:dyDescent="0.25">
      <c r="A37" s="25" t="s">
        <v>576</v>
      </c>
      <c r="G37" s="25" t="s">
        <v>484</v>
      </c>
      <c r="H37" s="25" t="s">
        <v>485</v>
      </c>
      <c r="I37" s="25" t="s">
        <v>486</v>
      </c>
      <c r="J37" s="25" t="s">
        <v>487</v>
      </c>
      <c r="K37" s="25" t="s">
        <v>488</v>
      </c>
      <c r="L37" s="25" t="s">
        <v>489</v>
      </c>
      <c r="M37" s="25" t="s">
        <v>490</v>
      </c>
      <c r="N37" s="25" t="s">
        <v>491</v>
      </c>
      <c r="O37" s="25" t="s">
        <v>492</v>
      </c>
      <c r="P37" s="25" t="s">
        <v>493</v>
      </c>
      <c r="Q37" s="25" t="s">
        <v>494</v>
      </c>
      <c r="R37" s="25" t="s">
        <v>495</v>
      </c>
      <c r="S37" s="25" t="s">
        <v>496</v>
      </c>
      <c r="T37" s="25" t="s">
        <v>497</v>
      </c>
      <c r="U37" s="25" t="s">
        <v>574</v>
      </c>
      <c r="V37" s="25" t="s">
        <v>731</v>
      </c>
      <c r="W37" s="25" t="s">
        <v>732</v>
      </c>
      <c r="X37" s="25" t="s">
        <v>733</v>
      </c>
    </row>
    <row r="38" spans="1:24" x14ac:dyDescent="0.25">
      <c r="A38" s="24" t="s">
        <v>573</v>
      </c>
      <c r="G38" s="62">
        <f>PTF!B8</f>
        <v>71.64</v>
      </c>
      <c r="H38" s="62">
        <f>PTF!C8</f>
        <v>69.53</v>
      </c>
      <c r="I38" s="62">
        <f>PTF!D8</f>
        <v>59.76</v>
      </c>
      <c r="J38" s="62">
        <f>PTF!E8</f>
        <v>65.540000000000006</v>
      </c>
      <c r="K38" s="62">
        <f>PTF!F8</f>
        <v>64.03</v>
      </c>
      <c r="L38" s="62">
        <f>PTF!G8</f>
        <v>56.95</v>
      </c>
      <c r="M38" s="62">
        <f>PTF!H8</f>
        <v>74.36</v>
      </c>
      <c r="N38" s="62">
        <f>PTF!I8</f>
        <v>72.53</v>
      </c>
      <c r="O38" s="62">
        <f>PTF!J8</f>
        <v>67.13</v>
      </c>
      <c r="P38" s="62">
        <f>PTF!K8</f>
        <v>66.28</v>
      </c>
      <c r="Q38" s="62">
        <f>PTF!L8</f>
        <v>66.790000000000006</v>
      </c>
      <c r="R38" s="62">
        <f>PTF!M8</f>
        <v>70.599999999999994</v>
      </c>
      <c r="S38" s="62">
        <f>PTF!N8</f>
        <v>68</v>
      </c>
      <c r="T38" s="62">
        <f>PTF!O8</f>
        <v>49.19</v>
      </c>
      <c r="U38" s="62">
        <f>PTF!P8</f>
        <v>39.229999999999997</v>
      </c>
      <c r="V38" s="62">
        <f>PTF!Q8</f>
        <v>23.96</v>
      </c>
      <c r="W38" s="62">
        <f>PTF!R8</f>
        <v>17.57</v>
      </c>
      <c r="X38" s="62">
        <f>PTF!S8</f>
        <v>29.08</v>
      </c>
    </row>
    <row r="40" spans="1:24" x14ac:dyDescent="0.25">
      <c r="A40" s="34" t="s">
        <v>681</v>
      </c>
      <c r="B40" s="25" t="s">
        <v>683</v>
      </c>
      <c r="C40" s="25" t="s">
        <v>684</v>
      </c>
      <c r="D40" s="25" t="s">
        <v>685</v>
      </c>
      <c r="E40" s="25" t="s">
        <v>686</v>
      </c>
      <c r="F40" s="25" t="s">
        <v>687</v>
      </c>
      <c r="G40" s="25" t="s">
        <v>484</v>
      </c>
      <c r="H40" s="25" t="s">
        <v>485</v>
      </c>
      <c r="I40" s="25" t="s">
        <v>486</v>
      </c>
      <c r="J40" s="25" t="s">
        <v>487</v>
      </c>
      <c r="K40" s="25" t="s">
        <v>488</v>
      </c>
      <c r="L40" s="25" t="s">
        <v>489</v>
      </c>
      <c r="M40" s="25" t="s">
        <v>490</v>
      </c>
      <c r="N40" s="25" t="s">
        <v>491</v>
      </c>
      <c r="O40" s="25" t="s">
        <v>492</v>
      </c>
      <c r="P40" s="25" t="s">
        <v>493</v>
      </c>
      <c r="Q40" s="25" t="s">
        <v>494</v>
      </c>
      <c r="R40" s="25" t="s">
        <v>495</v>
      </c>
      <c r="S40" s="25" t="s">
        <v>496</v>
      </c>
      <c r="T40" s="25" t="s">
        <v>497</v>
      </c>
      <c r="U40" s="25" t="s">
        <v>574</v>
      </c>
      <c r="V40" s="25" t="s">
        <v>731</v>
      </c>
      <c r="W40" s="25" t="s">
        <v>732</v>
      </c>
      <c r="X40" s="25" t="s">
        <v>733</v>
      </c>
    </row>
    <row r="41" spans="1:24" x14ac:dyDescent="0.25">
      <c r="A41" s="35" t="s">
        <v>266</v>
      </c>
      <c r="G41" s="107">
        <f>$G$55*G23</f>
        <v>14502039.780239997</v>
      </c>
      <c r="H41" s="107">
        <f>$H$55*H23</f>
        <v>22119162.443112001</v>
      </c>
      <c r="I41" s="107">
        <f>$I$55*I23</f>
        <v>13401034.663679998</v>
      </c>
      <c r="J41" s="107">
        <f>$J$55*J23</f>
        <v>11548898.59685</v>
      </c>
      <c r="K41" s="107">
        <f>$K$55*K23</f>
        <v>14389766.17056</v>
      </c>
      <c r="L41" s="107">
        <f>$L$55*L23</f>
        <v>18654249.089065</v>
      </c>
      <c r="M41" s="107">
        <f>$M$55*M23</f>
        <v>18993035.081592001</v>
      </c>
      <c r="N41" s="107">
        <f>$N$55*N23</f>
        <v>20235646.063625</v>
      </c>
      <c r="O41" s="107">
        <f>$O$55*O23</f>
        <v>20750380.379595999</v>
      </c>
      <c r="P41" s="107">
        <f>$P$55*P23</f>
        <v>16528038.463400001</v>
      </c>
      <c r="Q41" s="107">
        <f>$Q$55*Q23</f>
        <v>16178943.64222</v>
      </c>
      <c r="R41" s="107">
        <f>$R$55*R23</f>
        <v>21570771.352999996</v>
      </c>
      <c r="S41" s="107">
        <f>$S$55*S23</f>
        <v>31873897.543200001</v>
      </c>
      <c r="T41" s="107">
        <f>$T$55*T23</f>
        <v>16866359.706713997</v>
      </c>
      <c r="U41" s="107">
        <f>$U$55*U23</f>
        <v>10886209.075349998</v>
      </c>
      <c r="V41" s="107">
        <f t="shared" ref="V41:X41" si="10">$U$55*V23</f>
        <v>5649388.9048800003</v>
      </c>
      <c r="W41" s="107">
        <f t="shared" si="10"/>
        <v>3921411.3151500002</v>
      </c>
      <c r="X41" s="107">
        <f t="shared" si="10"/>
        <v>5863991.7999599995</v>
      </c>
    </row>
    <row r="42" spans="1:24" x14ac:dyDescent="0.25">
      <c r="A42" s="35" t="s">
        <v>267</v>
      </c>
      <c r="G42" s="107">
        <f t="shared" ref="G42:G46" si="11">$G$55*G24</f>
        <v>8412375.1707359999</v>
      </c>
      <c r="H42" s="107">
        <f t="shared" ref="H42:H46" si="12">$H$55*H24</f>
        <v>12642029.231915999</v>
      </c>
      <c r="I42" s="107">
        <f t="shared" ref="I42:I46" si="13">$I$55*I24</f>
        <v>9524159.7384959999</v>
      </c>
      <c r="J42" s="107">
        <f t="shared" ref="J42:J46" si="14">$J$55*J24</f>
        <v>5827006.070199999</v>
      </c>
      <c r="K42" s="107">
        <f t="shared" ref="K42:K46" si="15">$K$55*K24</f>
        <v>9316618.0465600006</v>
      </c>
      <c r="L42" s="107">
        <f t="shared" ref="L42:L46" si="16">$L$55*L24</f>
        <v>8154528.6318549989</v>
      </c>
      <c r="M42" s="107">
        <f t="shared" ref="M42:M46" si="17">$M$55*M24</f>
        <v>6865422.0972480001</v>
      </c>
      <c r="N42" s="107">
        <f t="shared" ref="N42:N46" si="18">$N$55*N24</f>
        <v>7165402.7991249999</v>
      </c>
      <c r="O42" s="107">
        <f t="shared" ref="O42:O46" si="19">$O$55*O24</f>
        <v>7267877.944712</v>
      </c>
      <c r="P42" s="107">
        <f t="shared" ref="P42:P46" si="20">$P$55*P24</f>
        <v>9776094.8633999992</v>
      </c>
      <c r="Q42" s="107">
        <f t="shared" ref="Q42:Q46" si="21">$Q$55*Q24</f>
        <v>10551619.783700002</v>
      </c>
      <c r="R42" s="107">
        <f t="shared" ref="R42:R46" si="22">$R$55*R24</f>
        <v>10378457.53468</v>
      </c>
      <c r="S42" s="107">
        <f t="shared" ref="S42:S46" si="23">$S$55*S24</f>
        <v>20559633.590400003</v>
      </c>
      <c r="T42" s="107">
        <f t="shared" ref="T42:T46" si="24">$T$55*T24</f>
        <v>9770139.2812729999</v>
      </c>
      <c r="U42" s="107">
        <f t="shared" ref="U42:X46" si="25">$U$55*U24</f>
        <v>4294987.4513699999</v>
      </c>
      <c r="V42" s="107">
        <f t="shared" si="25"/>
        <v>2639381.6307600001</v>
      </c>
      <c r="W42" s="107">
        <f t="shared" si="25"/>
        <v>2120597.14671</v>
      </c>
      <c r="X42" s="107">
        <f t="shared" si="25"/>
        <v>2232296.77104</v>
      </c>
    </row>
    <row r="43" spans="1:24" x14ac:dyDescent="0.25">
      <c r="A43" s="35" t="s">
        <v>184</v>
      </c>
      <c r="G43" s="107">
        <f t="shared" si="11"/>
        <v>11024519.040432001</v>
      </c>
      <c r="H43" s="107">
        <f t="shared" si="12"/>
        <v>21548014.487999998</v>
      </c>
      <c r="I43" s="107">
        <f t="shared" si="13"/>
        <v>17536757.495039999</v>
      </c>
      <c r="J43" s="107">
        <f t="shared" si="14"/>
        <v>9139840.8189100008</v>
      </c>
      <c r="K43" s="107">
        <f t="shared" si="15"/>
        <v>15085738.872512</v>
      </c>
      <c r="L43" s="107">
        <f t="shared" si="16"/>
        <v>16384459.809754999</v>
      </c>
      <c r="M43" s="107">
        <f t="shared" si="17"/>
        <v>10557572.865839999</v>
      </c>
      <c r="N43" s="107">
        <f t="shared" si="18"/>
        <v>17388903.219549999</v>
      </c>
      <c r="O43" s="107">
        <f t="shared" si="19"/>
        <v>16454562.485144001</v>
      </c>
      <c r="P43" s="107">
        <f t="shared" si="20"/>
        <v>12790173.555200001</v>
      </c>
      <c r="Q43" s="107">
        <f t="shared" si="21"/>
        <v>16294757.368640002</v>
      </c>
      <c r="R43" s="107">
        <f t="shared" si="22"/>
        <v>11799381.897120001</v>
      </c>
      <c r="S43" s="107">
        <f t="shared" si="23"/>
        <v>23705393.762400001</v>
      </c>
      <c r="T43" s="107">
        <f t="shared" si="24"/>
        <v>13694352.458660999</v>
      </c>
      <c r="U43" s="107">
        <f t="shared" si="25"/>
        <v>8322146.9459099993</v>
      </c>
      <c r="V43" s="107">
        <f t="shared" si="25"/>
        <v>3253075.8195600002</v>
      </c>
      <c r="W43" s="107">
        <f t="shared" si="25"/>
        <v>2661231.9150900003</v>
      </c>
      <c r="X43" s="107">
        <f t="shared" si="25"/>
        <v>5785160.9507999998</v>
      </c>
    </row>
    <row r="44" spans="1:24" x14ac:dyDescent="0.25">
      <c r="A44" s="35" t="s">
        <v>268</v>
      </c>
      <c r="G44" s="107">
        <f t="shared" si="11"/>
        <v>8621055.8998559993</v>
      </c>
      <c r="H44" s="107">
        <f t="shared" si="12"/>
        <v>15522431.187228</v>
      </c>
      <c r="I44" s="107">
        <f t="shared" si="13"/>
        <v>11130083.668799998</v>
      </c>
      <c r="J44" s="107">
        <f t="shared" si="14"/>
        <v>8200976.1243500011</v>
      </c>
      <c r="K44" s="107">
        <f t="shared" si="15"/>
        <v>8609166.4560000002</v>
      </c>
      <c r="L44" s="107">
        <f t="shared" si="16"/>
        <v>17770987.745355003</v>
      </c>
      <c r="M44" s="107">
        <f t="shared" si="17"/>
        <v>13805792.783640001</v>
      </c>
      <c r="N44" s="107">
        <f t="shared" si="18"/>
        <v>18199771.393674999</v>
      </c>
      <c r="O44" s="107">
        <f t="shared" si="19"/>
        <v>17342761.475339998</v>
      </c>
      <c r="P44" s="107">
        <f t="shared" si="20"/>
        <v>9479562.7829999998</v>
      </c>
      <c r="Q44" s="107">
        <f t="shared" si="21"/>
        <v>11956491.864420002</v>
      </c>
      <c r="R44" s="107">
        <f t="shared" si="22"/>
        <v>12249388.408059997</v>
      </c>
      <c r="S44" s="107">
        <f t="shared" si="23"/>
        <v>24498118.872000001</v>
      </c>
      <c r="T44" s="107">
        <f t="shared" si="24"/>
        <v>11929559.149248999</v>
      </c>
      <c r="U44" s="107">
        <f t="shared" si="25"/>
        <v>9167584.3591499999</v>
      </c>
      <c r="V44" s="107">
        <f t="shared" si="25"/>
        <v>3652093.2722400003</v>
      </c>
      <c r="W44" s="107">
        <f t="shared" si="25"/>
        <v>1874423.6834400001</v>
      </c>
      <c r="X44" s="107">
        <f t="shared" si="25"/>
        <v>4884806.7248400003</v>
      </c>
    </row>
    <row r="45" spans="1:24" x14ac:dyDescent="0.25">
      <c r="A45" s="35" t="s">
        <v>269</v>
      </c>
      <c r="G45" s="107">
        <f t="shared" si="11"/>
        <v>2706342.5033279997</v>
      </c>
      <c r="H45" s="107">
        <f t="shared" si="12"/>
        <v>2828063.8874879996</v>
      </c>
      <c r="I45" s="107">
        <f t="shared" si="13"/>
        <v>44000823.784319997</v>
      </c>
      <c r="J45" s="107">
        <f t="shared" si="14"/>
        <v>84555304.53125</v>
      </c>
      <c r="K45" s="107">
        <f t="shared" si="15"/>
        <v>108431738.73136</v>
      </c>
      <c r="L45" s="107">
        <f t="shared" si="16"/>
        <v>45015521.779799998</v>
      </c>
      <c r="M45" s="107">
        <f t="shared" si="17"/>
        <v>14841701.081063999</v>
      </c>
      <c r="N45" s="107">
        <f t="shared" si="18"/>
        <v>4206258.5821250007</v>
      </c>
      <c r="O45" s="107">
        <f t="shared" si="19"/>
        <v>1213297.0403120001</v>
      </c>
      <c r="P45" s="107">
        <f t="shared" si="20"/>
        <v>36775.955099999999</v>
      </c>
      <c r="Q45" s="107">
        <f t="shared" si="21"/>
        <v>0</v>
      </c>
      <c r="R45" s="107">
        <f t="shared" si="22"/>
        <v>4683449.004759999</v>
      </c>
      <c r="S45" s="107">
        <f t="shared" si="23"/>
        <v>7895921.1024000002</v>
      </c>
      <c r="T45" s="107">
        <f t="shared" si="24"/>
        <v>18587005.296103999</v>
      </c>
      <c r="U45" s="107">
        <f t="shared" si="25"/>
        <v>16263338.423220001</v>
      </c>
      <c r="V45" s="107">
        <f t="shared" si="25"/>
        <v>20721255.375240002</v>
      </c>
      <c r="W45" s="107">
        <f t="shared" si="25"/>
        <v>17876062.969380002</v>
      </c>
      <c r="X45" s="107">
        <f t="shared" si="25"/>
        <v>42678883.232999995</v>
      </c>
    </row>
    <row r="46" spans="1:24" x14ac:dyDescent="0.25">
      <c r="A46" s="35" t="s">
        <v>270</v>
      </c>
      <c r="G46" s="107">
        <f t="shared" si="11"/>
        <v>14527767.463599999</v>
      </c>
      <c r="H46" s="107">
        <f t="shared" si="12"/>
        <v>22345539.031199999</v>
      </c>
      <c r="I46" s="107">
        <f t="shared" si="13"/>
        <v>21048124.456</v>
      </c>
      <c r="J46" s="107">
        <f t="shared" si="14"/>
        <v>22050180.089499999</v>
      </c>
      <c r="K46" s="107">
        <f t="shared" si="15"/>
        <v>21126020.3616</v>
      </c>
      <c r="L46" s="107">
        <f t="shared" si="16"/>
        <v>35047546.046499997</v>
      </c>
      <c r="M46" s="107">
        <f t="shared" si="17"/>
        <v>31854099.2958</v>
      </c>
      <c r="N46" s="107">
        <f t="shared" si="18"/>
        <v>40726856.037500001</v>
      </c>
      <c r="O46" s="107">
        <f t="shared" si="19"/>
        <v>34704220.877999999</v>
      </c>
      <c r="P46" s="107">
        <f t="shared" si="20"/>
        <v>14296964.772499999</v>
      </c>
      <c r="Q46" s="107">
        <f t="shared" si="21"/>
        <v>14371522.702000001</v>
      </c>
      <c r="R46" s="107">
        <f t="shared" si="22"/>
        <v>14162771.880100001</v>
      </c>
      <c r="S46" s="107">
        <f t="shared" si="23"/>
        <v>33246567.477600001</v>
      </c>
      <c r="T46" s="107">
        <f t="shared" si="24"/>
        <v>24911472.438300002</v>
      </c>
      <c r="U46" s="107">
        <f t="shared" si="25"/>
        <v>31791166.974000003</v>
      </c>
      <c r="V46" s="107">
        <f t="shared" si="25"/>
        <v>24153023.601</v>
      </c>
      <c r="W46" s="107">
        <f t="shared" si="25"/>
        <v>22671791.478</v>
      </c>
      <c r="X46" s="107">
        <f t="shared" si="25"/>
        <v>36330637.517999999</v>
      </c>
    </row>
    <row r="47" spans="1:24" x14ac:dyDescent="0.25">
      <c r="A47" s="35" t="s">
        <v>37</v>
      </c>
      <c r="G47" s="107">
        <f>SUM(G41:G46)</f>
        <v>59794099.858191997</v>
      </c>
      <c r="H47" s="107">
        <f t="shared" ref="H47:T47" si="26">SUM(H41:H46)</f>
        <v>97005240.268943995</v>
      </c>
      <c r="I47" s="107">
        <f t="shared" si="26"/>
        <v>116640983.80633599</v>
      </c>
      <c r="J47" s="107">
        <f t="shared" si="26"/>
        <v>141322206.23106</v>
      </c>
      <c r="K47" s="107">
        <f t="shared" si="26"/>
        <v>176959048.638592</v>
      </c>
      <c r="L47" s="107">
        <f t="shared" si="26"/>
        <v>141027293.10233</v>
      </c>
      <c r="M47" s="107">
        <f t="shared" si="26"/>
        <v>96917623.205183998</v>
      </c>
      <c r="N47" s="107">
        <f t="shared" si="26"/>
        <v>107922838.09560001</v>
      </c>
      <c r="O47" s="107">
        <f t="shared" si="26"/>
        <v>97733100.203103989</v>
      </c>
      <c r="P47" s="107">
        <f t="shared" si="26"/>
        <v>62907610.3926</v>
      </c>
      <c r="Q47" s="107">
        <f t="shared" si="26"/>
        <v>69353335.360980004</v>
      </c>
      <c r="R47" s="107">
        <f t="shared" si="26"/>
        <v>74844220.077719986</v>
      </c>
      <c r="S47" s="107">
        <f t="shared" si="26"/>
        <v>141779532.34800002</v>
      </c>
      <c r="T47" s="107">
        <f t="shared" si="26"/>
        <v>95758888.330300987</v>
      </c>
      <c r="U47" s="107">
        <f>SUM(U41:U46)</f>
        <v>80725433.229000002</v>
      </c>
      <c r="V47" s="107">
        <f t="shared" ref="V47:X47" si="27">SUM(V41:V46)</f>
        <v>60068218.60368</v>
      </c>
      <c r="W47" s="107">
        <f t="shared" si="27"/>
        <v>51125518.507770002</v>
      </c>
      <c r="X47" s="107">
        <f t="shared" si="27"/>
        <v>97775776.997639984</v>
      </c>
    </row>
    <row r="49" spans="1:25" x14ac:dyDescent="0.25">
      <c r="A49" s="34" t="s">
        <v>676</v>
      </c>
      <c r="I49" s="107">
        <f>SUM(G47:I47)</f>
        <v>273440323.93347198</v>
      </c>
      <c r="J49" s="107"/>
      <c r="K49" s="107"/>
      <c r="L49" s="107">
        <f>SUM(J47:L47)</f>
        <v>459308547.971982</v>
      </c>
      <c r="M49" s="107"/>
      <c r="N49" s="107"/>
      <c r="O49" s="107">
        <f>SUM(M47:O47)</f>
        <v>302573561.50388801</v>
      </c>
      <c r="P49" s="107"/>
      <c r="Q49" s="107"/>
      <c r="R49" s="107">
        <f>SUM(P47:R47)</f>
        <v>207105165.83129999</v>
      </c>
      <c r="S49" s="107"/>
      <c r="T49" s="107"/>
      <c r="U49" s="107">
        <f>SUM(S47:U47)</f>
        <v>318263853.90730101</v>
      </c>
      <c r="X49" s="107">
        <f>SUM(V47:X47)</f>
        <v>208969514.10908997</v>
      </c>
    </row>
    <row r="50" spans="1:25" x14ac:dyDescent="0.25">
      <c r="A50" s="34" t="s">
        <v>677</v>
      </c>
      <c r="L50" s="40">
        <f>(L49/I49)-1</f>
        <v>0.67973962788213993</v>
      </c>
      <c r="M50" s="40"/>
      <c r="N50" s="40"/>
      <c r="O50" s="40">
        <f>(O49/L49)-1</f>
        <v>-0.34124117036388113</v>
      </c>
      <c r="P50" s="40"/>
      <c r="Q50" s="40"/>
      <c r="R50" s="40">
        <f>(R49/O49)-1</f>
        <v>-0.31552127422528053</v>
      </c>
      <c r="S50" s="40"/>
      <c r="T50" s="40"/>
      <c r="U50" s="40">
        <f>(U49/R49)-1</f>
        <v>0.53672581091746729</v>
      </c>
      <c r="X50" s="40">
        <f>(X49/U49)-1</f>
        <v>-0.34340795681448832</v>
      </c>
    </row>
    <row r="51" spans="1:25" x14ac:dyDescent="0.25">
      <c r="A51" s="34" t="s">
        <v>678</v>
      </c>
      <c r="L51" s="40"/>
      <c r="M51" s="40"/>
      <c r="N51" s="40"/>
      <c r="O51" s="40"/>
      <c r="P51" s="40"/>
      <c r="Q51" s="40"/>
      <c r="R51" s="40"/>
      <c r="S51" s="40"/>
      <c r="T51" s="40"/>
      <c r="U51" s="40">
        <f>(U49/I49)-1</f>
        <v>0.1639243595422839</v>
      </c>
      <c r="X51" s="40">
        <f>(X49/L49)-1</f>
        <v>-0.5450345632978788</v>
      </c>
    </row>
    <row r="54" spans="1:25" x14ac:dyDescent="0.25">
      <c r="A54" s="25" t="s">
        <v>578</v>
      </c>
      <c r="G54" s="25" t="s">
        <v>484</v>
      </c>
      <c r="H54" s="25" t="s">
        <v>485</v>
      </c>
      <c r="I54" s="25" t="s">
        <v>486</v>
      </c>
      <c r="J54" s="25" t="s">
        <v>487</v>
      </c>
      <c r="K54" s="25" t="s">
        <v>488</v>
      </c>
      <c r="L54" s="25" t="s">
        <v>489</v>
      </c>
      <c r="M54" s="25" t="s">
        <v>490</v>
      </c>
      <c r="N54" s="25" t="s">
        <v>491</v>
      </c>
      <c r="O54" s="25" t="s">
        <v>492</v>
      </c>
      <c r="P54" s="25" t="s">
        <v>493</v>
      </c>
      <c r="Q54" s="25" t="s">
        <v>494</v>
      </c>
      <c r="R54" s="25" t="s">
        <v>495</v>
      </c>
      <c r="S54" s="25" t="s">
        <v>496</v>
      </c>
      <c r="T54" s="25" t="s">
        <v>497</v>
      </c>
      <c r="U54" s="25" t="s">
        <v>574</v>
      </c>
      <c r="V54" s="25" t="s">
        <v>731</v>
      </c>
      <c r="W54" s="25" t="s">
        <v>732</v>
      </c>
      <c r="X54" s="25" t="s">
        <v>733</v>
      </c>
    </row>
    <row r="55" spans="1:25" x14ac:dyDescent="0.25">
      <c r="A55" s="25" t="s">
        <v>576</v>
      </c>
      <c r="G55" s="62" t="str">
        <f>PTF!B5</f>
        <v>35,48</v>
      </c>
      <c r="H55" s="62">
        <f>PTF!C5</f>
        <v>36.119999999999997</v>
      </c>
      <c r="I55" s="62">
        <f>PTF!D5</f>
        <v>37.04</v>
      </c>
      <c r="J55" s="62">
        <f>PTF!E5</f>
        <v>38.049999999999997</v>
      </c>
      <c r="K55" s="62">
        <f>PTF!F5</f>
        <v>38.72</v>
      </c>
      <c r="L55" s="62">
        <f>PTF!G5</f>
        <v>39.369999999999997</v>
      </c>
      <c r="M55" s="62">
        <f>PTF!H5</f>
        <v>40.14</v>
      </c>
      <c r="N55" s="62">
        <f>PTF!I5</f>
        <v>40.75</v>
      </c>
      <c r="O55" s="62">
        <f>PTF!J5</f>
        <v>41.24</v>
      </c>
      <c r="P55" s="62">
        <f>PTF!K5</f>
        <v>41.75</v>
      </c>
      <c r="Q55" s="62">
        <f>PTF!L5</f>
        <v>42.2</v>
      </c>
      <c r="R55" s="62">
        <f>PTF!M5</f>
        <v>42.61</v>
      </c>
      <c r="S55" s="62">
        <f>PTF!N5</f>
        <v>43.14</v>
      </c>
      <c r="T55" s="62">
        <f>PTF!O5</f>
        <v>43.61</v>
      </c>
      <c r="U55" s="62">
        <f>PTF!P5</f>
        <v>44.1</v>
      </c>
      <c r="V55" s="62">
        <f>PTF!Q5</f>
        <v>44.68</v>
      </c>
      <c r="W55" s="62">
        <f>PTF!R5</f>
        <v>45.36</v>
      </c>
      <c r="X55" s="62">
        <f>PTF!S5</f>
        <v>46.17</v>
      </c>
    </row>
    <row r="62" spans="1:25" x14ac:dyDescent="0.25">
      <c r="A62" s="86" t="s">
        <v>44</v>
      </c>
    </row>
    <row r="63" spans="1:25" x14ac:dyDescent="0.25">
      <c r="A63" s="87" t="s">
        <v>272</v>
      </c>
      <c r="G63" s="25" t="s">
        <v>762</v>
      </c>
      <c r="H63" s="25" t="s">
        <v>484</v>
      </c>
      <c r="I63" s="25" t="s">
        <v>485</v>
      </c>
      <c r="J63" s="25" t="s">
        <v>486</v>
      </c>
      <c r="K63" s="25" t="s">
        <v>487</v>
      </c>
      <c r="L63" s="25" t="s">
        <v>488</v>
      </c>
      <c r="M63" s="25" t="s">
        <v>489</v>
      </c>
      <c r="N63" s="25" t="s">
        <v>490</v>
      </c>
      <c r="O63" s="25" t="s">
        <v>491</v>
      </c>
      <c r="P63" s="25" t="s">
        <v>492</v>
      </c>
      <c r="Q63" s="25" t="s">
        <v>493</v>
      </c>
      <c r="R63" s="25" t="s">
        <v>494</v>
      </c>
      <c r="S63" s="25" t="s">
        <v>495</v>
      </c>
      <c r="T63" s="25" t="s">
        <v>496</v>
      </c>
      <c r="U63" s="25" t="s">
        <v>497</v>
      </c>
      <c r="V63" s="25" t="s">
        <v>574</v>
      </c>
      <c r="W63" s="25" t="s">
        <v>731</v>
      </c>
      <c r="X63" s="25" t="s">
        <v>732</v>
      </c>
      <c r="Y63" s="25" t="s">
        <v>733</v>
      </c>
    </row>
    <row r="64" spans="1:25" x14ac:dyDescent="0.25">
      <c r="A64" s="25" t="s">
        <v>273</v>
      </c>
      <c r="G64" s="25" t="s">
        <v>28</v>
      </c>
      <c r="H64" s="25">
        <f>SUM(G2:G7)</f>
        <v>23417.95</v>
      </c>
      <c r="I64" s="25">
        <f t="shared" ref="I64:Y64" si="28">SUM(H2:H7)</f>
        <v>38202.660000000003</v>
      </c>
      <c r="J64" s="25">
        <f t="shared" si="28"/>
        <v>50970.39</v>
      </c>
      <c r="K64" s="25">
        <f t="shared" si="28"/>
        <v>55765.909999999996</v>
      </c>
      <c r="L64" s="25">
        <f t="shared" si="28"/>
        <v>70329.23</v>
      </c>
      <c r="M64" s="25">
        <f t="shared" si="28"/>
        <v>59462.27</v>
      </c>
      <c r="N64" s="25">
        <f t="shared" si="28"/>
        <v>32669.1</v>
      </c>
      <c r="O64" s="25">
        <f t="shared" si="28"/>
        <v>36426.01</v>
      </c>
      <c r="P64" s="25">
        <f t="shared" si="28"/>
        <v>34294.57</v>
      </c>
      <c r="Q64" s="25">
        <f t="shared" si="28"/>
        <v>22257.78</v>
      </c>
      <c r="R64" s="25">
        <f t="shared" si="28"/>
        <v>24172.379999999997</v>
      </c>
      <c r="S64" s="25">
        <f t="shared" si="28"/>
        <v>24724.739999999998</v>
      </c>
      <c r="T64" s="25">
        <f t="shared" si="28"/>
        <v>47554.600000000006</v>
      </c>
      <c r="U64" s="25">
        <f t="shared" si="28"/>
        <v>40851.5</v>
      </c>
      <c r="V64" s="25">
        <f t="shared" si="28"/>
        <v>38160.18</v>
      </c>
      <c r="W64" s="25">
        <f t="shared" si="28"/>
        <v>41492.700000000004</v>
      </c>
      <c r="X64" s="25">
        <f t="shared" si="28"/>
        <v>43764.670000000006</v>
      </c>
      <c r="Y64" s="25">
        <f t="shared" si="28"/>
        <v>59198.390000000007</v>
      </c>
    </row>
    <row r="65" spans="1:25" x14ac:dyDescent="0.25">
      <c r="A65" s="88" t="s">
        <v>271</v>
      </c>
      <c r="G65" s="25" t="s">
        <v>522</v>
      </c>
      <c r="H65" s="25">
        <f>H64</f>
        <v>23417.95</v>
      </c>
      <c r="I65" s="25">
        <f t="shared" ref="I65:Y65" si="29">I64</f>
        <v>38202.660000000003</v>
      </c>
      <c r="J65" s="25">
        <f t="shared" si="29"/>
        <v>50970.39</v>
      </c>
      <c r="K65" s="25">
        <f t="shared" si="29"/>
        <v>55765.909999999996</v>
      </c>
      <c r="L65" s="25">
        <f t="shared" si="29"/>
        <v>70329.23</v>
      </c>
      <c r="M65" s="25">
        <f t="shared" si="29"/>
        <v>59462.27</v>
      </c>
      <c r="N65" s="25">
        <f t="shared" si="29"/>
        <v>32669.1</v>
      </c>
      <c r="O65" s="25">
        <f t="shared" si="29"/>
        <v>36426.01</v>
      </c>
      <c r="P65" s="25">
        <f t="shared" si="29"/>
        <v>34294.57</v>
      </c>
      <c r="Q65" s="25">
        <f t="shared" si="29"/>
        <v>22257.78</v>
      </c>
      <c r="R65" s="25">
        <f t="shared" si="29"/>
        <v>24172.379999999997</v>
      </c>
      <c r="S65" s="25">
        <f t="shared" si="29"/>
        <v>24724.739999999998</v>
      </c>
      <c r="T65" s="25">
        <f t="shared" si="29"/>
        <v>47554.600000000006</v>
      </c>
      <c r="U65" s="25">
        <f t="shared" si="29"/>
        <v>40851.5</v>
      </c>
      <c r="V65" s="25">
        <f t="shared" si="29"/>
        <v>38160.18</v>
      </c>
      <c r="W65" s="25">
        <f t="shared" si="29"/>
        <v>41492.700000000004</v>
      </c>
      <c r="X65" s="25">
        <f t="shared" si="29"/>
        <v>43764.670000000006</v>
      </c>
      <c r="Y65" s="25">
        <f t="shared" si="29"/>
        <v>59198.390000000007</v>
      </c>
    </row>
    <row r="68" spans="1:25" x14ac:dyDescent="0.25">
      <c r="G68" s="25" t="s">
        <v>762</v>
      </c>
      <c r="H68" s="25" t="s">
        <v>756</v>
      </c>
      <c r="I68" s="25" t="s">
        <v>757</v>
      </c>
      <c r="J68" s="25" t="s">
        <v>758</v>
      </c>
      <c r="K68" s="25" t="s">
        <v>759</v>
      </c>
      <c r="L68" s="25" t="s">
        <v>760</v>
      </c>
      <c r="M68" s="25" t="s">
        <v>761</v>
      </c>
    </row>
    <row r="69" spans="1:25" x14ac:dyDescent="0.25">
      <c r="G69" s="25" t="s">
        <v>28</v>
      </c>
      <c r="H69" s="25">
        <f>SUM(H64:J64)</f>
        <v>112591</v>
      </c>
      <c r="I69" s="25">
        <f>SUM(K64:M64)</f>
        <v>185557.40999999997</v>
      </c>
      <c r="J69" s="25">
        <f>SUM(N64:P64)</f>
        <v>103389.68</v>
      </c>
      <c r="K69" s="25">
        <f>SUM(Q64:S64)</f>
        <v>71154.899999999994</v>
      </c>
      <c r="L69" s="25">
        <f>SUM(T64:V64)</f>
        <v>126566.28</v>
      </c>
      <c r="M69" s="25">
        <f>SUM(W64:Y64)</f>
        <v>144455.76</v>
      </c>
    </row>
    <row r="70" spans="1:25" x14ac:dyDescent="0.25">
      <c r="G70" s="25" t="s">
        <v>522</v>
      </c>
      <c r="H70" s="25">
        <f>H69</f>
        <v>112591</v>
      </c>
      <c r="I70" s="25">
        <f t="shared" ref="I70:M70" si="30">I69</f>
        <v>185557.40999999997</v>
      </c>
      <c r="J70" s="25">
        <f t="shared" si="30"/>
        <v>103389.68</v>
      </c>
      <c r="K70" s="25">
        <f t="shared" si="30"/>
        <v>71154.899999999994</v>
      </c>
      <c r="L70" s="25">
        <f t="shared" si="30"/>
        <v>126566.28</v>
      </c>
      <c r="M70" s="25">
        <f t="shared" si="30"/>
        <v>144455.76</v>
      </c>
    </row>
  </sheetData>
  <phoneticPr fontId="48" type="noConversion"/>
  <conditionalFormatting sqref="L32:U33">
    <cfRule type="colorScale" priority="20">
      <colorScale>
        <cfvo type="min"/>
        <cfvo type="percentile" val="50"/>
        <cfvo type="max"/>
        <color rgb="FFF8696B"/>
        <color rgb="FFFFEB84"/>
        <color rgb="FF63BE7B"/>
      </colorScale>
    </cfRule>
  </conditionalFormatting>
  <conditionalFormatting sqref="L50:U51">
    <cfRule type="colorScale" priority="19">
      <colorScale>
        <cfvo type="min"/>
        <cfvo type="percentile" val="50"/>
        <cfvo type="max"/>
        <color rgb="FFF8696B"/>
        <color rgb="FFFFEB84"/>
        <color rgb="FF63BE7B"/>
      </colorScale>
    </cfRule>
  </conditionalFormatting>
  <conditionalFormatting sqref="L32:X33">
    <cfRule type="colorScale" priority="1">
      <colorScale>
        <cfvo type="min"/>
        <cfvo type="percentile" val="50"/>
        <cfvo type="max"/>
        <color rgb="FFF8696B"/>
        <color rgb="FFFFEB84"/>
        <color rgb="FF63BE7B"/>
      </colorScale>
    </cfRule>
  </conditionalFormatting>
  <conditionalFormatting sqref="L50:X52">
    <cfRule type="colorScale" priority="2">
      <colorScale>
        <cfvo type="min"/>
        <cfvo type="percentile" val="50"/>
        <cfvo type="max"/>
        <color rgb="FFF8696B"/>
        <color rgb="FFFFEB84"/>
        <color rgb="FF63BE7B"/>
      </colorScale>
    </cfRule>
  </conditionalFormatting>
  <conditionalFormatting sqref="S15:U20">
    <cfRule type="colorScale" priority="21">
      <colorScale>
        <cfvo type="min"/>
        <cfvo type="percentile" val="50"/>
        <cfvo type="max"/>
        <color rgb="FFF8696B"/>
        <color rgb="FFFFEB84"/>
        <color rgb="FF63BE7B"/>
      </colorScale>
    </cfRule>
  </conditionalFormatting>
  <conditionalFormatting sqref="S15:X20">
    <cfRule type="colorScale" priority="7">
      <colorScale>
        <cfvo type="min"/>
        <cfvo type="percentile" val="50"/>
        <cfvo type="max"/>
        <color rgb="FFF8696B"/>
        <color rgb="FFFFEB84"/>
        <color rgb="FF63BE7B"/>
      </colorScale>
    </cfRule>
  </conditionalFormatting>
  <conditionalFormatting sqref="V15:X15">
    <cfRule type="colorScale" priority="14">
      <colorScale>
        <cfvo type="min"/>
        <cfvo type="percentile" val="50"/>
        <cfvo type="max"/>
        <color rgb="FFF8696B"/>
        <color rgb="FFFFEB84"/>
        <color rgb="FF63BE7B"/>
      </colorScale>
    </cfRule>
  </conditionalFormatting>
  <conditionalFormatting sqref="V16:X16">
    <cfRule type="colorScale" priority="8">
      <colorScale>
        <cfvo type="min"/>
        <cfvo type="percentile" val="50"/>
        <cfvo type="max"/>
        <color rgb="FFF8696B"/>
        <color rgb="FFFFEB84"/>
        <color rgb="FF63BE7B"/>
      </colorScale>
    </cfRule>
  </conditionalFormatting>
  <conditionalFormatting sqref="V17:X17">
    <cfRule type="colorScale" priority="13">
      <colorScale>
        <cfvo type="min"/>
        <cfvo type="percentile" val="50"/>
        <cfvo type="max"/>
        <color rgb="FFF8696B"/>
        <color rgb="FFFFEB84"/>
        <color rgb="FF63BE7B"/>
      </colorScale>
    </cfRule>
  </conditionalFormatting>
  <conditionalFormatting sqref="V18:X18">
    <cfRule type="colorScale" priority="10">
      <colorScale>
        <cfvo type="min"/>
        <cfvo type="percentile" val="50"/>
        <cfvo type="max"/>
        <color rgb="FFF8696B"/>
        <color rgb="FFFFEB84"/>
        <color rgb="FF63BE7B"/>
      </colorScale>
    </cfRule>
  </conditionalFormatting>
  <conditionalFormatting sqref="V19:X19">
    <cfRule type="colorScale" priority="12">
      <colorScale>
        <cfvo type="min"/>
        <cfvo type="percentile" val="50"/>
        <cfvo type="max"/>
        <color rgb="FFF8696B"/>
        <color rgb="FFFFEB84"/>
        <color rgb="FF63BE7B"/>
      </colorScale>
    </cfRule>
  </conditionalFormatting>
  <conditionalFormatting sqref="V20:X20">
    <cfRule type="colorScale" priority="9">
      <colorScale>
        <cfvo type="min"/>
        <cfvo type="percentile" val="50"/>
        <cfvo type="max"/>
        <color rgb="FFF8696B"/>
        <color rgb="FFFFEB84"/>
        <color rgb="FF63BE7B"/>
      </colorScale>
    </cfRule>
  </conditionalFormatting>
  <conditionalFormatting sqref="X32">
    <cfRule type="colorScale" priority="6">
      <colorScale>
        <cfvo type="min"/>
        <cfvo type="percentile" val="50"/>
        <cfvo type="max"/>
        <color rgb="FFF8696B"/>
        <color rgb="FFFFEB84"/>
        <color rgb="FF63BE7B"/>
      </colorScale>
    </cfRule>
  </conditionalFormatting>
  <conditionalFormatting sqref="X33">
    <cfRule type="colorScale" priority="5">
      <colorScale>
        <cfvo type="min"/>
        <cfvo type="percentile" val="50"/>
        <cfvo type="max"/>
        <color rgb="FFF8696B"/>
        <color rgb="FFFFEB84"/>
        <color rgb="FF63BE7B"/>
      </colorScale>
    </cfRule>
  </conditionalFormatting>
  <conditionalFormatting sqref="X50">
    <cfRule type="colorScale" priority="4">
      <colorScale>
        <cfvo type="min"/>
        <cfvo type="percentile" val="50"/>
        <cfvo type="max"/>
        <color rgb="FFF8696B"/>
        <color rgb="FFFFEB84"/>
        <color rgb="FF63BE7B"/>
      </colorScale>
    </cfRule>
  </conditionalFormatting>
  <conditionalFormatting sqref="X51">
    <cfRule type="colorScale" priority="3">
      <colorScale>
        <cfvo type="min"/>
        <cfvo type="percentile" val="50"/>
        <cfvo type="max"/>
        <color rgb="FFF8696B"/>
        <color rgb="FFFFEB84"/>
        <color rgb="FF63BE7B"/>
      </colorScale>
    </cfRule>
  </conditionalFormatting>
  <pageMargins left="0.7" right="0.7" top="0.75" bottom="0.75"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C5C1B-D2DF-4C42-B829-06AC81AE3EFA}">
  <dimension ref="A1:X59"/>
  <sheetViews>
    <sheetView zoomScaleNormal="100" workbookViewId="0">
      <selection activeCell="V8" sqref="V8:X8"/>
    </sheetView>
  </sheetViews>
  <sheetFormatPr defaultColWidth="9.140625" defaultRowHeight="15" x14ac:dyDescent="0.25"/>
  <cols>
    <col min="1" max="1" width="47.5703125" style="25" customWidth="1"/>
    <col min="2" max="2" width="11.5703125" style="25" customWidth="1"/>
    <col min="3" max="3" width="23.28515625" style="25" customWidth="1"/>
    <col min="4" max="4" width="9.140625" style="25" customWidth="1"/>
    <col min="5" max="5" width="11.7109375" style="25" customWidth="1"/>
    <col min="6" max="6" width="15.42578125" style="25" customWidth="1"/>
    <col min="7" max="8" width="14.42578125" style="25" bestFit="1" customWidth="1"/>
    <col min="9" max="9" width="14.5703125" style="25" bestFit="1" customWidth="1"/>
    <col min="10" max="11" width="14.42578125" style="25" bestFit="1" customWidth="1"/>
    <col min="12" max="12" width="14.5703125" style="25" bestFit="1" customWidth="1"/>
    <col min="13" max="14" width="14.42578125" style="25" bestFit="1" customWidth="1"/>
    <col min="15" max="15" width="15.42578125" style="25" bestFit="1" customWidth="1"/>
    <col min="16" max="17" width="14.42578125" style="25" bestFit="1" customWidth="1"/>
    <col min="18" max="18" width="14.5703125" style="25" bestFit="1" customWidth="1"/>
    <col min="19" max="20" width="14.42578125" style="25" bestFit="1" customWidth="1"/>
    <col min="21" max="21" width="14.5703125" style="25" bestFit="1" customWidth="1"/>
    <col min="22" max="24" width="14.28515625" style="25" bestFit="1" customWidth="1"/>
    <col min="25" max="16384" width="9.140625" style="25"/>
  </cols>
  <sheetData>
    <row r="1" spans="1:24" x14ac:dyDescent="0.25">
      <c r="A1" s="35" t="s">
        <v>35</v>
      </c>
      <c r="B1" s="35" t="s">
        <v>111</v>
      </c>
      <c r="C1" s="35" t="s">
        <v>338</v>
      </c>
      <c r="D1" s="35" t="s">
        <v>454</v>
      </c>
      <c r="E1" s="37" t="s">
        <v>551</v>
      </c>
      <c r="F1" s="37" t="s">
        <v>552</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35" t="s">
        <v>311</v>
      </c>
      <c r="B2" s="35">
        <v>15.23</v>
      </c>
      <c r="C2" s="35" t="s">
        <v>441</v>
      </c>
      <c r="D2" s="35">
        <v>2558</v>
      </c>
      <c r="E2" s="35">
        <v>133</v>
      </c>
      <c r="F2" s="35">
        <v>2030</v>
      </c>
      <c r="G2" s="25">
        <v>1662.68</v>
      </c>
      <c r="H2" s="25">
        <v>1106.21</v>
      </c>
      <c r="I2" s="25">
        <v>1861.85</v>
      </c>
      <c r="J2" s="25">
        <v>1909.9</v>
      </c>
      <c r="K2" s="25">
        <v>2195.12</v>
      </c>
      <c r="L2" s="25">
        <v>2524.84</v>
      </c>
      <c r="M2" s="25">
        <v>2577.9899999999998</v>
      </c>
      <c r="N2" s="25">
        <v>2554.9499999999998</v>
      </c>
      <c r="O2" s="25">
        <v>2190.87</v>
      </c>
      <c r="P2" s="25">
        <v>1941.36</v>
      </c>
      <c r="Q2" s="25">
        <v>1528.17</v>
      </c>
      <c r="R2" s="25">
        <v>917.19</v>
      </c>
      <c r="S2" s="25">
        <v>995.33</v>
      </c>
      <c r="T2" s="25">
        <v>878.74</v>
      </c>
      <c r="U2" s="25">
        <v>944.4</v>
      </c>
      <c r="V2" s="25">
        <v>1175.3699999999999</v>
      </c>
      <c r="W2" s="25">
        <v>1829.16</v>
      </c>
      <c r="X2" s="25">
        <v>2207.21</v>
      </c>
    </row>
    <row r="3" spans="1:24" x14ac:dyDescent="0.25">
      <c r="A3" s="35" t="s">
        <v>312</v>
      </c>
      <c r="B3" s="35">
        <v>24.19</v>
      </c>
      <c r="C3" s="35"/>
      <c r="D3" s="35"/>
      <c r="E3" s="35">
        <v>133</v>
      </c>
      <c r="F3" s="65">
        <v>47696</v>
      </c>
      <c r="G3" s="35"/>
      <c r="W3" s="252"/>
    </row>
    <row r="4" spans="1:24" x14ac:dyDescent="0.25">
      <c r="A4" s="35" t="s">
        <v>318</v>
      </c>
      <c r="B4" s="35">
        <v>15.83</v>
      </c>
      <c r="C4" s="35" t="s">
        <v>443</v>
      </c>
      <c r="D4" s="35">
        <v>2568</v>
      </c>
      <c r="E4" s="35">
        <v>133</v>
      </c>
      <c r="F4" s="35">
        <v>2030</v>
      </c>
      <c r="G4" s="25">
        <v>1148.23</v>
      </c>
      <c r="H4" s="25">
        <v>861.47</v>
      </c>
      <c r="I4" s="25">
        <v>1388.17</v>
      </c>
      <c r="J4" s="25">
        <v>1229.04</v>
      </c>
      <c r="K4" s="25">
        <v>1437.94</v>
      </c>
      <c r="L4" s="25">
        <v>2024.71</v>
      </c>
      <c r="M4" s="25">
        <v>1453.5</v>
      </c>
      <c r="N4" s="25">
        <v>1784.52</v>
      </c>
      <c r="O4" s="25">
        <v>1662.58</v>
      </c>
      <c r="P4" s="25">
        <v>1362.05</v>
      </c>
      <c r="Q4" s="25">
        <v>741.41</v>
      </c>
      <c r="R4" s="25">
        <v>710.41</v>
      </c>
      <c r="S4" s="25">
        <v>458.61</v>
      </c>
      <c r="T4" s="25">
        <v>653.47</v>
      </c>
      <c r="U4" s="25">
        <v>1091.0899999999999</v>
      </c>
      <c r="V4" s="25">
        <v>1743.68</v>
      </c>
      <c r="W4" s="25">
        <v>1753.44</v>
      </c>
      <c r="X4" s="25">
        <v>2207.21</v>
      </c>
    </row>
    <row r="5" spans="1:24" x14ac:dyDescent="0.25">
      <c r="A5" s="35" t="s">
        <v>313</v>
      </c>
      <c r="B5" s="35">
        <v>5.16</v>
      </c>
      <c r="C5" s="35"/>
      <c r="D5" s="35"/>
      <c r="E5" s="35">
        <v>133</v>
      </c>
      <c r="F5" s="65">
        <v>46935</v>
      </c>
      <c r="G5" s="35"/>
      <c r="W5" s="252"/>
    </row>
    <row r="6" spans="1:24" x14ac:dyDescent="0.25">
      <c r="A6" s="35" t="s">
        <v>314</v>
      </c>
      <c r="B6" s="35">
        <v>1.98</v>
      </c>
      <c r="C6" s="35"/>
      <c r="D6" s="35"/>
      <c r="E6" s="35">
        <v>133</v>
      </c>
      <c r="F6" s="65">
        <v>46143</v>
      </c>
      <c r="G6" s="35"/>
      <c r="W6" s="252"/>
    </row>
    <row r="7" spans="1:24" x14ac:dyDescent="0.25">
      <c r="A7" s="35" t="s">
        <v>315</v>
      </c>
      <c r="B7" s="35">
        <v>0.98</v>
      </c>
      <c r="C7" s="35"/>
      <c r="D7" s="35"/>
      <c r="E7" s="35">
        <v>133</v>
      </c>
      <c r="F7" s="65">
        <v>46631</v>
      </c>
      <c r="G7" s="35"/>
      <c r="W7" s="252"/>
    </row>
    <row r="8" spans="1:24" x14ac:dyDescent="0.25">
      <c r="A8" s="35" t="s">
        <v>316</v>
      </c>
      <c r="B8" s="35">
        <v>24</v>
      </c>
      <c r="C8" s="35" t="s">
        <v>442</v>
      </c>
      <c r="D8" s="35">
        <v>3117</v>
      </c>
      <c r="E8" s="89" t="s">
        <v>524</v>
      </c>
      <c r="F8" s="90" t="s">
        <v>543</v>
      </c>
      <c r="G8" s="35">
        <v>0</v>
      </c>
      <c r="H8" s="25">
        <v>3461.85</v>
      </c>
      <c r="I8" s="25">
        <v>5710.95</v>
      </c>
      <c r="J8" s="25">
        <v>5080.91</v>
      </c>
      <c r="K8" s="25">
        <v>3935.21</v>
      </c>
      <c r="L8" s="25">
        <v>5045.51</v>
      </c>
      <c r="M8" s="25">
        <v>6698.63</v>
      </c>
      <c r="N8" s="25">
        <v>8645.9</v>
      </c>
      <c r="O8" s="25">
        <v>3982.24</v>
      </c>
      <c r="P8" s="25">
        <v>4393.7</v>
      </c>
      <c r="Q8" s="25">
        <v>2595.5500000000002</v>
      </c>
      <c r="R8" s="25">
        <v>3981.19</v>
      </c>
      <c r="S8" s="25">
        <v>7356.71</v>
      </c>
      <c r="T8" s="25">
        <v>6364.04</v>
      </c>
      <c r="U8" s="25">
        <v>2873</v>
      </c>
      <c r="V8" s="25">
        <v>1474.68</v>
      </c>
      <c r="W8" s="25">
        <v>514.65</v>
      </c>
      <c r="X8" s="25">
        <v>3649.6</v>
      </c>
    </row>
    <row r="9" spans="1:24" x14ac:dyDescent="0.25">
      <c r="A9" s="35" t="s">
        <v>317</v>
      </c>
      <c r="B9" s="35">
        <v>10.81</v>
      </c>
      <c r="C9" s="35"/>
      <c r="E9" s="89">
        <v>133</v>
      </c>
      <c r="F9" s="25">
        <v>2030</v>
      </c>
      <c r="G9" s="35"/>
      <c r="W9" s="252"/>
    </row>
    <row r="10" spans="1:24" x14ac:dyDescent="0.25">
      <c r="A10" s="35" t="s">
        <v>319</v>
      </c>
      <c r="B10" s="35">
        <v>8.3000000000000007</v>
      </c>
      <c r="C10" s="35"/>
      <c r="D10" s="35"/>
      <c r="E10" s="89">
        <v>133</v>
      </c>
      <c r="F10" s="65">
        <v>46631</v>
      </c>
      <c r="G10" s="35"/>
    </row>
    <row r="11" spans="1:24" x14ac:dyDescent="0.25">
      <c r="A11" s="35" t="s">
        <v>320</v>
      </c>
      <c r="B11" s="35">
        <v>10.1</v>
      </c>
      <c r="C11" s="35"/>
      <c r="D11" s="35"/>
      <c r="E11" s="89">
        <v>133</v>
      </c>
      <c r="F11" s="65">
        <v>46631</v>
      </c>
      <c r="G11" s="35"/>
    </row>
    <row r="12" spans="1:24" x14ac:dyDescent="0.25">
      <c r="A12" s="35" t="s">
        <v>321</v>
      </c>
      <c r="B12" s="35">
        <v>4.7</v>
      </c>
      <c r="C12" s="35"/>
      <c r="D12" s="35"/>
      <c r="E12" s="89">
        <v>133</v>
      </c>
      <c r="F12" s="65">
        <v>46143</v>
      </c>
      <c r="G12" s="35"/>
    </row>
    <row r="13" spans="1:24" x14ac:dyDescent="0.25">
      <c r="A13" s="35" t="s">
        <v>322</v>
      </c>
      <c r="B13" s="35">
        <v>8.1999999999999993</v>
      </c>
      <c r="C13" s="35"/>
      <c r="D13" s="35"/>
      <c r="E13" s="89">
        <v>133</v>
      </c>
      <c r="F13" s="65">
        <v>46631</v>
      </c>
      <c r="G13" s="35"/>
    </row>
    <row r="14" spans="1:24" x14ac:dyDescent="0.25">
      <c r="A14" s="35" t="s">
        <v>323</v>
      </c>
      <c r="B14" s="35">
        <v>7.1</v>
      </c>
      <c r="C14" s="35"/>
      <c r="D14" s="35"/>
      <c r="E14" s="89">
        <v>133</v>
      </c>
      <c r="F14" s="65">
        <v>46935</v>
      </c>
      <c r="G14" s="35"/>
    </row>
    <row r="15" spans="1:24" x14ac:dyDescent="0.25">
      <c r="A15" s="35" t="s">
        <v>324</v>
      </c>
      <c r="B15" s="35">
        <v>9.6</v>
      </c>
      <c r="C15" s="35"/>
      <c r="D15" s="35"/>
      <c r="E15" s="89">
        <v>133</v>
      </c>
      <c r="F15" s="65">
        <v>46935</v>
      </c>
      <c r="G15" s="35"/>
    </row>
    <row r="16" spans="1:24" x14ac:dyDescent="0.25">
      <c r="A16" s="35" t="s">
        <v>37</v>
      </c>
      <c r="B16" s="35">
        <f>SUM(B2:B15)</f>
        <v>146.17999999999998</v>
      </c>
      <c r="C16" s="35"/>
      <c r="D16" s="35"/>
      <c r="E16" s="35"/>
      <c r="F16" s="35"/>
      <c r="G16" s="25">
        <v>2810.91</v>
      </c>
      <c r="H16" s="25">
        <v>5429.53</v>
      </c>
      <c r="I16" s="25">
        <v>8960.9699999999993</v>
      </c>
      <c r="J16" s="25">
        <v>8219.85</v>
      </c>
      <c r="K16" s="25">
        <v>7568.27</v>
      </c>
      <c r="L16" s="25">
        <v>9595.06</v>
      </c>
      <c r="M16" s="25">
        <v>10730.12</v>
      </c>
      <c r="N16" s="25">
        <v>12985.37</v>
      </c>
      <c r="O16" s="25">
        <v>1662.58</v>
      </c>
      <c r="P16" s="25">
        <v>7697.11</v>
      </c>
      <c r="Q16" s="25">
        <v>4865.13</v>
      </c>
      <c r="R16" s="25">
        <v>5608.79</v>
      </c>
      <c r="S16" s="25">
        <v>8810.65</v>
      </c>
      <c r="T16" s="25">
        <v>7896.25</v>
      </c>
      <c r="U16" s="25">
        <v>4908.49</v>
      </c>
      <c r="V16" s="25">
        <v>4393.7299999999996</v>
      </c>
      <c r="W16" s="25">
        <v>4097.25</v>
      </c>
      <c r="X16" s="25">
        <v>7724.9</v>
      </c>
    </row>
    <row r="19" spans="1:24" x14ac:dyDescent="0.25">
      <c r="S19" s="40">
        <f>(SUM(S2,S4)/SUM(G2,G4))-1</f>
        <v>-0.48275113753197363</v>
      </c>
      <c r="T19" s="40">
        <f>(SUM(T2,T4)/SUM(H2,H4))-1</f>
        <v>-0.22131139209627582</v>
      </c>
      <c r="U19" s="40">
        <f>(SUM(U2,U4)/SUM(I2,I4))-1</f>
        <v>-0.37369923877391531</v>
      </c>
      <c r="V19" s="40">
        <f>(SUM(V2,V4)/SUM(J2,J4))-1</f>
        <v>-7.0052310652640615E-2</v>
      </c>
      <c r="W19" s="40">
        <f t="shared" ref="W19:X19" si="0">(SUM(W2,W4)/SUM(K2,K4))-1</f>
        <v>-1.3889118263942679E-2</v>
      </c>
      <c r="X19" s="40">
        <f t="shared" si="0"/>
        <v>-2.9701838643382383E-2</v>
      </c>
    </row>
    <row r="20" spans="1:24" x14ac:dyDescent="0.25">
      <c r="A20" s="34" t="s">
        <v>534</v>
      </c>
      <c r="S20" s="40"/>
      <c r="T20" s="40">
        <f>(SUM(S2:T2,S4:T4)/SUM(G2:H2,G4:H4))-1</f>
        <v>-0.37509809378917203</v>
      </c>
      <c r="U20" s="40">
        <f>(SUM(S2:U2,S4:U4)/SUM(G2:I2,G4:I4))-1</f>
        <v>-0.37453183054102757</v>
      </c>
      <c r="V20" s="40">
        <f>(SUM(S2:V2,S4:V4)/SUM(G2:J2,G4:J4))-1</f>
        <v>-0.28894968009993227</v>
      </c>
      <c r="W20" s="40">
        <f>(SUM(S2:W2,S4:W4)/SUM(G2:K2,G4:K4))-1</f>
        <v>-0.22143141397550492</v>
      </c>
      <c r="X20" s="40">
        <f>(SUM(S2:X2,S4:X4)/SUM(G2:L2,G4:L4))-1</f>
        <v>-0.17635254695568392</v>
      </c>
    </row>
    <row r="21" spans="1:24" x14ac:dyDescent="0.25">
      <c r="A21" s="34" t="s">
        <v>535</v>
      </c>
      <c r="S21" s="40" t="s">
        <v>543</v>
      </c>
      <c r="T21" s="40">
        <f>(T8/H8)-1</f>
        <v>0.83833499429495784</v>
      </c>
      <c r="U21" s="40">
        <f>(U8/I8)-1</f>
        <v>-0.49693133366602749</v>
      </c>
      <c r="V21" s="40">
        <f>(V8/J8)-1</f>
        <v>-0.70976065311135206</v>
      </c>
      <c r="W21" s="40">
        <f t="shared" ref="W21:X21" si="1">(W8/K8)-1</f>
        <v>-0.86921917762965639</v>
      </c>
      <c r="X21" s="40">
        <f t="shared" si="1"/>
        <v>-0.27666380603744722</v>
      </c>
    </row>
    <row r="22" spans="1:24" x14ac:dyDescent="0.25">
      <c r="A22" s="34" t="s">
        <v>531</v>
      </c>
      <c r="S22" s="40"/>
      <c r="T22" s="40">
        <f>(SUM(S8:T8)/SUM(G8:H8))-1</f>
        <v>2.9634155148258881</v>
      </c>
      <c r="U22" s="40">
        <f>(SUM(S8:U8)/SUM(G8:I8))-1</f>
        <v>0.80901687598116179</v>
      </c>
      <c r="V22" s="40">
        <f>(SUM(S8:V8)/SUM(G8:J8))-1</f>
        <v>0.26762997142498346</v>
      </c>
      <c r="W22" s="40">
        <f>(SUM(S8:W8)/SUM(G8:K8))-1</f>
        <v>2.1670335566927657E-2</v>
      </c>
      <c r="X22" s="40">
        <f>(SUM(S8:X8)/SUM(G8:L8))-1</f>
        <v>-4.3114894576712248E-2</v>
      </c>
    </row>
    <row r="23" spans="1:24" x14ac:dyDescent="0.25">
      <c r="A23" s="34" t="s">
        <v>533</v>
      </c>
      <c r="S23" s="40">
        <f>(S16/G16)-1</f>
        <v>2.1344475632446431</v>
      </c>
      <c r="T23" s="40">
        <f>(T16/H16)-1</f>
        <v>0.45431556690910635</v>
      </c>
      <c r="U23" s="40">
        <f>(U16/I16)-1</f>
        <v>-0.45223675561909038</v>
      </c>
      <c r="V23" s="40">
        <f>(V16/J16)-1</f>
        <v>-0.46547321423140331</v>
      </c>
      <c r="W23" s="40">
        <f t="shared" ref="W23:X23" si="2">(W16/K16)-1</f>
        <v>-0.4586279295004011</v>
      </c>
      <c r="X23" s="40">
        <f t="shared" si="2"/>
        <v>-0.1949086300658881</v>
      </c>
    </row>
    <row r="24" spans="1:24" x14ac:dyDescent="0.25">
      <c r="A24" s="34" t="s">
        <v>529</v>
      </c>
      <c r="S24" s="40"/>
      <c r="T24" s="40">
        <f>(SUM(S16:T16)/SUM(G16:H16))-1</f>
        <v>1.0274281470406925</v>
      </c>
      <c r="U24" s="40">
        <f>(SUM(S16:U16)/SUM(G16:I16))-1</f>
        <v>0.25660570848552555</v>
      </c>
      <c r="V24" s="40">
        <f>(SUM(S16:V16)/SUM(G16:J16))-1</f>
        <v>2.3124738899645614E-2</v>
      </c>
      <c r="W24" s="40">
        <f>(SUM(S16:W16)/SUM(G16:K16))-1</f>
        <v>-8.7396213283426616E-2</v>
      </c>
      <c r="X24" s="40">
        <f>(SUM(S16:X16)/SUM(G16:L16))-1</f>
        <v>-0.11162065902243046</v>
      </c>
    </row>
    <row r="25" spans="1:24" x14ac:dyDescent="0.25">
      <c r="A25" s="34" t="s">
        <v>530</v>
      </c>
    </row>
    <row r="27" spans="1:24" x14ac:dyDescent="0.25">
      <c r="A27" s="34" t="s">
        <v>667</v>
      </c>
      <c r="B27" s="25" t="s">
        <v>683</v>
      </c>
      <c r="C27" s="25" t="s">
        <v>684</v>
      </c>
      <c r="D27" s="25" t="s">
        <v>685</v>
      </c>
      <c r="E27" s="25" t="s">
        <v>686</v>
      </c>
      <c r="F27" s="25" t="s">
        <v>687</v>
      </c>
      <c r="G27" s="25" t="s">
        <v>484</v>
      </c>
      <c r="H27" s="25" t="s">
        <v>485</v>
      </c>
      <c r="I27" s="25" t="s">
        <v>486</v>
      </c>
      <c r="J27" s="25" t="s">
        <v>487</v>
      </c>
      <c r="K27" s="25" t="s">
        <v>488</v>
      </c>
      <c r="L27" s="25" t="s">
        <v>489</v>
      </c>
      <c r="M27" s="25" t="s">
        <v>490</v>
      </c>
      <c r="N27" s="25" t="s">
        <v>491</v>
      </c>
      <c r="O27" s="25" t="s">
        <v>492</v>
      </c>
      <c r="P27" s="25" t="s">
        <v>493</v>
      </c>
      <c r="Q27" s="25" t="s">
        <v>494</v>
      </c>
      <c r="R27" s="25" t="s">
        <v>495</v>
      </c>
      <c r="S27" s="25" t="s">
        <v>496</v>
      </c>
      <c r="T27" s="25" t="s">
        <v>497</v>
      </c>
      <c r="U27" s="25" t="s">
        <v>574</v>
      </c>
      <c r="V27" s="25" t="s">
        <v>731</v>
      </c>
      <c r="W27" s="25" t="s">
        <v>732</v>
      </c>
      <c r="X27" s="25" t="s">
        <v>733</v>
      </c>
    </row>
    <row r="28" spans="1:24" x14ac:dyDescent="0.25">
      <c r="A28" s="34" t="s">
        <v>311</v>
      </c>
      <c r="G28" s="107">
        <f t="shared" ref="G28:X28" si="3">$E$2*G2</f>
        <v>221136.44</v>
      </c>
      <c r="H28" s="107">
        <f t="shared" si="3"/>
        <v>147125.93</v>
      </c>
      <c r="I28" s="107">
        <f t="shared" si="3"/>
        <v>247626.05</v>
      </c>
      <c r="J28" s="107">
        <f t="shared" si="3"/>
        <v>254016.7</v>
      </c>
      <c r="K28" s="107">
        <f t="shared" si="3"/>
        <v>291950.95999999996</v>
      </c>
      <c r="L28" s="107">
        <f t="shared" si="3"/>
        <v>335803.72000000003</v>
      </c>
      <c r="M28" s="107">
        <f t="shared" si="3"/>
        <v>342872.67</v>
      </c>
      <c r="N28" s="107">
        <f t="shared" si="3"/>
        <v>339808.35</v>
      </c>
      <c r="O28" s="107">
        <f t="shared" si="3"/>
        <v>291385.70999999996</v>
      </c>
      <c r="P28" s="107">
        <f t="shared" si="3"/>
        <v>258200.87999999998</v>
      </c>
      <c r="Q28" s="107">
        <f t="shared" si="3"/>
        <v>203246.61000000002</v>
      </c>
      <c r="R28" s="107">
        <f t="shared" si="3"/>
        <v>121986.27</v>
      </c>
      <c r="S28" s="107">
        <f t="shared" si="3"/>
        <v>132378.89000000001</v>
      </c>
      <c r="T28" s="107">
        <f t="shared" si="3"/>
        <v>116872.42</v>
      </c>
      <c r="U28" s="107">
        <f t="shared" si="3"/>
        <v>125605.2</v>
      </c>
      <c r="V28" s="107">
        <f t="shared" si="3"/>
        <v>156324.21</v>
      </c>
      <c r="W28" s="107">
        <f t="shared" si="3"/>
        <v>243278.28</v>
      </c>
      <c r="X28" s="107">
        <f t="shared" si="3"/>
        <v>293558.93</v>
      </c>
    </row>
    <row r="29" spans="1:24" x14ac:dyDescent="0.25">
      <c r="A29" s="34" t="s">
        <v>318</v>
      </c>
      <c r="G29" s="107">
        <f t="shared" ref="G29:X29" si="4">$E$4*G4</f>
        <v>152714.59</v>
      </c>
      <c r="H29" s="107">
        <f t="shared" si="4"/>
        <v>114575.51000000001</v>
      </c>
      <c r="I29" s="107">
        <f t="shared" si="4"/>
        <v>184626.61000000002</v>
      </c>
      <c r="J29" s="107">
        <f t="shared" si="4"/>
        <v>163462.32</v>
      </c>
      <c r="K29" s="107">
        <f t="shared" si="4"/>
        <v>191246.02000000002</v>
      </c>
      <c r="L29" s="107">
        <f t="shared" si="4"/>
        <v>269286.43</v>
      </c>
      <c r="M29" s="107">
        <f t="shared" si="4"/>
        <v>193315.5</v>
      </c>
      <c r="N29" s="107">
        <f t="shared" si="4"/>
        <v>237341.16</v>
      </c>
      <c r="O29" s="107">
        <f t="shared" si="4"/>
        <v>221123.13999999998</v>
      </c>
      <c r="P29" s="107">
        <f t="shared" si="4"/>
        <v>181152.65</v>
      </c>
      <c r="Q29" s="107">
        <f t="shared" si="4"/>
        <v>98607.53</v>
      </c>
      <c r="R29" s="107">
        <f t="shared" si="4"/>
        <v>94484.53</v>
      </c>
      <c r="S29" s="107">
        <f t="shared" si="4"/>
        <v>60995.130000000005</v>
      </c>
      <c r="T29" s="107">
        <f t="shared" si="4"/>
        <v>86911.510000000009</v>
      </c>
      <c r="U29" s="107">
        <f t="shared" si="4"/>
        <v>145114.97</v>
      </c>
      <c r="V29" s="107">
        <f>$E$4*V4</f>
        <v>231909.44</v>
      </c>
      <c r="W29" s="107">
        <f t="shared" si="4"/>
        <v>233207.52000000002</v>
      </c>
      <c r="X29" s="107">
        <f t="shared" si="4"/>
        <v>293558.93</v>
      </c>
    </row>
    <row r="30" spans="1:24" x14ac:dyDescent="0.25">
      <c r="A30" s="34" t="s">
        <v>316</v>
      </c>
      <c r="G30" s="107">
        <f>G39*0</f>
        <v>0</v>
      </c>
      <c r="H30" s="107">
        <f t="shared" ref="H30:U30" si="5">H39*H8</f>
        <v>240702.43049999999</v>
      </c>
      <c r="I30" s="107">
        <f t="shared" si="5"/>
        <v>341286.37199999997</v>
      </c>
      <c r="J30" s="107">
        <f t="shared" si="5"/>
        <v>333002.84140000003</v>
      </c>
      <c r="K30" s="107">
        <f t="shared" si="5"/>
        <v>251971.4963</v>
      </c>
      <c r="L30" s="107">
        <f t="shared" si="5"/>
        <v>287341.79450000002</v>
      </c>
      <c r="M30" s="107">
        <f t="shared" si="5"/>
        <v>498110.12680000003</v>
      </c>
      <c r="N30" s="107">
        <f t="shared" si="5"/>
        <v>627087.12699999998</v>
      </c>
      <c r="O30" s="107">
        <f t="shared" si="5"/>
        <v>267327.77119999996</v>
      </c>
      <c r="P30" s="107">
        <f t="shared" si="5"/>
        <v>291214.43599999999</v>
      </c>
      <c r="Q30" s="107">
        <f t="shared" si="5"/>
        <v>173356.78450000004</v>
      </c>
      <c r="R30" s="107">
        <f t="shared" si="5"/>
        <v>281072.01399999997</v>
      </c>
      <c r="S30" s="107">
        <f t="shared" si="5"/>
        <v>500256.28</v>
      </c>
      <c r="T30" s="107">
        <f t="shared" si="5"/>
        <v>313047.12760000001</v>
      </c>
      <c r="U30" s="107">
        <f t="shared" si="5"/>
        <v>112707.79</v>
      </c>
      <c r="V30" s="107">
        <f t="shared" ref="V30:X30" si="6">V39*V8</f>
        <v>35333.332800000004</v>
      </c>
      <c r="W30" s="107">
        <f t="shared" si="6"/>
        <v>9042.4004999999997</v>
      </c>
      <c r="X30" s="107">
        <f t="shared" si="6"/>
        <v>106130.36799999999</v>
      </c>
    </row>
    <row r="31" spans="1:24" x14ac:dyDescent="0.25">
      <c r="A31" s="34" t="s">
        <v>37</v>
      </c>
      <c r="G31" s="107">
        <f t="shared" ref="G31:U31" si="7">SUM(G28:G30)</f>
        <v>373851.03</v>
      </c>
      <c r="H31" s="107">
        <f t="shared" si="7"/>
        <v>502403.87049999996</v>
      </c>
      <c r="I31" s="107">
        <f t="shared" si="7"/>
        <v>773539.03200000001</v>
      </c>
      <c r="J31" s="107">
        <f t="shared" si="7"/>
        <v>750481.86140000005</v>
      </c>
      <c r="K31" s="107">
        <f t="shared" si="7"/>
        <v>735168.47629999998</v>
      </c>
      <c r="L31" s="107">
        <f t="shared" si="7"/>
        <v>892431.94449999998</v>
      </c>
      <c r="M31" s="107">
        <f t="shared" si="7"/>
        <v>1034298.2967999999</v>
      </c>
      <c r="N31" s="107">
        <f t="shared" si="7"/>
        <v>1204236.6370000001</v>
      </c>
      <c r="O31" s="107">
        <f t="shared" si="7"/>
        <v>779836.62119999994</v>
      </c>
      <c r="P31" s="107">
        <f t="shared" si="7"/>
        <v>730567.96600000001</v>
      </c>
      <c r="Q31" s="107">
        <f t="shared" si="7"/>
        <v>475210.92450000008</v>
      </c>
      <c r="R31" s="107">
        <f t="shared" si="7"/>
        <v>497542.81399999995</v>
      </c>
      <c r="S31" s="107">
        <f t="shared" si="7"/>
        <v>693630.3</v>
      </c>
      <c r="T31" s="107">
        <f t="shared" si="7"/>
        <v>516831.0576</v>
      </c>
      <c r="U31" s="107">
        <f t="shared" si="7"/>
        <v>383427.95999999996</v>
      </c>
      <c r="V31" s="107">
        <f t="shared" ref="V31:X31" si="8">SUM(V28:V30)</f>
        <v>423566.9828</v>
      </c>
      <c r="W31" s="107">
        <f t="shared" si="8"/>
        <v>485528.20050000004</v>
      </c>
      <c r="X31" s="107">
        <f t="shared" si="8"/>
        <v>693248.228</v>
      </c>
    </row>
    <row r="33" spans="1:24" x14ac:dyDescent="0.25">
      <c r="A33" s="34" t="s">
        <v>676</v>
      </c>
      <c r="I33" s="107">
        <f>SUM(G31:I31)</f>
        <v>1649793.9325000001</v>
      </c>
      <c r="J33" s="107"/>
      <c r="K33" s="107"/>
      <c r="L33" s="107">
        <f>SUM(J31:L31)</f>
        <v>2378082.2822000002</v>
      </c>
      <c r="M33" s="107"/>
      <c r="N33" s="107"/>
      <c r="O33" s="107">
        <f>SUM(M31:O31)</f>
        <v>3018371.5549999997</v>
      </c>
      <c r="P33" s="107"/>
      <c r="Q33" s="107"/>
      <c r="R33" s="107">
        <f>SUM(P31:R31)</f>
        <v>1703321.7045000002</v>
      </c>
      <c r="S33" s="107"/>
      <c r="T33" s="107"/>
      <c r="U33" s="107">
        <f>SUM(S31:U31)</f>
        <v>1593889.3176</v>
      </c>
      <c r="X33" s="107">
        <f>SUM(V31:X31)</f>
        <v>1602343.4113</v>
      </c>
    </row>
    <row r="34" spans="1:24" x14ac:dyDescent="0.25">
      <c r="A34" s="34" t="s">
        <v>677</v>
      </c>
      <c r="L34" s="40">
        <f>(L33/I33)-1</f>
        <v>0.44144201003115291</v>
      </c>
      <c r="M34" s="40"/>
      <c r="N34" s="40"/>
      <c r="O34" s="40">
        <f>(O33/L33)-1</f>
        <v>0.26924605493787124</v>
      </c>
      <c r="P34" s="40"/>
      <c r="Q34" s="40"/>
      <c r="R34" s="40">
        <f>(R33/O33)-1</f>
        <v>-0.43568189884429243</v>
      </c>
      <c r="S34" s="40"/>
      <c r="T34" s="40"/>
      <c r="U34" s="40">
        <f>(U33/R33)-1</f>
        <v>-6.4246458323692579E-2</v>
      </c>
      <c r="X34" s="40">
        <f>(X33/U33)-1</f>
        <v>5.3040657256739898E-3</v>
      </c>
    </row>
    <row r="35" spans="1:24" x14ac:dyDescent="0.25">
      <c r="A35" s="34" t="s">
        <v>678</v>
      </c>
      <c r="L35" s="40"/>
      <c r="M35" s="40"/>
      <c r="N35" s="40"/>
      <c r="O35" s="40"/>
      <c r="P35" s="40"/>
      <c r="Q35" s="40"/>
      <c r="R35" s="40"/>
      <c r="S35" s="40"/>
      <c r="T35" s="40"/>
      <c r="U35" s="40">
        <f>(U33/I33)-1</f>
        <v>-3.3885816766998089E-2</v>
      </c>
      <c r="X35" s="40">
        <f>(X33/L33)-1</f>
        <v>-0.3262035450608346</v>
      </c>
    </row>
    <row r="38" spans="1:24" x14ac:dyDescent="0.25">
      <c r="A38" s="25" t="s">
        <v>576</v>
      </c>
      <c r="G38" s="25" t="s">
        <v>484</v>
      </c>
      <c r="H38" s="25" t="s">
        <v>485</v>
      </c>
      <c r="I38" s="25" t="s">
        <v>486</v>
      </c>
      <c r="J38" s="25" t="s">
        <v>487</v>
      </c>
      <c r="K38" s="25" t="s">
        <v>488</v>
      </c>
      <c r="L38" s="25" t="s">
        <v>489</v>
      </c>
      <c r="M38" s="25" t="s">
        <v>490</v>
      </c>
      <c r="N38" s="25" t="s">
        <v>491</v>
      </c>
      <c r="O38" s="25" t="s">
        <v>492</v>
      </c>
      <c r="P38" s="25" t="s">
        <v>493</v>
      </c>
      <c r="Q38" s="25" t="s">
        <v>494</v>
      </c>
      <c r="R38" s="25" t="s">
        <v>495</v>
      </c>
      <c r="S38" s="25" t="s">
        <v>496</v>
      </c>
      <c r="T38" s="25" t="s">
        <v>497</v>
      </c>
      <c r="U38" s="25" t="s">
        <v>574</v>
      </c>
      <c r="V38" s="25" t="s">
        <v>731</v>
      </c>
      <c r="W38" s="25" t="s">
        <v>732</v>
      </c>
      <c r="X38" s="25" t="s">
        <v>733</v>
      </c>
    </row>
    <row r="39" spans="1:24" x14ac:dyDescent="0.25">
      <c r="A39" s="24" t="s">
        <v>573</v>
      </c>
      <c r="G39" s="62">
        <f>PTF!B8</f>
        <v>71.64</v>
      </c>
      <c r="H39" s="62">
        <f>PTF!C8</f>
        <v>69.53</v>
      </c>
      <c r="I39" s="62">
        <f>PTF!D8</f>
        <v>59.76</v>
      </c>
      <c r="J39" s="62">
        <f>PTF!E8</f>
        <v>65.540000000000006</v>
      </c>
      <c r="K39" s="62">
        <f>PTF!F8</f>
        <v>64.03</v>
      </c>
      <c r="L39" s="62">
        <f>PTF!G8</f>
        <v>56.95</v>
      </c>
      <c r="M39" s="62">
        <f>PTF!H8</f>
        <v>74.36</v>
      </c>
      <c r="N39" s="62">
        <f>PTF!I8</f>
        <v>72.53</v>
      </c>
      <c r="O39" s="62">
        <f>PTF!J8</f>
        <v>67.13</v>
      </c>
      <c r="P39" s="62">
        <f>PTF!K8</f>
        <v>66.28</v>
      </c>
      <c r="Q39" s="62">
        <f>PTF!L8</f>
        <v>66.790000000000006</v>
      </c>
      <c r="R39" s="62">
        <f>PTF!M8</f>
        <v>70.599999999999994</v>
      </c>
      <c r="S39" s="62">
        <f>PTF!N8</f>
        <v>68</v>
      </c>
      <c r="T39" s="62">
        <f>PTF!O8</f>
        <v>49.19</v>
      </c>
      <c r="U39" s="62">
        <f>PTF!P8</f>
        <v>39.229999999999997</v>
      </c>
      <c r="V39" s="62">
        <f>PTF!Q8</f>
        <v>23.96</v>
      </c>
      <c r="W39" s="62">
        <f>PTF!R8</f>
        <v>17.57</v>
      </c>
      <c r="X39" s="62">
        <f>PTF!S8</f>
        <v>29.08</v>
      </c>
    </row>
    <row r="41" spans="1:24" x14ac:dyDescent="0.25">
      <c r="A41" s="34" t="s">
        <v>681</v>
      </c>
      <c r="B41" s="25" t="s">
        <v>683</v>
      </c>
      <c r="C41" s="25" t="s">
        <v>684</v>
      </c>
      <c r="D41" s="25" t="s">
        <v>685</v>
      </c>
      <c r="E41" s="25" t="s">
        <v>686</v>
      </c>
      <c r="F41" s="25" t="s">
        <v>687</v>
      </c>
      <c r="G41" s="25" t="s">
        <v>484</v>
      </c>
      <c r="H41" s="25" t="s">
        <v>485</v>
      </c>
      <c r="I41" s="25" t="s">
        <v>486</v>
      </c>
      <c r="J41" s="25" t="s">
        <v>487</v>
      </c>
      <c r="K41" s="25" t="s">
        <v>488</v>
      </c>
      <c r="L41" s="25" t="s">
        <v>489</v>
      </c>
      <c r="M41" s="25" t="s">
        <v>490</v>
      </c>
      <c r="N41" s="25" t="s">
        <v>491</v>
      </c>
      <c r="O41" s="25" t="s">
        <v>492</v>
      </c>
      <c r="P41" s="25" t="s">
        <v>493</v>
      </c>
      <c r="Q41" s="25" t="s">
        <v>494</v>
      </c>
      <c r="R41" s="25" t="s">
        <v>495</v>
      </c>
      <c r="S41" s="25" t="s">
        <v>496</v>
      </c>
      <c r="T41" s="25" t="s">
        <v>497</v>
      </c>
      <c r="U41" s="25" t="s">
        <v>574</v>
      </c>
      <c r="V41" s="25" t="s">
        <v>731</v>
      </c>
      <c r="W41" s="25" t="s">
        <v>732</v>
      </c>
      <c r="X41" s="25" t="s">
        <v>733</v>
      </c>
    </row>
    <row r="42" spans="1:24" x14ac:dyDescent="0.25">
      <c r="A42" s="34" t="s">
        <v>311</v>
      </c>
      <c r="G42" s="107">
        <f>$G$52*G28</f>
        <v>7845920.8911999995</v>
      </c>
      <c r="H42" s="107">
        <f>$H$52*H28</f>
        <v>5314188.591599999</v>
      </c>
      <c r="I42" s="107">
        <f>$I$52*I28</f>
        <v>9172068.8919999991</v>
      </c>
      <c r="J42" s="107">
        <f>$J$52*J28</f>
        <v>9665335.4350000005</v>
      </c>
      <c r="K42" s="107">
        <f>$K$52*K28</f>
        <v>11304341.171199998</v>
      </c>
      <c r="L42" s="107">
        <f>$L$52*L28</f>
        <v>13220592.4564</v>
      </c>
      <c r="M42" s="107">
        <f>$M$52*M28</f>
        <v>13762908.9738</v>
      </c>
      <c r="N42" s="107">
        <f>$N$52*N28</f>
        <v>13847190.262499999</v>
      </c>
      <c r="O42" s="107">
        <f>$O$52*O28</f>
        <v>12016746.680399999</v>
      </c>
      <c r="P42" s="107">
        <f>$P$52*P28</f>
        <v>10779886.739999998</v>
      </c>
      <c r="Q42" s="107">
        <f>$Q$52*Q28</f>
        <v>8577006.9420000017</v>
      </c>
      <c r="R42" s="107">
        <f>$R$52*R28</f>
        <v>5197834.9647000004</v>
      </c>
      <c r="S42" s="107">
        <f>$S$52*S28</f>
        <v>5710825.3146000011</v>
      </c>
      <c r="T42" s="107">
        <f>$T$52*T28</f>
        <v>5096806.2362000002</v>
      </c>
      <c r="U42" s="107">
        <f>$U$52*U28</f>
        <v>5539189.3200000003</v>
      </c>
      <c r="V42" s="107">
        <f t="shared" ref="V42:X42" si="9">$U$52*V28</f>
        <v>6893897.6610000003</v>
      </c>
      <c r="W42" s="107">
        <f t="shared" si="9"/>
        <v>10728572.148</v>
      </c>
      <c r="X42" s="107">
        <f t="shared" si="9"/>
        <v>12945948.813000001</v>
      </c>
    </row>
    <row r="43" spans="1:24" x14ac:dyDescent="0.25">
      <c r="A43" s="34" t="s">
        <v>318</v>
      </c>
      <c r="G43" s="107">
        <f>$G$52*G29</f>
        <v>5418313.6531999996</v>
      </c>
      <c r="H43" s="107">
        <f>$H$52*H29</f>
        <v>4138467.4212000002</v>
      </c>
      <c r="I43" s="107">
        <f>$I$52*I29</f>
        <v>6838569.6344000008</v>
      </c>
      <c r="J43" s="107">
        <f>$J$52*J29</f>
        <v>6219741.2759999996</v>
      </c>
      <c r="K43" s="107">
        <f>$K$52*K29</f>
        <v>7405045.8944000006</v>
      </c>
      <c r="L43" s="107">
        <f>$L$52*L29</f>
        <v>10601806.7491</v>
      </c>
      <c r="M43" s="107">
        <f>$M$52*M29</f>
        <v>7759684.1699999999</v>
      </c>
      <c r="N43" s="107">
        <f>$N$52*N29</f>
        <v>9671652.2699999996</v>
      </c>
      <c r="O43" s="107">
        <f>$O$52*O29</f>
        <v>9119118.2936000004</v>
      </c>
      <c r="P43" s="107">
        <f>$P$52*P29</f>
        <v>7563123.1375000002</v>
      </c>
      <c r="Q43" s="107">
        <f>$Q$52*Q29</f>
        <v>4161237.7660000003</v>
      </c>
      <c r="R43" s="107">
        <f>$R$52*R29</f>
        <v>4025985.8232999998</v>
      </c>
      <c r="S43" s="107">
        <f>$S$52*S29</f>
        <v>2631329.9082000004</v>
      </c>
      <c r="T43" s="107">
        <f>$T$52*T29</f>
        <v>3790210.9511000002</v>
      </c>
      <c r="U43" s="107">
        <f>$U$52*U29</f>
        <v>6399570.1770000001</v>
      </c>
      <c r="V43" s="107">
        <f t="shared" ref="V43:X43" si="10">$U$52*V29</f>
        <v>10227206.304</v>
      </c>
      <c r="W43" s="107">
        <f t="shared" si="10"/>
        <v>10284451.632000001</v>
      </c>
      <c r="X43" s="107">
        <f t="shared" si="10"/>
        <v>12945948.813000001</v>
      </c>
    </row>
    <row r="44" spans="1:24" x14ac:dyDescent="0.25">
      <c r="A44" s="34" t="s">
        <v>316</v>
      </c>
      <c r="G44" s="107">
        <f>$G$52*G30</f>
        <v>0</v>
      </c>
      <c r="H44" s="107">
        <f>$H$52*H30</f>
        <v>8694171.7896599993</v>
      </c>
      <c r="I44" s="107">
        <f>$I$52*I30</f>
        <v>12641247.21888</v>
      </c>
      <c r="J44" s="107">
        <f>$J$52*J30</f>
        <v>12670758.11527</v>
      </c>
      <c r="K44" s="107">
        <f>$K$52*K30</f>
        <v>9756336.3367359992</v>
      </c>
      <c r="L44" s="107">
        <f>$L$52*L30</f>
        <v>11312646.449464999</v>
      </c>
      <c r="M44" s="107">
        <f>$M$52*M30</f>
        <v>19994140.489752002</v>
      </c>
      <c r="N44" s="107">
        <f>$N$52*N30</f>
        <v>25553800.425249998</v>
      </c>
      <c r="O44" s="107">
        <f>$O$52*O30</f>
        <v>11024597.284287998</v>
      </c>
      <c r="P44" s="107">
        <f>$P$52*P30</f>
        <v>12158202.703</v>
      </c>
      <c r="Q44" s="107">
        <f>$Q$52*Q30</f>
        <v>7315656.3059000019</v>
      </c>
      <c r="R44" s="107">
        <f>$R$52*R30</f>
        <v>11976478.516539998</v>
      </c>
      <c r="S44" s="107">
        <f>$S$52*S30</f>
        <v>21581055.919200003</v>
      </c>
      <c r="T44" s="107">
        <f>$T$52*T30</f>
        <v>13651985.234635999</v>
      </c>
      <c r="U44" s="107">
        <f>$U$52*U30</f>
        <v>4970413.5389999999</v>
      </c>
      <c r="V44" s="107">
        <f t="shared" ref="V44:X44" si="11">$U$52*V30</f>
        <v>1558199.9764800002</v>
      </c>
      <c r="W44" s="107">
        <f t="shared" si="11"/>
        <v>398769.86205</v>
      </c>
      <c r="X44" s="107">
        <f t="shared" si="11"/>
        <v>4680349.2287999997</v>
      </c>
    </row>
    <row r="45" spans="1:24" x14ac:dyDescent="0.25">
      <c r="A45" s="34" t="s">
        <v>37</v>
      </c>
      <c r="G45" s="107">
        <f t="shared" ref="G45:U45" si="12">SUM(G42:G44)</f>
        <v>13264234.544399999</v>
      </c>
      <c r="H45" s="107">
        <f t="shared" si="12"/>
        <v>18146827.80246</v>
      </c>
      <c r="I45" s="107">
        <f t="shared" si="12"/>
        <v>28651885.745279998</v>
      </c>
      <c r="J45" s="107">
        <f t="shared" si="12"/>
        <v>28555834.826269999</v>
      </c>
      <c r="K45" s="107">
        <f t="shared" si="12"/>
        <v>28465723.402336001</v>
      </c>
      <c r="L45" s="107">
        <f t="shared" si="12"/>
        <v>35135045.654964998</v>
      </c>
      <c r="M45" s="107">
        <f t="shared" si="12"/>
        <v>41516733.633552</v>
      </c>
      <c r="N45" s="107">
        <f t="shared" si="12"/>
        <v>49072642.957749993</v>
      </c>
      <c r="O45" s="107">
        <f t="shared" si="12"/>
        <v>32160462.258287996</v>
      </c>
      <c r="P45" s="107">
        <f t="shared" si="12"/>
        <v>30501212.580499999</v>
      </c>
      <c r="Q45" s="107">
        <f t="shared" si="12"/>
        <v>20053901.013900004</v>
      </c>
      <c r="R45" s="107">
        <f t="shared" si="12"/>
        <v>21200299.304540001</v>
      </c>
      <c r="S45" s="107">
        <f t="shared" si="12"/>
        <v>29923211.142000005</v>
      </c>
      <c r="T45" s="107">
        <f t="shared" si="12"/>
        <v>22539002.421935998</v>
      </c>
      <c r="U45" s="107">
        <f t="shared" si="12"/>
        <v>16909173.036000002</v>
      </c>
      <c r="V45" s="107">
        <f t="shared" ref="V45:X45" si="13">SUM(V42:V44)</f>
        <v>18679303.94148</v>
      </c>
      <c r="W45" s="107">
        <f t="shared" si="13"/>
        <v>21411793.642050002</v>
      </c>
      <c r="X45" s="107">
        <f t="shared" si="13"/>
        <v>30572246.854800001</v>
      </c>
    </row>
    <row r="46" spans="1:24" x14ac:dyDescent="0.25">
      <c r="G46" s="62"/>
      <c r="H46" s="62"/>
      <c r="I46" s="62"/>
      <c r="J46" s="62"/>
      <c r="K46" s="62"/>
      <c r="L46" s="62"/>
      <c r="M46" s="62"/>
      <c r="N46" s="62"/>
      <c r="O46" s="62"/>
      <c r="P46" s="62"/>
      <c r="Q46" s="62"/>
      <c r="R46" s="62"/>
      <c r="S46" s="62"/>
      <c r="T46" s="62"/>
      <c r="U46" s="62"/>
    </row>
    <row r="47" spans="1:24" x14ac:dyDescent="0.25">
      <c r="A47" s="34" t="s">
        <v>682</v>
      </c>
      <c r="G47" s="62"/>
      <c r="H47" s="62"/>
      <c r="I47" s="107">
        <f>SUM(G45:I45)</f>
        <v>60062948.092139997</v>
      </c>
      <c r="J47" s="107"/>
      <c r="K47" s="107"/>
      <c r="L47" s="107">
        <f>SUM(J45:L45)</f>
        <v>92156603.883570999</v>
      </c>
      <c r="M47" s="107"/>
      <c r="N47" s="107"/>
      <c r="O47" s="107">
        <f>SUM(M45:O45)</f>
        <v>122749838.84958999</v>
      </c>
      <c r="P47" s="107"/>
      <c r="Q47" s="107"/>
      <c r="R47" s="107">
        <f>SUM(P45:R45)</f>
        <v>71755412.898939997</v>
      </c>
      <c r="S47" s="107"/>
      <c r="T47" s="107"/>
      <c r="U47" s="107">
        <f>SUM(S45:U45)</f>
        <v>69371386.599936008</v>
      </c>
      <c r="X47" s="107">
        <f>SUM(V45:X45)</f>
        <v>70663344.438329995</v>
      </c>
    </row>
    <row r="48" spans="1:24" x14ac:dyDescent="0.25">
      <c r="A48" s="34" t="s">
        <v>677</v>
      </c>
      <c r="G48" s="62"/>
      <c r="H48" s="62"/>
      <c r="I48" s="62"/>
      <c r="J48" s="62"/>
      <c r="K48" s="62"/>
      <c r="L48" s="40">
        <f>(L47/I47)-1</f>
        <v>0.53433367510028806</v>
      </c>
      <c r="M48" s="40"/>
      <c r="N48" s="40"/>
      <c r="O48" s="40">
        <f>(O47/L47)-1</f>
        <v>0.3319700778543222</v>
      </c>
      <c r="P48" s="40"/>
      <c r="Q48" s="40"/>
      <c r="R48" s="40">
        <f>(R47/O47)-1</f>
        <v>-0.41543375069628719</v>
      </c>
      <c r="S48" s="40"/>
      <c r="T48" s="40"/>
      <c r="U48" s="40">
        <f>(U47/R47)-1</f>
        <v>-3.3224340892047288E-2</v>
      </c>
      <c r="X48" s="40">
        <f>(X47/U47)-1</f>
        <v>1.8623785709296792E-2</v>
      </c>
    </row>
    <row r="49" spans="1:24" x14ac:dyDescent="0.25">
      <c r="A49" s="34" t="s">
        <v>678</v>
      </c>
      <c r="G49" s="62"/>
      <c r="H49" s="62"/>
      <c r="I49" s="62"/>
      <c r="J49" s="62"/>
      <c r="K49" s="62"/>
      <c r="L49" s="40"/>
      <c r="M49" s="40"/>
      <c r="N49" s="40"/>
      <c r="O49" s="40"/>
      <c r="P49" s="40"/>
      <c r="Q49" s="40"/>
      <c r="R49" s="40"/>
      <c r="S49" s="40"/>
      <c r="T49" s="40"/>
      <c r="U49" s="40">
        <f>(U47/I47)-1</f>
        <v>0.1549780489215471</v>
      </c>
      <c r="X49" s="40">
        <f>(X47/L47)-1</f>
        <v>-0.23322538526262537</v>
      </c>
    </row>
    <row r="50" spans="1:24" x14ac:dyDescent="0.25">
      <c r="G50" s="62"/>
      <c r="H50" s="62"/>
      <c r="I50" s="62"/>
      <c r="J50" s="62"/>
      <c r="K50" s="62"/>
      <c r="L50" s="62"/>
      <c r="M50" s="62"/>
      <c r="N50" s="62"/>
      <c r="O50" s="62"/>
      <c r="P50" s="62"/>
      <c r="Q50" s="62"/>
      <c r="R50" s="62"/>
      <c r="S50" s="62"/>
      <c r="T50" s="62"/>
      <c r="U50" s="62"/>
    </row>
    <row r="51" spans="1:24" x14ac:dyDescent="0.25">
      <c r="A51" s="25" t="s">
        <v>578</v>
      </c>
      <c r="G51" s="25" t="s">
        <v>484</v>
      </c>
      <c r="H51" s="25" t="s">
        <v>485</v>
      </c>
      <c r="I51" s="25" t="s">
        <v>486</v>
      </c>
      <c r="J51" s="25" t="s">
        <v>487</v>
      </c>
      <c r="K51" s="25" t="s">
        <v>488</v>
      </c>
      <c r="L51" s="25" t="s">
        <v>489</v>
      </c>
      <c r="M51" s="25" t="s">
        <v>490</v>
      </c>
      <c r="N51" s="25" t="s">
        <v>491</v>
      </c>
      <c r="O51" s="25" t="s">
        <v>492</v>
      </c>
      <c r="P51" s="25" t="s">
        <v>493</v>
      </c>
      <c r="Q51" s="25" t="s">
        <v>494</v>
      </c>
      <c r="R51" s="25" t="s">
        <v>495</v>
      </c>
      <c r="S51" s="25" t="s">
        <v>496</v>
      </c>
      <c r="T51" s="25" t="s">
        <v>497</v>
      </c>
      <c r="U51" s="25" t="s">
        <v>574</v>
      </c>
      <c r="V51" s="25" t="s">
        <v>731</v>
      </c>
      <c r="W51" s="25" t="s">
        <v>732</v>
      </c>
      <c r="X51" s="25" t="s">
        <v>733</v>
      </c>
    </row>
    <row r="52" spans="1:24" x14ac:dyDescent="0.25">
      <c r="A52" s="25" t="s">
        <v>576</v>
      </c>
      <c r="G52" s="62" t="str">
        <f>PTF!B5</f>
        <v>35,48</v>
      </c>
      <c r="H52" s="62">
        <f>PTF!C5</f>
        <v>36.119999999999997</v>
      </c>
      <c r="I52" s="62">
        <f>PTF!D5</f>
        <v>37.04</v>
      </c>
      <c r="J52" s="62">
        <f>PTF!E5</f>
        <v>38.049999999999997</v>
      </c>
      <c r="K52" s="62">
        <f>PTF!F5</f>
        <v>38.72</v>
      </c>
      <c r="L52" s="62">
        <f>PTF!G5</f>
        <v>39.369999999999997</v>
      </c>
      <c r="M52" s="62">
        <f>PTF!H5</f>
        <v>40.14</v>
      </c>
      <c r="N52" s="62">
        <f>PTF!I5</f>
        <v>40.75</v>
      </c>
      <c r="O52" s="62">
        <f>PTF!J5</f>
        <v>41.24</v>
      </c>
      <c r="P52" s="62">
        <f>PTF!K5</f>
        <v>41.75</v>
      </c>
      <c r="Q52" s="62">
        <f>PTF!L5</f>
        <v>42.2</v>
      </c>
      <c r="R52" s="62">
        <f>PTF!M5</f>
        <v>42.61</v>
      </c>
      <c r="S52" s="62">
        <f>PTF!N5</f>
        <v>43.14</v>
      </c>
      <c r="T52" s="62">
        <f>PTF!O5</f>
        <v>43.61</v>
      </c>
      <c r="U52" s="62">
        <f>PTF!P5</f>
        <v>44.1</v>
      </c>
      <c r="V52" s="62">
        <f>PTF!Q5</f>
        <v>44.68</v>
      </c>
      <c r="W52" s="62">
        <f>PTF!R5</f>
        <v>45.36</v>
      </c>
      <c r="X52" s="62">
        <f>PTF!S5</f>
        <v>46.17</v>
      </c>
    </row>
    <row r="58" spans="1:24" x14ac:dyDescent="0.25">
      <c r="A58" s="86" t="s">
        <v>44</v>
      </c>
    </row>
    <row r="59" spans="1:24" x14ac:dyDescent="0.25">
      <c r="A59" s="25" t="s">
        <v>325</v>
      </c>
    </row>
  </sheetData>
  <phoneticPr fontId="48" type="noConversion"/>
  <conditionalFormatting sqref="L34:U35">
    <cfRule type="colorScale" priority="15">
      <colorScale>
        <cfvo type="min"/>
        <cfvo type="percentile" val="50"/>
        <cfvo type="max"/>
        <color rgb="FFF8696B"/>
        <color rgb="FFFFEB84"/>
        <color rgb="FF63BE7B"/>
      </colorScale>
    </cfRule>
  </conditionalFormatting>
  <conditionalFormatting sqref="L48:U49">
    <cfRule type="colorScale" priority="14">
      <colorScale>
        <cfvo type="min"/>
        <cfvo type="percentile" val="50"/>
        <cfvo type="max"/>
        <color rgb="FFF8696B"/>
        <color rgb="FFFFEB84"/>
        <color rgb="FF63BE7B"/>
      </colorScale>
    </cfRule>
  </conditionalFormatting>
  <conditionalFormatting sqref="L34:X35">
    <cfRule type="colorScale" priority="2">
      <colorScale>
        <cfvo type="min"/>
        <cfvo type="percentile" val="50"/>
        <cfvo type="max"/>
        <color rgb="FFF8696B"/>
        <color rgb="FFFFEB84"/>
        <color rgb="FF63BE7B"/>
      </colorScale>
    </cfRule>
  </conditionalFormatting>
  <conditionalFormatting sqref="L48:X49">
    <cfRule type="colorScale" priority="1">
      <colorScale>
        <cfvo type="min"/>
        <cfvo type="percentile" val="50"/>
        <cfvo type="max"/>
        <color rgb="FFF8696B"/>
        <color rgb="FFFFEB84"/>
        <color rgb="FF63BE7B"/>
      </colorScale>
    </cfRule>
  </conditionalFormatting>
  <conditionalFormatting sqref="S19:U24">
    <cfRule type="colorScale" priority="16">
      <colorScale>
        <cfvo type="min"/>
        <cfvo type="percentile" val="50"/>
        <cfvo type="max"/>
        <color rgb="FFF8696B"/>
        <color rgb="FFFFEB84"/>
        <color rgb="FF63BE7B"/>
      </colorScale>
    </cfRule>
  </conditionalFormatting>
  <conditionalFormatting sqref="S19:X24">
    <cfRule type="colorScale" priority="7">
      <colorScale>
        <cfvo type="min"/>
        <cfvo type="percentile" val="50"/>
        <cfvo type="max"/>
        <color rgb="FFF8696B"/>
        <color rgb="FFFFEB84"/>
        <color rgb="FF63BE7B"/>
      </colorScale>
    </cfRule>
  </conditionalFormatting>
  <conditionalFormatting sqref="V19:X19">
    <cfRule type="colorScale" priority="13">
      <colorScale>
        <cfvo type="min"/>
        <cfvo type="percentile" val="50"/>
        <cfvo type="max"/>
        <color rgb="FFF8696B"/>
        <color rgb="FFFFEB84"/>
        <color rgb="FF63BE7B"/>
      </colorScale>
    </cfRule>
  </conditionalFormatting>
  <conditionalFormatting sqref="V20:X20">
    <cfRule type="colorScale" priority="12">
      <colorScale>
        <cfvo type="min"/>
        <cfvo type="percentile" val="50"/>
        <cfvo type="max"/>
        <color rgb="FFF8696B"/>
        <color rgb="FFFFEB84"/>
        <color rgb="FF63BE7B"/>
      </colorScale>
    </cfRule>
  </conditionalFormatting>
  <conditionalFormatting sqref="V21:X21">
    <cfRule type="colorScale" priority="11">
      <colorScale>
        <cfvo type="min"/>
        <cfvo type="percentile" val="50"/>
        <cfvo type="max"/>
        <color rgb="FFF8696B"/>
        <color rgb="FFFFEB84"/>
        <color rgb="FF63BE7B"/>
      </colorScale>
    </cfRule>
  </conditionalFormatting>
  <conditionalFormatting sqref="V22:X22">
    <cfRule type="colorScale" priority="10">
      <colorScale>
        <cfvo type="min"/>
        <cfvo type="percentile" val="50"/>
        <cfvo type="max"/>
        <color rgb="FFF8696B"/>
        <color rgb="FFFFEB84"/>
        <color rgb="FF63BE7B"/>
      </colorScale>
    </cfRule>
  </conditionalFormatting>
  <conditionalFormatting sqref="V23:X23">
    <cfRule type="colorScale" priority="9">
      <colorScale>
        <cfvo type="min"/>
        <cfvo type="percentile" val="50"/>
        <cfvo type="max"/>
        <color rgb="FFF8696B"/>
        <color rgb="FFFFEB84"/>
        <color rgb="FF63BE7B"/>
      </colorScale>
    </cfRule>
  </conditionalFormatting>
  <conditionalFormatting sqref="V24:X24">
    <cfRule type="colorScale" priority="8">
      <colorScale>
        <cfvo type="min"/>
        <cfvo type="percentile" val="50"/>
        <cfvo type="max"/>
        <color rgb="FFF8696B"/>
        <color rgb="FFFFEB84"/>
        <color rgb="FF63BE7B"/>
      </colorScale>
    </cfRule>
  </conditionalFormatting>
  <conditionalFormatting sqref="X34">
    <cfRule type="colorScale" priority="6">
      <colorScale>
        <cfvo type="min"/>
        <cfvo type="percentile" val="50"/>
        <cfvo type="max"/>
        <color rgb="FFF8696B"/>
        <color rgb="FFFFEB84"/>
        <color rgb="FF63BE7B"/>
      </colorScale>
    </cfRule>
  </conditionalFormatting>
  <conditionalFormatting sqref="X35">
    <cfRule type="colorScale" priority="5">
      <colorScale>
        <cfvo type="min"/>
        <cfvo type="percentile" val="50"/>
        <cfvo type="max"/>
        <color rgb="FFF8696B"/>
        <color rgb="FFFFEB84"/>
        <color rgb="FF63BE7B"/>
      </colorScale>
    </cfRule>
  </conditionalFormatting>
  <conditionalFormatting sqref="X48">
    <cfRule type="colorScale" priority="4">
      <colorScale>
        <cfvo type="min"/>
        <cfvo type="percentile" val="50"/>
        <cfvo type="max"/>
        <color rgb="FFF8696B"/>
        <color rgb="FFFFEB84"/>
        <color rgb="FF63BE7B"/>
      </colorScale>
    </cfRule>
  </conditionalFormatting>
  <conditionalFormatting sqref="X49">
    <cfRule type="colorScale" priority="3">
      <colorScale>
        <cfvo type="min"/>
        <cfvo type="percentile" val="50"/>
        <cfvo type="max"/>
        <color rgb="FFF8696B"/>
        <color rgb="FFFFEB84"/>
        <color rgb="FF63BE7B"/>
      </colorScale>
    </cfRule>
  </conditionalFormatting>
  <pageMargins left="0.7" right="0.7" top="0.75" bottom="0.75" header="0.3" footer="0.3"/>
  <legacyDrawing r:id="rId1"/>
  <tableParts count="3">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186EE-7D7C-400F-833D-E81E7AD46BE0}">
  <dimension ref="A1:AE90"/>
  <sheetViews>
    <sheetView topLeftCell="A38" zoomScale="85" zoomScaleNormal="100" workbookViewId="0">
      <selection activeCell="L53" sqref="L53"/>
    </sheetView>
  </sheetViews>
  <sheetFormatPr defaultColWidth="9.140625" defaultRowHeight="15" x14ac:dyDescent="0.25"/>
  <cols>
    <col min="1" max="1" width="48.42578125" style="25" customWidth="1"/>
    <col min="2" max="2" width="11.5703125" style="25" customWidth="1"/>
    <col min="3" max="3" width="18.85546875" style="25" customWidth="1"/>
    <col min="4" max="4" width="9.140625" style="25" customWidth="1"/>
    <col min="5" max="5" width="12.140625" style="25" customWidth="1"/>
    <col min="6" max="6" width="15.7109375" style="25" customWidth="1"/>
    <col min="7" max="8" width="15.140625" style="25" bestFit="1" customWidth="1"/>
    <col min="9" max="9" width="16.5703125" style="25" bestFit="1" customWidth="1"/>
    <col min="10" max="11" width="15.140625" style="25" bestFit="1" customWidth="1"/>
    <col min="12" max="12" width="16.5703125" style="25" bestFit="1" customWidth="1"/>
    <col min="13" max="14" width="15.140625" style="25" bestFit="1" customWidth="1"/>
    <col min="15" max="15" width="16.5703125" style="25" bestFit="1" customWidth="1"/>
    <col min="16" max="17" width="15.140625" style="25" bestFit="1" customWidth="1"/>
    <col min="18" max="18" width="16.28515625" style="25" bestFit="1" customWidth="1"/>
    <col min="19" max="20" width="15.140625" style="25" bestFit="1" customWidth="1"/>
    <col min="21" max="21" width="16.5703125" style="25" bestFit="1" customWidth="1"/>
    <col min="22" max="22" width="13.42578125" style="25" customWidth="1"/>
    <col min="23" max="23" width="13.28515625" style="25" bestFit="1" customWidth="1"/>
    <col min="24" max="24" width="16.5703125" style="25" bestFit="1" customWidth="1"/>
    <col min="25" max="16384" width="9.140625" style="25"/>
  </cols>
  <sheetData>
    <row r="1" spans="1:24" x14ac:dyDescent="0.25">
      <c r="A1" s="41" t="s">
        <v>35</v>
      </c>
      <c r="B1" s="35" t="s">
        <v>111</v>
      </c>
      <c r="C1" s="35" t="s">
        <v>338</v>
      </c>
      <c r="D1" s="35" t="s">
        <v>454</v>
      </c>
      <c r="E1" s="89" t="s">
        <v>551</v>
      </c>
      <c r="F1" s="89" t="s">
        <v>552</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35" t="s">
        <v>288</v>
      </c>
      <c r="B2" s="35">
        <v>2.4</v>
      </c>
      <c r="C2" s="35" t="s">
        <v>433</v>
      </c>
      <c r="D2" s="35">
        <v>2389</v>
      </c>
      <c r="E2" s="35">
        <v>133</v>
      </c>
      <c r="F2" s="35">
        <v>2028</v>
      </c>
      <c r="G2" s="25">
        <v>1524.94</v>
      </c>
      <c r="H2" s="25">
        <v>1477.69</v>
      </c>
      <c r="I2" s="25">
        <v>1597.86</v>
      </c>
      <c r="J2" s="25">
        <v>1484.14</v>
      </c>
      <c r="K2" s="25">
        <v>1523.48</v>
      </c>
      <c r="L2" s="25">
        <v>1364.71</v>
      </c>
      <c r="M2" s="25">
        <v>1441.58</v>
      </c>
      <c r="N2" s="25">
        <v>1565.27</v>
      </c>
      <c r="O2" s="25">
        <v>1426.61</v>
      </c>
      <c r="P2" s="25">
        <v>951.46</v>
      </c>
      <c r="Q2" s="25">
        <v>1044.5899999999999</v>
      </c>
      <c r="R2" s="25">
        <v>960.79</v>
      </c>
      <c r="S2" s="25">
        <v>872.18</v>
      </c>
      <c r="T2" s="25">
        <v>735.46</v>
      </c>
      <c r="U2" s="25">
        <v>664.84</v>
      </c>
      <c r="V2" s="245">
        <v>729.44</v>
      </c>
      <c r="W2" s="25">
        <v>903.96</v>
      </c>
      <c r="X2" s="25">
        <v>1108.3800000000001</v>
      </c>
    </row>
    <row r="3" spans="1:24" x14ac:dyDescent="0.25">
      <c r="A3" s="35" t="s">
        <v>289</v>
      </c>
      <c r="B3" s="35">
        <v>8.484</v>
      </c>
      <c r="C3" s="35" t="s">
        <v>434</v>
      </c>
      <c r="D3" s="35">
        <v>2919</v>
      </c>
      <c r="E3" s="35">
        <v>133</v>
      </c>
      <c r="F3" s="35">
        <v>2031</v>
      </c>
      <c r="G3" s="25">
        <v>3356.68</v>
      </c>
      <c r="H3" s="25">
        <v>2988.79</v>
      </c>
      <c r="I3" s="25">
        <v>3610.69</v>
      </c>
      <c r="J3" s="25">
        <v>3368.94</v>
      </c>
      <c r="K3" s="25">
        <v>2791.4</v>
      </c>
      <c r="L3" s="25">
        <v>2925.47</v>
      </c>
      <c r="M3" s="25">
        <v>3328.03</v>
      </c>
      <c r="N3" s="25">
        <v>2842.68</v>
      </c>
      <c r="O3" s="25">
        <v>3287.3</v>
      </c>
      <c r="P3" s="25">
        <v>3221.34</v>
      </c>
      <c r="Q3" s="25">
        <v>3431.79</v>
      </c>
      <c r="R3" s="25">
        <v>2826.66</v>
      </c>
      <c r="S3" s="25">
        <v>2494.7399999999998</v>
      </c>
      <c r="T3" s="25">
        <v>2104.73</v>
      </c>
      <c r="U3" s="25">
        <v>2264.92</v>
      </c>
      <c r="V3" s="245">
        <v>1594.73</v>
      </c>
      <c r="W3" s="25">
        <v>2162.02</v>
      </c>
      <c r="X3" s="25">
        <v>3112.46</v>
      </c>
    </row>
    <row r="4" spans="1:24" x14ac:dyDescent="0.25">
      <c r="A4" s="311" t="s">
        <v>831</v>
      </c>
      <c r="B4" s="35">
        <v>11.31</v>
      </c>
      <c r="C4" s="35" t="s">
        <v>435</v>
      </c>
      <c r="D4" s="35">
        <v>2492</v>
      </c>
      <c r="E4" s="35">
        <v>133</v>
      </c>
      <c r="F4" s="35">
        <v>2029</v>
      </c>
      <c r="G4" s="25">
        <v>4078.29</v>
      </c>
      <c r="H4" s="25">
        <v>4238.08</v>
      </c>
      <c r="I4" s="25">
        <v>4799.3999999999996</v>
      </c>
      <c r="J4" s="25">
        <v>4688.12</v>
      </c>
      <c r="K4" s="25">
        <v>4703.51</v>
      </c>
      <c r="L4" s="25">
        <v>4555.8</v>
      </c>
      <c r="M4" s="25">
        <v>4681.82</v>
      </c>
      <c r="N4" s="25">
        <v>4625</v>
      </c>
      <c r="O4" s="25">
        <v>4369.41</v>
      </c>
      <c r="P4" s="25">
        <v>4188.92</v>
      </c>
      <c r="Q4" s="25">
        <v>3938.04</v>
      </c>
      <c r="R4" s="25">
        <v>4137.24</v>
      </c>
      <c r="S4" s="25">
        <v>4169.92</v>
      </c>
      <c r="T4" s="25">
        <v>4255.13</v>
      </c>
      <c r="U4" s="25">
        <v>4811.67</v>
      </c>
      <c r="V4" s="245">
        <v>4783.8900000000003</v>
      </c>
      <c r="W4" s="25">
        <v>4762.6499999999996</v>
      </c>
      <c r="X4" s="25">
        <v>4549.5600000000004</v>
      </c>
    </row>
    <row r="5" spans="1:24" x14ac:dyDescent="0.25">
      <c r="A5" s="35" t="s">
        <v>291</v>
      </c>
      <c r="B5" s="35">
        <v>18.782</v>
      </c>
      <c r="C5" s="35" t="s">
        <v>376</v>
      </c>
      <c r="D5" s="35">
        <v>3012</v>
      </c>
      <c r="E5" s="35">
        <v>133</v>
      </c>
      <c r="F5" s="35">
        <v>2030</v>
      </c>
      <c r="G5" s="25">
        <v>8585.69</v>
      </c>
      <c r="H5" s="25">
        <v>9969.51</v>
      </c>
      <c r="I5" s="25">
        <v>9456.0300000000007</v>
      </c>
      <c r="J5" s="25">
        <v>9836.42</v>
      </c>
      <c r="K5" s="25">
        <v>7930.62</v>
      </c>
      <c r="L5" s="25">
        <v>8540.6</v>
      </c>
      <c r="M5" s="25">
        <v>5247.72</v>
      </c>
      <c r="N5" s="25">
        <v>8181.88</v>
      </c>
      <c r="O5" s="25">
        <v>9773.65</v>
      </c>
      <c r="P5" s="25">
        <v>8975.76</v>
      </c>
      <c r="Q5" s="25">
        <v>7122.19</v>
      </c>
      <c r="R5" s="25">
        <v>8088.88</v>
      </c>
      <c r="S5" s="25">
        <v>7915.48</v>
      </c>
      <c r="T5" s="25">
        <v>8369.8799999999992</v>
      </c>
      <c r="U5" s="25">
        <v>7227.23</v>
      </c>
      <c r="V5" s="245">
        <v>6968.53</v>
      </c>
      <c r="W5" s="25">
        <v>5137.04</v>
      </c>
      <c r="X5" s="25">
        <v>9805.65</v>
      </c>
    </row>
    <row r="6" spans="1:24" x14ac:dyDescent="0.25">
      <c r="A6" s="35" t="s">
        <v>280</v>
      </c>
      <c r="B6" s="35">
        <v>32.340000000000003</v>
      </c>
      <c r="C6" s="35"/>
      <c r="D6" s="35"/>
      <c r="E6" s="35">
        <v>133</v>
      </c>
      <c r="F6" s="35">
        <v>2029</v>
      </c>
      <c r="V6" s="245"/>
    </row>
    <row r="7" spans="1:24" x14ac:dyDescent="0.25">
      <c r="A7" s="35" t="s">
        <v>292</v>
      </c>
      <c r="B7" s="35">
        <v>8.484</v>
      </c>
      <c r="C7" s="35" t="s">
        <v>436</v>
      </c>
      <c r="D7" s="35">
        <v>2665</v>
      </c>
      <c r="E7" s="35">
        <v>133</v>
      </c>
      <c r="F7" s="35">
        <v>2030</v>
      </c>
      <c r="G7" s="25">
        <v>4036.27</v>
      </c>
      <c r="H7" s="25">
        <v>3805.05</v>
      </c>
      <c r="I7" s="25">
        <v>4647.24</v>
      </c>
      <c r="J7" s="25">
        <v>4668.28</v>
      </c>
      <c r="K7" s="25">
        <v>4556.5600000000004</v>
      </c>
      <c r="L7" s="25">
        <v>3484.68</v>
      </c>
      <c r="M7" s="25">
        <v>2803.62</v>
      </c>
      <c r="N7" s="25">
        <v>2878.68</v>
      </c>
      <c r="O7" s="25">
        <v>3358.07</v>
      </c>
      <c r="P7" s="25">
        <v>3376.88</v>
      </c>
      <c r="Q7" s="25">
        <v>4274.22</v>
      </c>
      <c r="R7" s="25">
        <v>5210.1400000000003</v>
      </c>
      <c r="S7" s="25">
        <v>4829.6499999999996</v>
      </c>
      <c r="T7" s="25">
        <v>4045.6</v>
      </c>
      <c r="U7" s="25">
        <v>4667.8100000000004</v>
      </c>
      <c r="V7" s="245">
        <v>4379.68</v>
      </c>
      <c r="W7" s="25">
        <v>4499.92</v>
      </c>
      <c r="X7" s="25">
        <v>4203.33</v>
      </c>
    </row>
    <row r="8" spans="1:24" x14ac:dyDescent="0.25">
      <c r="A8" s="35" t="s">
        <v>293</v>
      </c>
      <c r="B8" s="35">
        <v>13.6</v>
      </c>
      <c r="C8" s="35" t="s">
        <v>375</v>
      </c>
      <c r="D8" s="35">
        <v>2710</v>
      </c>
      <c r="E8" s="35">
        <v>133</v>
      </c>
      <c r="F8" s="35">
        <v>2030</v>
      </c>
      <c r="G8" s="25">
        <v>8247.9</v>
      </c>
      <c r="H8" s="25">
        <v>6932.11</v>
      </c>
      <c r="I8" s="25">
        <v>9393.66</v>
      </c>
      <c r="J8" s="25">
        <v>8156.1</v>
      </c>
      <c r="K8" s="25">
        <v>8667.02</v>
      </c>
      <c r="L8" s="25">
        <v>8716.73</v>
      </c>
      <c r="M8" s="25">
        <v>8283.6</v>
      </c>
      <c r="N8" s="25">
        <v>9175.56</v>
      </c>
      <c r="O8" s="25">
        <v>8189.27</v>
      </c>
      <c r="P8" s="25">
        <v>7547.1</v>
      </c>
      <c r="Q8" s="25">
        <v>8351.1</v>
      </c>
      <c r="R8" s="25">
        <v>9326.66</v>
      </c>
      <c r="S8" s="25">
        <v>7893</v>
      </c>
      <c r="T8" s="25">
        <v>6779.41</v>
      </c>
      <c r="U8" s="25">
        <v>7338.57</v>
      </c>
      <c r="V8" s="245">
        <v>6420.31</v>
      </c>
      <c r="W8" s="25">
        <v>7009.61</v>
      </c>
      <c r="X8" s="25">
        <v>7118.3</v>
      </c>
    </row>
    <row r="9" spans="1:24" x14ac:dyDescent="0.25">
      <c r="A9" s="35" t="s">
        <v>294</v>
      </c>
      <c r="B9" s="35">
        <v>4.0839999999999996</v>
      </c>
      <c r="C9" s="35" t="s">
        <v>437</v>
      </c>
      <c r="D9" s="35">
        <v>2512</v>
      </c>
      <c r="E9" s="35">
        <v>133</v>
      </c>
      <c r="F9" s="35">
        <v>2029</v>
      </c>
      <c r="G9" s="25">
        <v>1114.76</v>
      </c>
      <c r="H9" s="25">
        <v>830.16</v>
      </c>
      <c r="I9" s="25">
        <v>945.57</v>
      </c>
      <c r="J9" s="25">
        <v>987.16</v>
      </c>
      <c r="K9" s="25">
        <v>912.31</v>
      </c>
      <c r="L9" s="25">
        <v>769.36</v>
      </c>
      <c r="M9" s="25">
        <v>691.85</v>
      </c>
      <c r="N9" s="25">
        <v>671.73</v>
      </c>
      <c r="O9" s="25">
        <v>697.36</v>
      </c>
      <c r="P9" s="25">
        <v>810.29</v>
      </c>
      <c r="Q9" s="25">
        <v>765.62</v>
      </c>
      <c r="R9" s="25">
        <v>825.35</v>
      </c>
      <c r="S9" s="25">
        <v>874.42</v>
      </c>
      <c r="T9" s="25">
        <v>807.97</v>
      </c>
      <c r="U9" s="25">
        <v>892.99</v>
      </c>
      <c r="V9" s="245">
        <v>880.42</v>
      </c>
      <c r="W9" s="25">
        <v>906.83</v>
      </c>
      <c r="X9" s="25">
        <v>894.11</v>
      </c>
    </row>
    <row r="10" spans="1:24" x14ac:dyDescent="0.25">
      <c r="A10" s="35" t="s">
        <v>278</v>
      </c>
      <c r="B10" s="35">
        <v>2.8</v>
      </c>
      <c r="C10" s="35" t="s">
        <v>438</v>
      </c>
      <c r="D10" s="35">
        <v>2196</v>
      </c>
      <c r="E10" s="310">
        <v>133</v>
      </c>
      <c r="F10" s="35">
        <v>2025</v>
      </c>
      <c r="G10" s="25">
        <v>1542.68</v>
      </c>
      <c r="H10" s="25">
        <v>1340.39</v>
      </c>
      <c r="I10" s="25">
        <v>1418.57</v>
      </c>
      <c r="J10" s="25">
        <v>1339.34</v>
      </c>
      <c r="K10" s="25">
        <v>1333.93</v>
      </c>
      <c r="L10" s="25">
        <v>1234.73</v>
      </c>
      <c r="M10" s="25">
        <v>1216.6300000000001</v>
      </c>
      <c r="N10" s="25">
        <v>1212.6400000000001</v>
      </c>
      <c r="O10" s="25">
        <v>1284.01</v>
      </c>
      <c r="P10" s="25">
        <v>1531.68</v>
      </c>
      <c r="Q10" s="25">
        <v>1534.8</v>
      </c>
      <c r="R10" s="25">
        <v>1734.76</v>
      </c>
      <c r="S10" s="25">
        <v>1685.79</v>
      </c>
      <c r="T10" s="25">
        <v>1479.92</v>
      </c>
      <c r="U10" s="25">
        <v>1414.11</v>
      </c>
      <c r="V10" s="245">
        <v>747.3</v>
      </c>
      <c r="W10" s="25">
        <v>357.33</v>
      </c>
      <c r="X10" s="25">
        <v>894.2</v>
      </c>
    </row>
    <row r="11" spans="1:24" x14ac:dyDescent="0.25">
      <c r="A11" s="310" t="s">
        <v>277</v>
      </c>
      <c r="B11" s="35">
        <v>2.4</v>
      </c>
      <c r="C11" s="35"/>
      <c r="D11" s="35"/>
      <c r="E11" s="89">
        <v>133</v>
      </c>
      <c r="F11" s="89">
        <v>2026</v>
      </c>
      <c r="V11" s="245"/>
    </row>
    <row r="12" spans="1:24" x14ac:dyDescent="0.25">
      <c r="A12" s="311" t="s">
        <v>295</v>
      </c>
      <c r="B12" s="35">
        <v>2.4</v>
      </c>
      <c r="C12" s="35" t="s">
        <v>439</v>
      </c>
      <c r="D12" s="35">
        <v>3081</v>
      </c>
      <c r="E12" s="311" t="s">
        <v>524</v>
      </c>
      <c r="F12" s="311"/>
      <c r="G12" s="25">
        <v>922.98</v>
      </c>
      <c r="H12" s="25">
        <v>940.87</v>
      </c>
      <c r="I12" s="25">
        <v>956.35</v>
      </c>
      <c r="J12" s="25">
        <v>791.15</v>
      </c>
      <c r="K12" s="25">
        <v>1146.27</v>
      </c>
      <c r="L12" s="25">
        <v>1055.1400000000001</v>
      </c>
      <c r="M12" s="25">
        <v>1015.4</v>
      </c>
      <c r="N12" s="25">
        <v>1038.79</v>
      </c>
      <c r="O12" s="25">
        <v>949.06</v>
      </c>
      <c r="P12" s="25">
        <v>1033.8</v>
      </c>
      <c r="Q12" s="25">
        <v>962.19</v>
      </c>
      <c r="R12" s="25">
        <v>863.87</v>
      </c>
      <c r="S12" s="25">
        <v>571.14</v>
      </c>
      <c r="T12" s="25">
        <v>539.5</v>
      </c>
      <c r="U12" s="25">
        <v>610.9</v>
      </c>
      <c r="V12" s="245">
        <v>553.62</v>
      </c>
      <c r="W12" s="25">
        <v>554.89</v>
      </c>
      <c r="X12" s="25">
        <v>541.15</v>
      </c>
    </row>
    <row r="13" spans="1:24" x14ac:dyDescent="0.25">
      <c r="A13" s="35" t="s">
        <v>281</v>
      </c>
      <c r="B13" s="35">
        <v>2.8279999999999998</v>
      </c>
      <c r="C13" s="35" t="s">
        <v>440</v>
      </c>
      <c r="D13" s="35">
        <v>3084</v>
      </c>
      <c r="E13" s="35">
        <v>133</v>
      </c>
      <c r="F13" s="35">
        <v>2030</v>
      </c>
      <c r="G13" s="25">
        <v>825.71</v>
      </c>
      <c r="H13" s="25">
        <v>871.23</v>
      </c>
      <c r="I13" s="25">
        <v>977.82</v>
      </c>
      <c r="J13" s="25">
        <v>976.79</v>
      </c>
      <c r="K13" s="25">
        <v>1052.3499999999999</v>
      </c>
      <c r="L13" s="25">
        <v>1068.18</v>
      </c>
      <c r="M13" s="25">
        <v>1031.46</v>
      </c>
      <c r="N13" s="25">
        <v>1088.21</v>
      </c>
      <c r="O13" s="25">
        <v>991.59</v>
      </c>
      <c r="P13" s="25">
        <v>942.56</v>
      </c>
      <c r="Q13" s="25">
        <v>775.39</v>
      </c>
      <c r="R13" s="25">
        <v>910.28</v>
      </c>
      <c r="S13" s="25">
        <v>770.2</v>
      </c>
      <c r="T13" s="25">
        <v>698.97</v>
      </c>
      <c r="U13" s="25">
        <v>827.19</v>
      </c>
      <c r="V13" s="245">
        <v>863.96</v>
      </c>
      <c r="W13" s="25">
        <v>990.16</v>
      </c>
      <c r="X13" s="25">
        <v>945.2</v>
      </c>
    </row>
    <row r="14" spans="1:24" x14ac:dyDescent="0.25">
      <c r="A14" s="35" t="s">
        <v>279</v>
      </c>
      <c r="B14" s="35">
        <v>4.2</v>
      </c>
      <c r="C14" s="35"/>
      <c r="D14" s="35"/>
      <c r="E14" s="35">
        <v>133</v>
      </c>
      <c r="F14" s="35">
        <v>2026</v>
      </c>
      <c r="V14" s="245"/>
    </row>
    <row r="15" spans="1:24" x14ac:dyDescent="0.25">
      <c r="A15" s="35" t="s">
        <v>37</v>
      </c>
      <c r="B15" s="35">
        <f>SUM(B2:B14)</f>
        <v>114.11200000000001</v>
      </c>
      <c r="C15" s="35"/>
      <c r="D15" s="35"/>
      <c r="E15" s="35"/>
      <c r="F15" s="35"/>
      <c r="G15" s="25">
        <v>34235.919999999998</v>
      </c>
      <c r="H15" s="25">
        <v>33393.879999999997</v>
      </c>
      <c r="I15" s="25">
        <v>37803.19</v>
      </c>
      <c r="J15" s="25">
        <v>36296.44</v>
      </c>
      <c r="K15" s="25">
        <v>34617.449999999997</v>
      </c>
      <c r="L15" s="25">
        <v>33715.4</v>
      </c>
      <c r="M15" s="25">
        <v>29741.71</v>
      </c>
      <c r="N15" s="25">
        <v>33280.44</v>
      </c>
      <c r="O15" s="25">
        <v>34326.33</v>
      </c>
      <c r="P15" s="25">
        <v>32579.79</v>
      </c>
      <c r="Q15" s="25">
        <v>32199.93</v>
      </c>
      <c r="R15" s="25">
        <v>34884.629999999997</v>
      </c>
      <c r="S15" s="25">
        <v>32076.52</v>
      </c>
      <c r="T15" s="25">
        <v>29816.57</v>
      </c>
      <c r="U15" s="25">
        <v>30720.23</v>
      </c>
      <c r="V15" s="25">
        <v>27921.88</v>
      </c>
      <c r="W15" s="25">
        <v>27284.21</v>
      </c>
      <c r="X15" s="25">
        <v>33172.339999999997</v>
      </c>
    </row>
    <row r="16" spans="1:24" x14ac:dyDescent="0.25">
      <c r="A16" s="67"/>
      <c r="V16" s="39"/>
    </row>
    <row r="17" spans="1:24" x14ac:dyDescent="0.25">
      <c r="A17" s="34" t="s">
        <v>545</v>
      </c>
      <c r="S17" s="40">
        <f>(S15/G15)-1</f>
        <v>-6.3074104624616378E-2</v>
      </c>
      <c r="T17" s="40">
        <f>(T15/H15)-1</f>
        <v>-0.10712471866102402</v>
      </c>
      <c r="U17" s="40">
        <f>(U15/I15)-1</f>
        <v>-0.18736408223750434</v>
      </c>
      <c r="V17" s="40">
        <f t="shared" ref="V17:X17" si="0">(V15/J15)-1</f>
        <v>-0.23072675997976666</v>
      </c>
      <c r="W17" s="40">
        <f t="shared" si="0"/>
        <v>-0.21183651597676889</v>
      </c>
      <c r="X17" s="40">
        <f t="shared" si="0"/>
        <v>-1.6107179508474068E-2</v>
      </c>
    </row>
    <row r="18" spans="1:24" x14ac:dyDescent="0.25">
      <c r="A18" s="34" t="s">
        <v>546</v>
      </c>
      <c r="S18" s="40"/>
      <c r="T18" s="40">
        <f>(SUM(S15:T15)/SUM(G15:H15))-1</f>
        <v>-8.4825180615645701E-2</v>
      </c>
      <c r="U18" s="40">
        <f>(SUM(S15:U15)/SUM(G15:I15))-1</f>
        <v>-0.12159068997284439</v>
      </c>
      <c r="V18" s="40">
        <f>(SUM(S15:V15)/SUM(G15:J15))-1</f>
        <v>-0.14954007787937906</v>
      </c>
      <c r="W18" s="40">
        <f>(SUM(S15:W15)/SUM(G15:K15))-1</f>
        <v>-0.16176906560524351</v>
      </c>
      <c r="X18" s="40">
        <f>(SUM(S15:X15)/SUM(G15:L15))-1</f>
        <v>-0.13839005270246518</v>
      </c>
    </row>
    <row r="19" spans="1:24" x14ac:dyDescent="0.25">
      <c r="V19" s="39"/>
    </row>
    <row r="20" spans="1:24" x14ac:dyDescent="0.25">
      <c r="A20" s="113" t="s">
        <v>667</v>
      </c>
      <c r="B20" s="107" t="s">
        <v>683</v>
      </c>
      <c r="C20" s="107" t="s">
        <v>684</v>
      </c>
      <c r="D20" s="107" t="s">
        <v>685</v>
      </c>
      <c r="E20" s="107" t="s">
        <v>686</v>
      </c>
      <c r="F20" s="107" t="s">
        <v>687</v>
      </c>
      <c r="G20" s="107" t="s">
        <v>484</v>
      </c>
      <c r="H20" s="107" t="s">
        <v>485</v>
      </c>
      <c r="I20" s="107" t="s">
        <v>486</v>
      </c>
      <c r="J20" s="107" t="s">
        <v>487</v>
      </c>
      <c r="K20" s="107" t="s">
        <v>488</v>
      </c>
      <c r="L20" s="107" t="s">
        <v>489</v>
      </c>
      <c r="M20" s="107" t="s">
        <v>490</v>
      </c>
      <c r="N20" s="107" t="s">
        <v>491</v>
      </c>
      <c r="O20" s="107" t="s">
        <v>492</v>
      </c>
      <c r="P20" s="107" t="s">
        <v>493</v>
      </c>
      <c r="Q20" s="107" t="s">
        <v>494</v>
      </c>
      <c r="R20" s="107" t="s">
        <v>495</v>
      </c>
      <c r="S20" s="107" t="s">
        <v>496</v>
      </c>
      <c r="T20" s="107" t="s">
        <v>497</v>
      </c>
      <c r="U20" s="107" t="s">
        <v>574</v>
      </c>
      <c r="V20" s="107" t="s">
        <v>731</v>
      </c>
      <c r="W20" s="107" t="s">
        <v>732</v>
      </c>
      <c r="X20" s="107" t="s">
        <v>733</v>
      </c>
    </row>
    <row r="21" spans="1:24" x14ac:dyDescent="0.25">
      <c r="A21" s="117" t="s">
        <v>288</v>
      </c>
      <c r="B21" s="107"/>
      <c r="C21" s="107"/>
      <c r="D21" s="107"/>
      <c r="E21" s="107"/>
      <c r="F21" s="107"/>
      <c r="G21" s="107">
        <f t="shared" ref="G21:X21" si="1">$E$2*G2</f>
        <v>202817.02000000002</v>
      </c>
      <c r="H21" s="107">
        <f t="shared" si="1"/>
        <v>196532.77000000002</v>
      </c>
      <c r="I21" s="107">
        <f t="shared" si="1"/>
        <v>212515.37999999998</v>
      </c>
      <c r="J21" s="107">
        <f t="shared" si="1"/>
        <v>197390.62000000002</v>
      </c>
      <c r="K21" s="107">
        <f t="shared" si="1"/>
        <v>202622.84</v>
      </c>
      <c r="L21" s="107">
        <f t="shared" si="1"/>
        <v>181506.43</v>
      </c>
      <c r="M21" s="107">
        <f t="shared" si="1"/>
        <v>191730.13999999998</v>
      </c>
      <c r="N21" s="107">
        <f t="shared" si="1"/>
        <v>208180.91</v>
      </c>
      <c r="O21" s="107">
        <f t="shared" si="1"/>
        <v>189739.12999999998</v>
      </c>
      <c r="P21" s="107">
        <f t="shared" si="1"/>
        <v>126544.18000000001</v>
      </c>
      <c r="Q21" s="107">
        <f t="shared" si="1"/>
        <v>138930.47</v>
      </c>
      <c r="R21" s="107">
        <f t="shared" si="1"/>
        <v>127785.06999999999</v>
      </c>
      <c r="S21" s="107">
        <f t="shared" si="1"/>
        <v>115999.93999999999</v>
      </c>
      <c r="T21" s="107">
        <f t="shared" si="1"/>
        <v>97816.180000000008</v>
      </c>
      <c r="U21" s="107">
        <f t="shared" si="1"/>
        <v>88423.72</v>
      </c>
      <c r="V21" s="107">
        <f t="shared" si="1"/>
        <v>97015.52</v>
      </c>
      <c r="W21" s="107">
        <f t="shared" si="1"/>
        <v>120226.68000000001</v>
      </c>
      <c r="X21" s="107">
        <f t="shared" si="1"/>
        <v>147414.54</v>
      </c>
    </row>
    <row r="22" spans="1:24" x14ac:dyDescent="0.25">
      <c r="A22" s="117" t="s">
        <v>289</v>
      </c>
      <c r="B22" s="107"/>
      <c r="C22" s="107"/>
      <c r="D22" s="107"/>
      <c r="E22" s="107"/>
      <c r="F22" s="107"/>
      <c r="G22" s="107">
        <f t="shared" ref="G22:X22" si="2">$E$3*G3</f>
        <v>446438.44</v>
      </c>
      <c r="H22" s="107">
        <f t="shared" si="2"/>
        <v>397509.07</v>
      </c>
      <c r="I22" s="107">
        <f t="shared" si="2"/>
        <v>480221.77</v>
      </c>
      <c r="J22" s="107">
        <f t="shared" si="2"/>
        <v>448069.02</v>
      </c>
      <c r="K22" s="107">
        <f t="shared" si="2"/>
        <v>371256.2</v>
      </c>
      <c r="L22" s="107">
        <f t="shared" si="2"/>
        <v>389087.50999999995</v>
      </c>
      <c r="M22" s="107">
        <f t="shared" si="2"/>
        <v>442627.99000000005</v>
      </c>
      <c r="N22" s="107">
        <f t="shared" si="2"/>
        <v>378076.44</v>
      </c>
      <c r="O22" s="107">
        <f t="shared" si="2"/>
        <v>437210.9</v>
      </c>
      <c r="P22" s="107">
        <f t="shared" si="2"/>
        <v>428438.22000000003</v>
      </c>
      <c r="Q22" s="107">
        <f t="shared" si="2"/>
        <v>456428.07</v>
      </c>
      <c r="R22" s="107">
        <f t="shared" si="2"/>
        <v>375945.77999999997</v>
      </c>
      <c r="S22" s="107">
        <f t="shared" si="2"/>
        <v>331800.42</v>
      </c>
      <c r="T22" s="107">
        <f t="shared" si="2"/>
        <v>279929.09000000003</v>
      </c>
      <c r="U22" s="107">
        <f t="shared" si="2"/>
        <v>301234.36</v>
      </c>
      <c r="V22" s="107">
        <f t="shared" si="2"/>
        <v>212099.09</v>
      </c>
      <c r="W22" s="107">
        <f t="shared" si="2"/>
        <v>287548.65999999997</v>
      </c>
      <c r="X22" s="107">
        <f t="shared" si="2"/>
        <v>413957.18</v>
      </c>
    </row>
    <row r="23" spans="1:24" x14ac:dyDescent="0.25">
      <c r="A23" s="117" t="s">
        <v>290</v>
      </c>
      <c r="B23" s="107"/>
      <c r="C23" s="107"/>
      <c r="D23" s="107"/>
      <c r="E23" s="107"/>
      <c r="F23" s="107"/>
      <c r="G23" s="107">
        <f t="shared" ref="G23:X23" si="3">$E$4*G4</f>
        <v>542412.56999999995</v>
      </c>
      <c r="H23" s="107">
        <f t="shared" si="3"/>
        <v>563664.64000000001</v>
      </c>
      <c r="I23" s="107">
        <f t="shared" si="3"/>
        <v>638320.19999999995</v>
      </c>
      <c r="J23" s="107">
        <f t="shared" si="3"/>
        <v>623519.96</v>
      </c>
      <c r="K23" s="107">
        <f t="shared" si="3"/>
        <v>625566.83000000007</v>
      </c>
      <c r="L23" s="107">
        <f t="shared" si="3"/>
        <v>605921.4</v>
      </c>
      <c r="M23" s="107">
        <f t="shared" si="3"/>
        <v>622682.05999999994</v>
      </c>
      <c r="N23" s="107">
        <f t="shared" si="3"/>
        <v>615125</v>
      </c>
      <c r="O23" s="107">
        <f t="shared" si="3"/>
        <v>581131.53</v>
      </c>
      <c r="P23" s="107">
        <f t="shared" si="3"/>
        <v>557126.36</v>
      </c>
      <c r="Q23" s="107">
        <f t="shared" si="3"/>
        <v>523759.32</v>
      </c>
      <c r="R23" s="107">
        <f t="shared" si="3"/>
        <v>550252.91999999993</v>
      </c>
      <c r="S23" s="107">
        <f t="shared" si="3"/>
        <v>554599.36</v>
      </c>
      <c r="T23" s="107">
        <f t="shared" si="3"/>
        <v>565932.29</v>
      </c>
      <c r="U23" s="107">
        <f t="shared" si="3"/>
        <v>639952.11</v>
      </c>
      <c r="V23" s="107">
        <f t="shared" si="3"/>
        <v>636257.37</v>
      </c>
      <c r="W23" s="107">
        <f t="shared" si="3"/>
        <v>633432.44999999995</v>
      </c>
      <c r="X23" s="107">
        <f t="shared" si="3"/>
        <v>605091.4800000001</v>
      </c>
    </row>
    <row r="24" spans="1:24" x14ac:dyDescent="0.25">
      <c r="A24" s="117" t="s">
        <v>291</v>
      </c>
      <c r="B24" s="107"/>
      <c r="C24" s="107"/>
      <c r="D24" s="107"/>
      <c r="E24" s="107"/>
      <c r="F24" s="107"/>
      <c r="G24" s="107">
        <f t="shared" ref="G24:X24" si="4">$E$5*G5</f>
        <v>1141896.77</v>
      </c>
      <c r="H24" s="107">
        <f t="shared" si="4"/>
        <v>1325944.83</v>
      </c>
      <c r="I24" s="107">
        <f t="shared" si="4"/>
        <v>1257651.99</v>
      </c>
      <c r="J24" s="107">
        <f t="shared" si="4"/>
        <v>1308243.8600000001</v>
      </c>
      <c r="K24" s="107">
        <f t="shared" si="4"/>
        <v>1054772.46</v>
      </c>
      <c r="L24" s="107">
        <f t="shared" si="4"/>
        <v>1135899.8</v>
      </c>
      <c r="M24" s="107">
        <f t="shared" si="4"/>
        <v>697946.76</v>
      </c>
      <c r="N24" s="107">
        <f t="shared" si="4"/>
        <v>1088190.04</v>
      </c>
      <c r="O24" s="107">
        <f t="shared" si="4"/>
        <v>1299895.45</v>
      </c>
      <c r="P24" s="107">
        <f t="shared" si="4"/>
        <v>1193776.08</v>
      </c>
      <c r="Q24" s="107">
        <f t="shared" si="4"/>
        <v>947251.2699999999</v>
      </c>
      <c r="R24" s="107">
        <f t="shared" si="4"/>
        <v>1075821.04</v>
      </c>
      <c r="S24" s="107">
        <f t="shared" si="4"/>
        <v>1052758.8399999999</v>
      </c>
      <c r="T24" s="107">
        <f t="shared" si="4"/>
        <v>1113194.0399999998</v>
      </c>
      <c r="U24" s="107">
        <f t="shared" si="4"/>
        <v>961221.59</v>
      </c>
      <c r="V24" s="107">
        <f t="shared" si="4"/>
        <v>926814.49</v>
      </c>
      <c r="W24" s="107">
        <f t="shared" si="4"/>
        <v>683226.32</v>
      </c>
      <c r="X24" s="107">
        <f t="shared" si="4"/>
        <v>1304151.45</v>
      </c>
    </row>
    <row r="25" spans="1:24" x14ac:dyDescent="0.25">
      <c r="A25" s="117" t="s">
        <v>292</v>
      </c>
      <c r="B25" s="107"/>
      <c r="C25" s="107"/>
      <c r="D25" s="107"/>
      <c r="E25" s="107"/>
      <c r="F25" s="107"/>
      <c r="G25" s="107">
        <f t="shared" ref="G25:X25" si="5">$E$7*G7</f>
        <v>536823.91</v>
      </c>
      <c r="H25" s="107">
        <f t="shared" si="5"/>
        <v>506071.65</v>
      </c>
      <c r="I25" s="107">
        <f t="shared" si="5"/>
        <v>618082.91999999993</v>
      </c>
      <c r="J25" s="107">
        <f t="shared" si="5"/>
        <v>620881.24</v>
      </c>
      <c r="K25" s="107">
        <f t="shared" si="5"/>
        <v>606022.4800000001</v>
      </c>
      <c r="L25" s="107">
        <f t="shared" si="5"/>
        <v>463462.44</v>
      </c>
      <c r="M25" s="107">
        <f t="shared" si="5"/>
        <v>372881.45999999996</v>
      </c>
      <c r="N25" s="107">
        <f t="shared" si="5"/>
        <v>382864.44</v>
      </c>
      <c r="O25" s="107">
        <f t="shared" si="5"/>
        <v>446623.31</v>
      </c>
      <c r="P25" s="107">
        <f t="shared" si="5"/>
        <v>449125.04000000004</v>
      </c>
      <c r="Q25" s="107">
        <f t="shared" si="5"/>
        <v>568471.26</v>
      </c>
      <c r="R25" s="107">
        <f t="shared" si="5"/>
        <v>692948.62</v>
      </c>
      <c r="S25" s="107">
        <f t="shared" si="5"/>
        <v>642343.44999999995</v>
      </c>
      <c r="T25" s="107">
        <f t="shared" si="5"/>
        <v>538064.79999999993</v>
      </c>
      <c r="U25" s="107">
        <f t="shared" si="5"/>
        <v>620818.7300000001</v>
      </c>
      <c r="V25" s="107">
        <f t="shared" si="5"/>
        <v>582497.44000000006</v>
      </c>
      <c r="W25" s="107">
        <f t="shared" si="5"/>
        <v>598489.36</v>
      </c>
      <c r="X25" s="107">
        <f t="shared" si="5"/>
        <v>559042.89</v>
      </c>
    </row>
    <row r="26" spans="1:24" x14ac:dyDescent="0.25">
      <c r="A26" s="117" t="s">
        <v>293</v>
      </c>
      <c r="B26" s="107"/>
      <c r="C26" s="107"/>
      <c r="D26" s="107"/>
      <c r="E26" s="107"/>
      <c r="F26" s="107"/>
      <c r="G26" s="107">
        <f t="shared" ref="G26:X26" si="6">$E$8*G8</f>
        <v>1096970.7</v>
      </c>
      <c r="H26" s="107">
        <f t="shared" si="6"/>
        <v>921970.63</v>
      </c>
      <c r="I26" s="107">
        <f t="shared" si="6"/>
        <v>1249356.78</v>
      </c>
      <c r="J26" s="107">
        <f t="shared" si="6"/>
        <v>1084761.3</v>
      </c>
      <c r="K26" s="107">
        <f t="shared" si="6"/>
        <v>1152713.6600000001</v>
      </c>
      <c r="L26" s="107">
        <f t="shared" si="6"/>
        <v>1159325.0899999999</v>
      </c>
      <c r="M26" s="107">
        <f t="shared" si="6"/>
        <v>1101718.8</v>
      </c>
      <c r="N26" s="107">
        <f t="shared" si="6"/>
        <v>1220349.48</v>
      </c>
      <c r="O26" s="107">
        <f t="shared" si="6"/>
        <v>1089172.9100000001</v>
      </c>
      <c r="P26" s="107">
        <f t="shared" si="6"/>
        <v>1003764.3</v>
      </c>
      <c r="Q26" s="107">
        <f t="shared" si="6"/>
        <v>1110696.3</v>
      </c>
      <c r="R26" s="107">
        <f t="shared" si="6"/>
        <v>1240445.78</v>
      </c>
      <c r="S26" s="107">
        <f t="shared" si="6"/>
        <v>1049769</v>
      </c>
      <c r="T26" s="107">
        <f t="shared" si="6"/>
        <v>901661.53</v>
      </c>
      <c r="U26" s="107">
        <f t="shared" si="6"/>
        <v>976029.80999999994</v>
      </c>
      <c r="V26" s="107">
        <f t="shared" si="6"/>
        <v>853901.2300000001</v>
      </c>
      <c r="W26" s="107">
        <f t="shared" si="6"/>
        <v>932278.13</v>
      </c>
      <c r="X26" s="107">
        <f t="shared" si="6"/>
        <v>946733.9</v>
      </c>
    </row>
    <row r="27" spans="1:24" x14ac:dyDescent="0.25">
      <c r="A27" s="117" t="s">
        <v>294</v>
      </c>
      <c r="B27" s="107"/>
      <c r="C27" s="107"/>
      <c r="D27" s="107"/>
      <c r="E27" s="107"/>
      <c r="F27" s="107"/>
      <c r="G27" s="107">
        <f t="shared" ref="G27:X27" si="7">$E$9*G9</f>
        <v>148263.07999999999</v>
      </c>
      <c r="H27" s="107">
        <f t="shared" si="7"/>
        <v>110411.28</v>
      </c>
      <c r="I27" s="107">
        <f t="shared" si="7"/>
        <v>125760.81000000001</v>
      </c>
      <c r="J27" s="107">
        <f t="shared" si="7"/>
        <v>131292.28</v>
      </c>
      <c r="K27" s="107">
        <f t="shared" si="7"/>
        <v>121337.23</v>
      </c>
      <c r="L27" s="107">
        <f t="shared" si="7"/>
        <v>102324.88</v>
      </c>
      <c r="M27" s="107">
        <f t="shared" si="7"/>
        <v>92016.05</v>
      </c>
      <c r="N27" s="107">
        <f t="shared" si="7"/>
        <v>89340.09</v>
      </c>
      <c r="O27" s="107">
        <f t="shared" si="7"/>
        <v>92748.88</v>
      </c>
      <c r="P27" s="107">
        <f t="shared" si="7"/>
        <v>107768.56999999999</v>
      </c>
      <c r="Q27" s="107">
        <f t="shared" si="7"/>
        <v>101827.46</v>
      </c>
      <c r="R27" s="107">
        <f t="shared" si="7"/>
        <v>109771.55</v>
      </c>
      <c r="S27" s="107">
        <f t="shared" si="7"/>
        <v>116297.86</v>
      </c>
      <c r="T27" s="107">
        <f t="shared" si="7"/>
        <v>107460.01000000001</v>
      </c>
      <c r="U27" s="107">
        <f t="shared" si="7"/>
        <v>118767.67</v>
      </c>
      <c r="V27" s="107">
        <f t="shared" si="7"/>
        <v>117095.86</v>
      </c>
      <c r="W27" s="107">
        <f t="shared" si="7"/>
        <v>120608.39</v>
      </c>
      <c r="X27" s="107">
        <f t="shared" si="7"/>
        <v>118916.63</v>
      </c>
    </row>
    <row r="28" spans="1:24" x14ac:dyDescent="0.25">
      <c r="A28" s="117" t="s">
        <v>278</v>
      </c>
      <c r="B28" s="107"/>
      <c r="C28" s="107"/>
      <c r="D28" s="107"/>
      <c r="E28" s="107"/>
      <c r="F28" s="107"/>
      <c r="G28" s="107">
        <f>$E$10*G10</f>
        <v>205176.44</v>
      </c>
      <c r="H28" s="107">
        <f t="shared" ref="H28:R28" si="8">$E$10*H10</f>
        <v>178271.87000000002</v>
      </c>
      <c r="I28" s="107">
        <f t="shared" si="8"/>
        <v>188669.81</v>
      </c>
      <c r="J28" s="107">
        <f t="shared" si="8"/>
        <v>178132.22</v>
      </c>
      <c r="K28" s="107">
        <f t="shared" si="8"/>
        <v>177412.69</v>
      </c>
      <c r="L28" s="107">
        <f t="shared" si="8"/>
        <v>164219.09</v>
      </c>
      <c r="M28" s="107">
        <f t="shared" si="8"/>
        <v>161811.79</v>
      </c>
      <c r="N28" s="107">
        <f t="shared" si="8"/>
        <v>161281.12000000002</v>
      </c>
      <c r="O28" s="107">
        <f t="shared" si="8"/>
        <v>170773.33</v>
      </c>
      <c r="P28" s="107">
        <f t="shared" si="8"/>
        <v>203713.44</v>
      </c>
      <c r="Q28" s="107">
        <f t="shared" si="8"/>
        <v>204128.4</v>
      </c>
      <c r="R28" s="107">
        <f t="shared" si="8"/>
        <v>230723.08</v>
      </c>
      <c r="S28" s="107">
        <f t="shared" ref="S28:X28" si="9">S38*S10</f>
        <v>114633.72</v>
      </c>
      <c r="T28" s="107">
        <f t="shared" si="9"/>
        <v>72797.264800000004</v>
      </c>
      <c r="U28" s="107">
        <f t="shared" si="9"/>
        <v>55475.535299999989</v>
      </c>
      <c r="V28" s="107">
        <f t="shared" si="9"/>
        <v>17905.308000000001</v>
      </c>
      <c r="W28" s="107">
        <f t="shared" si="9"/>
        <v>6278.2880999999998</v>
      </c>
      <c r="X28" s="107">
        <f t="shared" si="9"/>
        <v>26003.335999999999</v>
      </c>
    </row>
    <row r="29" spans="1:24" x14ac:dyDescent="0.25">
      <c r="A29" s="117" t="s">
        <v>295</v>
      </c>
      <c r="B29" s="107"/>
      <c r="C29" s="107"/>
      <c r="D29" s="107"/>
      <c r="E29" s="107"/>
      <c r="F29" s="107"/>
      <c r="G29" s="107">
        <f>G38*G12</f>
        <v>66122.287200000006</v>
      </c>
      <c r="H29" s="107">
        <f t="shared" ref="H29:X29" si="10">H38*H12</f>
        <v>65418.691100000004</v>
      </c>
      <c r="I29" s="107">
        <f t="shared" si="10"/>
        <v>57151.476000000002</v>
      </c>
      <c r="J29" s="107">
        <f t="shared" si="10"/>
        <v>51851.971000000005</v>
      </c>
      <c r="K29" s="107">
        <f t="shared" si="10"/>
        <v>73395.668099999995</v>
      </c>
      <c r="L29" s="107">
        <f t="shared" si="10"/>
        <v>60090.223000000005</v>
      </c>
      <c r="M29" s="107">
        <f t="shared" si="10"/>
        <v>75505.144</v>
      </c>
      <c r="N29" s="107">
        <f t="shared" si="10"/>
        <v>75343.438699999999</v>
      </c>
      <c r="O29" s="107">
        <f t="shared" si="10"/>
        <v>63710.397799999992</v>
      </c>
      <c r="P29" s="107">
        <f t="shared" si="10"/>
        <v>68520.263999999996</v>
      </c>
      <c r="Q29" s="107">
        <f t="shared" si="10"/>
        <v>64264.67010000001</v>
      </c>
      <c r="R29" s="107">
        <f t="shared" si="10"/>
        <v>60989.221999999994</v>
      </c>
      <c r="S29" s="107">
        <f t="shared" si="10"/>
        <v>38837.519999999997</v>
      </c>
      <c r="T29" s="107">
        <f t="shared" si="10"/>
        <v>26538.004999999997</v>
      </c>
      <c r="U29" s="107">
        <f t="shared" si="10"/>
        <v>23965.606999999996</v>
      </c>
      <c r="V29" s="107">
        <f t="shared" si="10"/>
        <v>13264.735200000001</v>
      </c>
      <c r="W29" s="107">
        <f t="shared" si="10"/>
        <v>9749.4172999999992</v>
      </c>
      <c r="X29" s="107">
        <f t="shared" si="10"/>
        <v>15736.641999999998</v>
      </c>
    </row>
    <row r="30" spans="1:24" x14ac:dyDescent="0.25">
      <c r="A30" s="118" t="s">
        <v>281</v>
      </c>
      <c r="B30" s="107"/>
      <c r="C30" s="107"/>
      <c r="D30" s="107"/>
      <c r="E30" s="107"/>
      <c r="F30" s="107"/>
      <c r="G30" s="107">
        <f t="shared" ref="G30:X30" si="11">$E$13*G13</f>
        <v>109819.43000000001</v>
      </c>
      <c r="H30" s="107">
        <f t="shared" si="11"/>
        <v>115873.59</v>
      </c>
      <c r="I30" s="107">
        <f t="shared" si="11"/>
        <v>130050.06000000001</v>
      </c>
      <c r="J30" s="107">
        <f t="shared" si="11"/>
        <v>129913.06999999999</v>
      </c>
      <c r="K30" s="107">
        <f t="shared" si="11"/>
        <v>139962.54999999999</v>
      </c>
      <c r="L30" s="107">
        <f t="shared" si="11"/>
        <v>142067.94</v>
      </c>
      <c r="M30" s="107">
        <f t="shared" si="11"/>
        <v>137184.18</v>
      </c>
      <c r="N30" s="107">
        <f t="shared" si="11"/>
        <v>144731.93</v>
      </c>
      <c r="O30" s="107">
        <f t="shared" si="11"/>
        <v>131881.47</v>
      </c>
      <c r="P30" s="107">
        <f t="shared" si="11"/>
        <v>125360.48</v>
      </c>
      <c r="Q30" s="107">
        <f t="shared" si="11"/>
        <v>103126.87</v>
      </c>
      <c r="R30" s="107">
        <f t="shared" si="11"/>
        <v>121067.23999999999</v>
      </c>
      <c r="S30" s="107">
        <f t="shared" si="11"/>
        <v>102436.6</v>
      </c>
      <c r="T30" s="107">
        <f t="shared" si="11"/>
        <v>92963.010000000009</v>
      </c>
      <c r="U30" s="107">
        <f t="shared" si="11"/>
        <v>110016.27</v>
      </c>
      <c r="V30" s="107">
        <f t="shared" si="11"/>
        <v>114906.68000000001</v>
      </c>
      <c r="W30" s="107">
        <f t="shared" si="11"/>
        <v>131691.28</v>
      </c>
      <c r="X30" s="107">
        <f t="shared" si="11"/>
        <v>125711.6</v>
      </c>
    </row>
    <row r="31" spans="1:24" x14ac:dyDescent="0.25">
      <c r="A31" s="118" t="s">
        <v>37</v>
      </c>
      <c r="B31" s="107"/>
      <c r="C31" s="107"/>
      <c r="D31" s="107"/>
      <c r="E31" s="107"/>
      <c r="F31" s="107"/>
      <c r="G31" s="107">
        <f>SUM(G21:G30)</f>
        <v>4496740.6472000005</v>
      </c>
      <c r="H31" s="107">
        <f t="shared" ref="H31:T31" si="12">SUM(H21:H30)</f>
        <v>4381669.0210999995</v>
      </c>
      <c r="I31" s="107">
        <f t="shared" si="12"/>
        <v>4957781.1959999986</v>
      </c>
      <c r="J31" s="107">
        <f t="shared" si="12"/>
        <v>4774055.5410000002</v>
      </c>
      <c r="K31" s="107">
        <f t="shared" si="12"/>
        <v>4525062.6081000008</v>
      </c>
      <c r="L31" s="107">
        <f t="shared" si="12"/>
        <v>4403904.8030000003</v>
      </c>
      <c r="M31" s="107">
        <f t="shared" si="12"/>
        <v>3896104.3739999998</v>
      </c>
      <c r="N31" s="107">
        <f t="shared" si="12"/>
        <v>4363482.8887</v>
      </c>
      <c r="O31" s="107">
        <f t="shared" si="12"/>
        <v>4502887.3077999996</v>
      </c>
      <c r="P31" s="107">
        <f t="shared" si="12"/>
        <v>4264136.9339999994</v>
      </c>
      <c r="Q31" s="107">
        <f t="shared" si="12"/>
        <v>4218884.0900999997</v>
      </c>
      <c r="R31" s="107">
        <f t="shared" si="12"/>
        <v>4585750.3020000001</v>
      </c>
      <c r="S31" s="107">
        <f t="shared" si="12"/>
        <v>4119476.71</v>
      </c>
      <c r="T31" s="107">
        <f t="shared" si="12"/>
        <v>3796356.2197999991</v>
      </c>
      <c r="U31" s="107">
        <f>SUM(U21:U30)</f>
        <v>3895905.4022999997</v>
      </c>
      <c r="V31" s="107">
        <f t="shared" ref="V31:X31" si="13">SUM(V21:V30)</f>
        <v>3571757.7232000004</v>
      </c>
      <c r="W31" s="107">
        <f t="shared" si="13"/>
        <v>3523528.9753999994</v>
      </c>
      <c r="X31" s="107">
        <f t="shared" si="13"/>
        <v>4262759.648</v>
      </c>
    </row>
    <row r="33" spans="1:24" x14ac:dyDescent="0.25">
      <c r="A33" s="34" t="s">
        <v>676</v>
      </c>
      <c r="I33" s="107">
        <f>SUM(G31:I31)</f>
        <v>13836190.864299998</v>
      </c>
      <c r="J33" s="107"/>
      <c r="K33" s="107"/>
      <c r="L33" s="107">
        <f>SUM(J31:L31)</f>
        <v>13703022.952100001</v>
      </c>
      <c r="M33" s="107"/>
      <c r="N33" s="107"/>
      <c r="O33" s="107">
        <f>SUM(M31:O31)</f>
        <v>12762474.570499999</v>
      </c>
      <c r="P33" s="107"/>
      <c r="Q33" s="107"/>
      <c r="R33" s="107">
        <f>SUM(P31:R31)</f>
        <v>13068771.326099999</v>
      </c>
      <c r="S33" s="107"/>
      <c r="T33" s="107"/>
      <c r="U33" s="107">
        <f>SUM(S31:U31)</f>
        <v>11811738.332099998</v>
      </c>
      <c r="X33" s="107">
        <f>SUM(V31:X31)</f>
        <v>11358046.3466</v>
      </c>
    </row>
    <row r="34" spans="1:24" x14ac:dyDescent="0.25">
      <c r="A34" s="34" t="s">
        <v>677</v>
      </c>
      <c r="L34" s="40">
        <f>(L33/I33)-1</f>
        <v>-9.6246079217940927E-3</v>
      </c>
      <c r="M34" s="40"/>
      <c r="N34" s="40"/>
      <c r="O34" s="40">
        <f>(O33/L33)-1</f>
        <v>-6.8638021324766263E-2</v>
      </c>
      <c r="P34" s="40"/>
      <c r="Q34" s="40"/>
      <c r="R34" s="40">
        <f>(R33/O33)-1</f>
        <v>2.3999793606483966E-2</v>
      </c>
      <c r="S34" s="40"/>
      <c r="T34" s="40"/>
      <c r="U34" s="40">
        <f>(U33/R33)-1</f>
        <v>-9.6186011877761324E-2</v>
      </c>
      <c r="X34" s="40">
        <f>(X33/U33)-1</f>
        <v>-3.8410263819257606E-2</v>
      </c>
    </row>
    <row r="35" spans="1:24" x14ac:dyDescent="0.25">
      <c r="A35" s="34" t="s">
        <v>678</v>
      </c>
      <c r="L35" s="40"/>
      <c r="M35" s="40"/>
      <c r="N35" s="40"/>
      <c r="O35" s="40"/>
      <c r="P35" s="40"/>
      <c r="Q35" s="40"/>
      <c r="R35" s="40"/>
      <c r="S35" s="40"/>
      <c r="T35" s="40"/>
      <c r="U35" s="40">
        <f>(U33/I33)-1</f>
        <v>-0.14631574195926078</v>
      </c>
      <c r="X35" s="40">
        <f>(X33/L33)-1</f>
        <v>-0.17112841551072722</v>
      </c>
    </row>
    <row r="37" spans="1:24" x14ac:dyDescent="0.25">
      <c r="A37" s="25" t="s">
        <v>576</v>
      </c>
      <c r="G37" s="25" t="s">
        <v>484</v>
      </c>
      <c r="H37" s="25" t="s">
        <v>485</v>
      </c>
      <c r="I37" s="25" t="s">
        <v>486</v>
      </c>
      <c r="J37" s="25" t="s">
        <v>487</v>
      </c>
      <c r="K37" s="25" t="s">
        <v>488</v>
      </c>
      <c r="L37" s="25" t="s">
        <v>489</v>
      </c>
      <c r="M37" s="25" t="s">
        <v>490</v>
      </c>
      <c r="N37" s="25" t="s">
        <v>491</v>
      </c>
      <c r="O37" s="25" t="s">
        <v>492</v>
      </c>
      <c r="P37" s="25" t="s">
        <v>493</v>
      </c>
      <c r="Q37" s="25" t="s">
        <v>494</v>
      </c>
      <c r="R37" s="25" t="s">
        <v>495</v>
      </c>
      <c r="S37" s="25" t="s">
        <v>496</v>
      </c>
      <c r="T37" s="25" t="s">
        <v>497</v>
      </c>
      <c r="U37" s="25" t="s">
        <v>574</v>
      </c>
      <c r="V37" s="25" t="s">
        <v>731</v>
      </c>
      <c r="W37" s="25" t="s">
        <v>732</v>
      </c>
      <c r="X37" s="25" t="s">
        <v>733</v>
      </c>
    </row>
    <row r="38" spans="1:24" x14ac:dyDescent="0.25">
      <c r="A38" s="24" t="s">
        <v>573</v>
      </c>
      <c r="G38" s="62">
        <f>PTF!B8</f>
        <v>71.64</v>
      </c>
      <c r="H38" s="62">
        <f>PTF!C8</f>
        <v>69.53</v>
      </c>
      <c r="I38" s="62">
        <f>PTF!D8</f>
        <v>59.76</v>
      </c>
      <c r="J38" s="62">
        <f>PTF!E8</f>
        <v>65.540000000000006</v>
      </c>
      <c r="K38" s="62">
        <f>PTF!F8</f>
        <v>64.03</v>
      </c>
      <c r="L38" s="62">
        <f>PTF!G8</f>
        <v>56.95</v>
      </c>
      <c r="M38" s="62">
        <f>PTF!H8</f>
        <v>74.36</v>
      </c>
      <c r="N38" s="62">
        <f>PTF!I8</f>
        <v>72.53</v>
      </c>
      <c r="O38" s="62">
        <f>PTF!J8</f>
        <v>67.13</v>
      </c>
      <c r="P38" s="62">
        <f>PTF!K8</f>
        <v>66.28</v>
      </c>
      <c r="Q38" s="62">
        <f>PTF!L8</f>
        <v>66.790000000000006</v>
      </c>
      <c r="R38" s="62">
        <f>PTF!M8</f>
        <v>70.599999999999994</v>
      </c>
      <c r="S38" s="62">
        <f>PTF!N8</f>
        <v>68</v>
      </c>
      <c r="T38" s="62">
        <f>PTF!O8</f>
        <v>49.19</v>
      </c>
      <c r="U38" s="62">
        <f>PTF!P8</f>
        <v>39.229999999999997</v>
      </c>
      <c r="V38" s="62">
        <f>PTF!Q8</f>
        <v>23.96</v>
      </c>
      <c r="W38" s="62">
        <f>PTF!R8</f>
        <v>17.57</v>
      </c>
      <c r="X38" s="62">
        <f>PTF!S8</f>
        <v>29.08</v>
      </c>
    </row>
    <row r="40" spans="1:24" x14ac:dyDescent="0.25">
      <c r="A40" s="34" t="s">
        <v>681</v>
      </c>
      <c r="B40" s="25" t="s">
        <v>111</v>
      </c>
      <c r="C40" s="25" t="s">
        <v>683</v>
      </c>
      <c r="D40" s="25" t="s">
        <v>685</v>
      </c>
      <c r="E40" s="25" t="s">
        <v>686</v>
      </c>
      <c r="F40" s="25" t="s">
        <v>687</v>
      </c>
      <c r="G40" s="25" t="s">
        <v>484</v>
      </c>
      <c r="H40" s="25" t="s">
        <v>485</v>
      </c>
      <c r="I40" s="25" t="s">
        <v>486</v>
      </c>
      <c r="J40" s="25" t="s">
        <v>487</v>
      </c>
      <c r="K40" s="25" t="s">
        <v>488</v>
      </c>
      <c r="L40" s="25" t="s">
        <v>489</v>
      </c>
      <c r="M40" s="25" t="s">
        <v>490</v>
      </c>
      <c r="N40" s="25" t="s">
        <v>491</v>
      </c>
      <c r="O40" s="25" t="s">
        <v>492</v>
      </c>
      <c r="P40" s="25" t="s">
        <v>493</v>
      </c>
      <c r="Q40" s="25" t="s">
        <v>494</v>
      </c>
      <c r="R40" s="25" t="s">
        <v>495</v>
      </c>
      <c r="S40" s="25" t="s">
        <v>496</v>
      </c>
      <c r="T40" s="25" t="s">
        <v>497</v>
      </c>
      <c r="U40" s="25" t="s">
        <v>574</v>
      </c>
      <c r="V40" s="25" t="s">
        <v>731</v>
      </c>
      <c r="W40" s="25" t="s">
        <v>732</v>
      </c>
      <c r="X40" s="25" t="s">
        <v>733</v>
      </c>
    </row>
    <row r="41" spans="1:24" x14ac:dyDescent="0.25">
      <c r="A41" s="35" t="s">
        <v>288</v>
      </c>
      <c r="G41" s="62">
        <f>$G$58*G21</f>
        <v>7195947.8695999999</v>
      </c>
      <c r="H41" s="62">
        <f>$H$58*H21</f>
        <v>7098763.6524</v>
      </c>
      <c r="I41" s="62">
        <f>$I$58*I21</f>
        <v>7871569.6751999985</v>
      </c>
      <c r="J41" s="62">
        <f>$J$58*J21</f>
        <v>7510713.091</v>
      </c>
      <c r="K41" s="62">
        <f>$K$58*K21</f>
        <v>7845556.3647999996</v>
      </c>
      <c r="L41" s="62">
        <f>$L$58*L21</f>
        <v>7145908.1490999991</v>
      </c>
      <c r="M41" s="62">
        <f>$M$58*M21</f>
        <v>7696047.8195999991</v>
      </c>
      <c r="N41" s="62">
        <f>$N$58*N21</f>
        <v>8483372.0824999996</v>
      </c>
      <c r="O41" s="62">
        <f>$O$58*O21</f>
        <v>7824841.7211999996</v>
      </c>
      <c r="P41" s="62">
        <f>$P$58*P21</f>
        <v>5283219.5150000006</v>
      </c>
      <c r="Q41" s="62">
        <f>$Q$58*Q21</f>
        <v>5862865.8340000007</v>
      </c>
      <c r="R41" s="62">
        <f>$R$58*R21</f>
        <v>5444921.8326999992</v>
      </c>
      <c r="S41" s="62">
        <f>$S$58*S21</f>
        <v>5004237.4115999993</v>
      </c>
      <c r="T41" s="62">
        <f>$T$58*T21</f>
        <v>4265763.6098000007</v>
      </c>
      <c r="U41" s="62">
        <f>$U$58*U21</f>
        <v>3899486.0520000001</v>
      </c>
      <c r="V41" s="62">
        <f t="shared" ref="V41:W41" si="14">$U$58*V21</f>
        <v>4278384.432</v>
      </c>
      <c r="W41" s="62">
        <f t="shared" si="14"/>
        <v>5301996.5880000005</v>
      </c>
      <c r="X41" s="62">
        <f>$U$58*X21</f>
        <v>6500981.2140000006</v>
      </c>
    </row>
    <row r="42" spans="1:24" x14ac:dyDescent="0.25">
      <c r="A42" s="35" t="s">
        <v>289</v>
      </c>
      <c r="G42" s="62">
        <f t="shared" ref="G42:G50" si="15">$G$58*G22</f>
        <v>15839635.851199999</v>
      </c>
      <c r="H42" s="62">
        <f t="shared" ref="H42:H50" si="16">$H$58*H22</f>
        <v>14358027.608399998</v>
      </c>
      <c r="I42" s="62">
        <f t="shared" ref="I42:I50" si="17">$I$58*I22</f>
        <v>17787414.360800002</v>
      </c>
      <c r="J42" s="62">
        <f t="shared" ref="J42:J50" si="18">$J$58*J22</f>
        <v>17049026.210999999</v>
      </c>
      <c r="K42" s="62">
        <f t="shared" ref="K42:K50" si="19">$K$58*K22</f>
        <v>14375040.063999999</v>
      </c>
      <c r="L42" s="62">
        <f t="shared" ref="L42:L50" si="20">$L$58*L22</f>
        <v>15318375.268699996</v>
      </c>
      <c r="M42" s="62">
        <f t="shared" ref="M42:M50" si="21">$M$58*M22</f>
        <v>17767087.518600002</v>
      </c>
      <c r="N42" s="62">
        <f t="shared" ref="N42:N50" si="22">$N$58*N22</f>
        <v>15406614.93</v>
      </c>
      <c r="O42" s="62">
        <f t="shared" ref="O42:O50" si="23">$O$58*O22</f>
        <v>18030577.516000003</v>
      </c>
      <c r="P42" s="62">
        <f t="shared" ref="P42:P50" si="24">$P$58*P22</f>
        <v>17887295.685000002</v>
      </c>
      <c r="Q42" s="62">
        <f t="shared" ref="Q42:Q50" si="25">$Q$58*Q22</f>
        <v>19261264.554000001</v>
      </c>
      <c r="R42" s="62">
        <f t="shared" ref="R42:R50" si="26">$R$58*R22</f>
        <v>16019049.685799999</v>
      </c>
      <c r="S42" s="62">
        <f t="shared" ref="S42:S50" si="27">$S$58*S22</f>
        <v>14313870.118799999</v>
      </c>
      <c r="T42" s="62">
        <f t="shared" ref="T42:T50" si="28">$T$58*T22</f>
        <v>12207707.6149</v>
      </c>
      <c r="U42" s="62">
        <f t="shared" ref="U42:X50" si="29">$U$58*U22</f>
        <v>13284435.276000001</v>
      </c>
      <c r="V42" s="62">
        <f t="shared" si="29"/>
        <v>9353569.8690000009</v>
      </c>
      <c r="W42" s="62">
        <f t="shared" si="29"/>
        <v>12680895.905999999</v>
      </c>
      <c r="X42" s="62">
        <f t="shared" si="29"/>
        <v>18255511.638</v>
      </c>
    </row>
    <row r="43" spans="1:24" x14ac:dyDescent="0.25">
      <c r="A43" s="35" t="s">
        <v>290</v>
      </c>
      <c r="G43" s="62">
        <f t="shared" si="15"/>
        <v>19244797.983599998</v>
      </c>
      <c r="H43" s="62">
        <f t="shared" si="16"/>
        <v>20359566.796799999</v>
      </c>
      <c r="I43" s="62">
        <f t="shared" si="17"/>
        <v>23643380.207999997</v>
      </c>
      <c r="J43" s="62">
        <f t="shared" si="18"/>
        <v>23724934.477999996</v>
      </c>
      <c r="K43" s="62">
        <f t="shared" si="19"/>
        <v>24221947.657600001</v>
      </c>
      <c r="L43" s="62">
        <f t="shared" si="20"/>
        <v>23855125.517999999</v>
      </c>
      <c r="M43" s="62">
        <f t="shared" si="21"/>
        <v>24994457.8884</v>
      </c>
      <c r="N43" s="62">
        <f t="shared" si="22"/>
        <v>25066343.75</v>
      </c>
      <c r="O43" s="62">
        <f t="shared" si="23"/>
        <v>23965864.297200002</v>
      </c>
      <c r="P43" s="62">
        <f t="shared" si="24"/>
        <v>23260025.530000001</v>
      </c>
      <c r="Q43" s="62">
        <f t="shared" si="25"/>
        <v>22102643.304000001</v>
      </c>
      <c r="R43" s="62">
        <f t="shared" si="26"/>
        <v>23446276.921199996</v>
      </c>
      <c r="S43" s="62">
        <f t="shared" si="27"/>
        <v>23925416.3904</v>
      </c>
      <c r="T43" s="62">
        <f t="shared" si="28"/>
        <v>24680307.166900001</v>
      </c>
      <c r="U43" s="62">
        <f t="shared" si="29"/>
        <v>28221888.050999999</v>
      </c>
      <c r="V43" s="62">
        <f t="shared" si="29"/>
        <v>28058950.017000001</v>
      </c>
      <c r="W43" s="62">
        <f t="shared" si="29"/>
        <v>27934371.044999998</v>
      </c>
      <c r="X43" s="62">
        <f t="shared" si="29"/>
        <v>26684534.268000007</v>
      </c>
    </row>
    <row r="44" spans="1:24" x14ac:dyDescent="0.25">
      <c r="A44" s="35" t="s">
        <v>291</v>
      </c>
      <c r="G44" s="62">
        <f t="shared" si="15"/>
        <v>40514497.399599999</v>
      </c>
      <c r="H44" s="62">
        <f t="shared" si="16"/>
        <v>47893127.259599999</v>
      </c>
      <c r="I44" s="62">
        <f t="shared" si="17"/>
        <v>46583429.709600002</v>
      </c>
      <c r="J44" s="62">
        <f t="shared" si="18"/>
        <v>49778678.873000003</v>
      </c>
      <c r="K44" s="62">
        <f t="shared" si="19"/>
        <v>40840789.651199996</v>
      </c>
      <c r="L44" s="62">
        <f t="shared" si="20"/>
        <v>44720375.126000002</v>
      </c>
      <c r="M44" s="62">
        <f t="shared" si="21"/>
        <v>28015582.946400002</v>
      </c>
      <c r="N44" s="62">
        <f t="shared" si="22"/>
        <v>44343744.130000003</v>
      </c>
      <c r="O44" s="62">
        <f t="shared" si="23"/>
        <v>53607688.358000003</v>
      </c>
      <c r="P44" s="62">
        <f t="shared" si="24"/>
        <v>49840151.340000004</v>
      </c>
      <c r="Q44" s="62">
        <f t="shared" si="25"/>
        <v>39974003.593999997</v>
      </c>
      <c r="R44" s="62">
        <f t="shared" si="26"/>
        <v>45840734.514399998</v>
      </c>
      <c r="S44" s="62">
        <f t="shared" si="27"/>
        <v>45416016.357599996</v>
      </c>
      <c r="T44" s="62">
        <f t="shared" si="28"/>
        <v>48546392.084399991</v>
      </c>
      <c r="U44" s="62">
        <f t="shared" si="29"/>
        <v>42389872.119000003</v>
      </c>
      <c r="V44" s="62">
        <f t="shared" si="29"/>
        <v>40872519.009000003</v>
      </c>
      <c r="W44" s="62">
        <f t="shared" si="29"/>
        <v>30130280.711999997</v>
      </c>
      <c r="X44" s="62">
        <f t="shared" si="29"/>
        <v>57513078.945</v>
      </c>
    </row>
    <row r="45" spans="1:24" x14ac:dyDescent="0.25">
      <c r="A45" s="35" t="s">
        <v>292</v>
      </c>
      <c r="G45" s="62">
        <f t="shared" si="15"/>
        <v>19046512.3268</v>
      </c>
      <c r="H45" s="62">
        <f t="shared" si="16"/>
        <v>18279307.998</v>
      </c>
      <c r="I45" s="62">
        <f t="shared" si="17"/>
        <v>22893791.356799997</v>
      </c>
      <c r="J45" s="62">
        <f t="shared" si="18"/>
        <v>23624531.181999996</v>
      </c>
      <c r="K45" s="62">
        <f t="shared" si="19"/>
        <v>23465190.425600003</v>
      </c>
      <c r="L45" s="62">
        <f t="shared" si="20"/>
        <v>18246516.262800001</v>
      </c>
      <c r="M45" s="62">
        <f t="shared" si="21"/>
        <v>14967461.804399999</v>
      </c>
      <c r="N45" s="62">
        <f t="shared" si="22"/>
        <v>15601725.93</v>
      </c>
      <c r="O45" s="62">
        <f t="shared" si="23"/>
        <v>18418745.304400001</v>
      </c>
      <c r="P45" s="62">
        <f t="shared" si="24"/>
        <v>18750970.420000002</v>
      </c>
      <c r="Q45" s="62">
        <f t="shared" si="25"/>
        <v>23989487.172000002</v>
      </c>
      <c r="R45" s="62">
        <f t="shared" si="26"/>
        <v>29526540.698199999</v>
      </c>
      <c r="S45" s="62">
        <f t="shared" si="27"/>
        <v>27710696.432999998</v>
      </c>
      <c r="T45" s="62">
        <f t="shared" si="28"/>
        <v>23465005.927999996</v>
      </c>
      <c r="U45" s="62">
        <f t="shared" si="29"/>
        <v>27378105.993000004</v>
      </c>
      <c r="V45" s="62">
        <f t="shared" si="29"/>
        <v>25688137.104000002</v>
      </c>
      <c r="W45" s="62">
        <f t="shared" si="29"/>
        <v>26393380.776000001</v>
      </c>
      <c r="X45" s="62">
        <f t="shared" si="29"/>
        <v>24653791.449000001</v>
      </c>
    </row>
    <row r="46" spans="1:24" x14ac:dyDescent="0.25">
      <c r="A46" s="35" t="s">
        <v>293</v>
      </c>
      <c r="B46" s="25">
        <v>13.6</v>
      </c>
      <c r="G46" s="62">
        <f t="shared" si="15"/>
        <v>38920520.435999997</v>
      </c>
      <c r="H46" s="62">
        <f t="shared" si="16"/>
        <v>33301579.155599996</v>
      </c>
      <c r="I46" s="62">
        <f t="shared" si="17"/>
        <v>46276175.131200001</v>
      </c>
      <c r="J46" s="62">
        <f t="shared" si="18"/>
        <v>41275167.464999996</v>
      </c>
      <c r="K46" s="62">
        <f t="shared" si="19"/>
        <v>44633072.915200002</v>
      </c>
      <c r="L46" s="62">
        <f t="shared" si="20"/>
        <v>45642628.793299988</v>
      </c>
      <c r="M46" s="62">
        <f t="shared" si="21"/>
        <v>44222992.631999999</v>
      </c>
      <c r="N46" s="62">
        <f t="shared" si="22"/>
        <v>49729241.310000002</v>
      </c>
      <c r="O46" s="62">
        <f t="shared" si="23"/>
        <v>44917490.808400005</v>
      </c>
      <c r="P46" s="62">
        <f t="shared" si="24"/>
        <v>41907159.524999999</v>
      </c>
      <c r="Q46" s="62">
        <f t="shared" si="25"/>
        <v>46871383.860000007</v>
      </c>
      <c r="R46" s="62">
        <f t="shared" si="26"/>
        <v>52855394.685800001</v>
      </c>
      <c r="S46" s="62">
        <f t="shared" si="27"/>
        <v>45287034.660000004</v>
      </c>
      <c r="T46" s="62">
        <f t="shared" si="28"/>
        <v>39321459.323300004</v>
      </c>
      <c r="U46" s="62">
        <f t="shared" si="29"/>
        <v>43042914.620999999</v>
      </c>
      <c r="V46" s="62">
        <f t="shared" si="29"/>
        <v>37657044.243000008</v>
      </c>
      <c r="W46" s="62">
        <f t="shared" si="29"/>
        <v>41113465.533</v>
      </c>
      <c r="X46" s="62">
        <f t="shared" si="29"/>
        <v>41750964.990000002</v>
      </c>
    </row>
    <row r="47" spans="1:24" x14ac:dyDescent="0.25">
      <c r="A47" s="35" t="s">
        <v>294</v>
      </c>
      <c r="G47" s="62">
        <f t="shared" si="15"/>
        <v>5260374.0783999991</v>
      </c>
      <c r="H47" s="62">
        <f t="shared" si="16"/>
        <v>3988055.4335999996</v>
      </c>
      <c r="I47" s="62">
        <f t="shared" si="17"/>
        <v>4658180.4024</v>
      </c>
      <c r="J47" s="62">
        <f t="shared" si="18"/>
        <v>4995671.2539999997</v>
      </c>
      <c r="K47" s="62">
        <f t="shared" si="19"/>
        <v>4698177.5455999998</v>
      </c>
      <c r="L47" s="62">
        <f t="shared" si="20"/>
        <v>4028530.5255999998</v>
      </c>
      <c r="M47" s="62">
        <f t="shared" si="21"/>
        <v>3693524.247</v>
      </c>
      <c r="N47" s="62">
        <f t="shared" si="22"/>
        <v>3640608.6675</v>
      </c>
      <c r="O47" s="62">
        <f t="shared" si="23"/>
        <v>3824963.8112000003</v>
      </c>
      <c r="P47" s="62">
        <f t="shared" si="24"/>
        <v>4499337.7974999994</v>
      </c>
      <c r="Q47" s="62">
        <f t="shared" si="25"/>
        <v>4297118.8120000008</v>
      </c>
      <c r="R47" s="62">
        <f t="shared" si="26"/>
        <v>4677365.7455000002</v>
      </c>
      <c r="S47" s="62">
        <f t="shared" si="27"/>
        <v>5017089.6804</v>
      </c>
      <c r="T47" s="62">
        <f t="shared" si="28"/>
        <v>4686331.0361000001</v>
      </c>
      <c r="U47" s="62">
        <f t="shared" si="29"/>
        <v>5237654.2470000004</v>
      </c>
      <c r="V47" s="62">
        <f t="shared" si="29"/>
        <v>5163927.426</v>
      </c>
      <c r="W47" s="62">
        <f t="shared" si="29"/>
        <v>5318829.9989999998</v>
      </c>
      <c r="X47" s="62">
        <f t="shared" si="29"/>
        <v>5244223.3830000004</v>
      </c>
    </row>
    <row r="48" spans="1:24" x14ac:dyDescent="0.25">
      <c r="A48" s="35" t="s">
        <v>278</v>
      </c>
      <c r="G48" s="62">
        <f t="shared" si="15"/>
        <v>7279660.0911999997</v>
      </c>
      <c r="H48" s="62">
        <f t="shared" si="16"/>
        <v>6439179.9444000004</v>
      </c>
      <c r="I48" s="62">
        <f t="shared" si="17"/>
        <v>6988329.7623999994</v>
      </c>
      <c r="J48" s="62">
        <f t="shared" si="18"/>
        <v>6777930.9709999999</v>
      </c>
      <c r="K48" s="62">
        <f t="shared" si="19"/>
        <v>6869419.3568000002</v>
      </c>
      <c r="L48" s="62">
        <f t="shared" si="20"/>
        <v>6465305.5732999993</v>
      </c>
      <c r="M48" s="62">
        <f t="shared" si="21"/>
        <v>6495125.2506000008</v>
      </c>
      <c r="N48" s="62">
        <f t="shared" si="22"/>
        <v>6572205.6400000006</v>
      </c>
      <c r="O48" s="62">
        <f t="shared" si="23"/>
        <v>7042692.1291999994</v>
      </c>
      <c r="P48" s="62">
        <f t="shared" si="24"/>
        <v>8505036.1199999992</v>
      </c>
      <c r="Q48" s="62">
        <f t="shared" si="25"/>
        <v>8614218.4800000004</v>
      </c>
      <c r="R48" s="62">
        <f t="shared" si="26"/>
        <v>9831110.4387999997</v>
      </c>
      <c r="S48" s="62">
        <f t="shared" si="27"/>
        <v>4945298.6808000002</v>
      </c>
      <c r="T48" s="62">
        <f t="shared" si="28"/>
        <v>3174688.7179280003</v>
      </c>
      <c r="U48" s="62">
        <f t="shared" si="29"/>
        <v>2446471.1067299997</v>
      </c>
      <c r="V48" s="62">
        <f t="shared" si="29"/>
        <v>789624.08280000009</v>
      </c>
      <c r="W48" s="62">
        <f t="shared" si="29"/>
        <v>276872.50520999997</v>
      </c>
      <c r="X48" s="62">
        <f t="shared" si="29"/>
        <v>1146747.1176</v>
      </c>
    </row>
    <row r="49" spans="1:31" x14ac:dyDescent="0.25">
      <c r="A49" s="35" t="s">
        <v>295</v>
      </c>
      <c r="G49" s="62">
        <f t="shared" si="15"/>
        <v>2346018.7498559998</v>
      </c>
      <c r="H49" s="62">
        <f t="shared" si="16"/>
        <v>2362923.1225319998</v>
      </c>
      <c r="I49" s="62">
        <f t="shared" si="17"/>
        <v>2116890.6710399999</v>
      </c>
      <c r="J49" s="62">
        <f t="shared" si="18"/>
        <v>1972967.49655</v>
      </c>
      <c r="K49" s="62">
        <f t="shared" si="19"/>
        <v>2841880.2688319995</v>
      </c>
      <c r="L49" s="62">
        <f t="shared" si="20"/>
        <v>2365752.0795100001</v>
      </c>
      <c r="M49" s="62">
        <f t="shared" si="21"/>
        <v>3030776.4801600003</v>
      </c>
      <c r="N49" s="62">
        <f t="shared" si="22"/>
        <v>3070245.1270249998</v>
      </c>
      <c r="O49" s="62">
        <f t="shared" si="23"/>
        <v>2627416.8052719999</v>
      </c>
      <c r="P49" s="62">
        <f t="shared" si="24"/>
        <v>2860721.0219999999</v>
      </c>
      <c r="Q49" s="62">
        <f t="shared" si="25"/>
        <v>2711969.0782200005</v>
      </c>
      <c r="R49" s="62">
        <f t="shared" si="26"/>
        <v>2598750.7494199998</v>
      </c>
      <c r="S49" s="62">
        <f t="shared" si="27"/>
        <v>1675450.6127999998</v>
      </c>
      <c r="T49" s="62">
        <f t="shared" si="28"/>
        <v>1157322.39805</v>
      </c>
      <c r="U49" s="62">
        <f t="shared" si="29"/>
        <v>1056883.2686999999</v>
      </c>
      <c r="V49" s="62">
        <f t="shared" si="29"/>
        <v>584974.82232000004</v>
      </c>
      <c r="W49" s="62">
        <f t="shared" si="29"/>
        <v>429949.30293000001</v>
      </c>
      <c r="X49" s="62">
        <f t="shared" si="29"/>
        <v>693985.9121999999</v>
      </c>
    </row>
    <row r="50" spans="1:31" x14ac:dyDescent="0.25">
      <c r="A50" s="91" t="s">
        <v>281</v>
      </c>
      <c r="G50" s="62">
        <f t="shared" si="15"/>
        <v>3896393.3764</v>
      </c>
      <c r="H50" s="62">
        <f t="shared" si="16"/>
        <v>4185354.0707999994</v>
      </c>
      <c r="I50" s="62">
        <f t="shared" si="17"/>
        <v>4817054.2224000003</v>
      </c>
      <c r="J50" s="62">
        <f t="shared" si="18"/>
        <v>4943192.3134999992</v>
      </c>
      <c r="K50" s="62">
        <f t="shared" si="19"/>
        <v>5419349.9359999998</v>
      </c>
      <c r="L50" s="62">
        <f t="shared" si="20"/>
        <v>5593214.7977999998</v>
      </c>
      <c r="M50" s="62">
        <f t="shared" si="21"/>
        <v>5506572.9852</v>
      </c>
      <c r="N50" s="62">
        <f t="shared" si="22"/>
        <v>5897826.1475</v>
      </c>
      <c r="O50" s="62">
        <f t="shared" si="23"/>
        <v>5438791.8228000002</v>
      </c>
      <c r="P50" s="62">
        <f t="shared" si="24"/>
        <v>5233800.04</v>
      </c>
      <c r="Q50" s="62">
        <f t="shared" si="25"/>
        <v>4351953.9139999999</v>
      </c>
      <c r="R50" s="62">
        <f t="shared" si="26"/>
        <v>5158675.0963999992</v>
      </c>
      <c r="S50" s="62">
        <f t="shared" si="27"/>
        <v>4419114.9240000006</v>
      </c>
      <c r="T50" s="62">
        <f t="shared" si="28"/>
        <v>4054116.8661000002</v>
      </c>
      <c r="U50" s="62">
        <f t="shared" si="29"/>
        <v>4851717.5070000002</v>
      </c>
      <c r="V50" s="62">
        <f t="shared" si="29"/>
        <v>5067384.5880000005</v>
      </c>
      <c r="W50" s="62">
        <f t="shared" si="29"/>
        <v>5807585.4479999999</v>
      </c>
      <c r="X50" s="62">
        <f t="shared" si="29"/>
        <v>5543881.5600000005</v>
      </c>
    </row>
    <row r="51" spans="1:31" x14ac:dyDescent="0.25">
      <c r="A51" s="91" t="s">
        <v>37</v>
      </c>
      <c r="G51" s="62">
        <f>SUM(G41:G50)</f>
        <v>159544358.16265598</v>
      </c>
      <c r="H51" s="62">
        <f t="shared" ref="H51:X51" si="30">SUM(H41:H50)</f>
        <v>158265885.04213202</v>
      </c>
      <c r="I51" s="62">
        <f t="shared" si="30"/>
        <v>183636215.49983996</v>
      </c>
      <c r="J51" s="62">
        <f t="shared" si="30"/>
        <v>181652813.33504996</v>
      </c>
      <c r="K51" s="62">
        <f t="shared" si="30"/>
        <v>175210424.18563199</v>
      </c>
      <c r="L51" s="62">
        <f t="shared" si="30"/>
        <v>173381732.09411001</v>
      </c>
      <c r="M51" s="62">
        <f t="shared" si="30"/>
        <v>156389629.57236001</v>
      </c>
      <c r="N51" s="62">
        <f t="shared" si="30"/>
        <v>177811927.71452501</v>
      </c>
      <c r="O51" s="62">
        <f t="shared" si="30"/>
        <v>185699072.57367203</v>
      </c>
      <c r="P51" s="62">
        <f t="shared" si="30"/>
        <v>178027716.99450001</v>
      </c>
      <c r="Q51" s="62">
        <f t="shared" si="30"/>
        <v>178036908.60222003</v>
      </c>
      <c r="R51" s="62">
        <f t="shared" si="30"/>
        <v>195398820.36821997</v>
      </c>
      <c r="S51" s="62">
        <f t="shared" si="30"/>
        <v>177714225.2694</v>
      </c>
      <c r="T51" s="62">
        <f t="shared" si="30"/>
        <v>165559094.745478</v>
      </c>
      <c r="U51" s="62">
        <f t="shared" si="30"/>
        <v>171809428.24143001</v>
      </c>
      <c r="V51" s="62">
        <f t="shared" si="30"/>
        <v>157514515.59312004</v>
      </c>
      <c r="W51" s="62">
        <f t="shared" si="30"/>
        <v>155387627.81514001</v>
      </c>
      <c r="X51" s="62">
        <f t="shared" si="30"/>
        <v>187987700.47679999</v>
      </c>
    </row>
    <row r="53" spans="1:31" x14ac:dyDescent="0.25">
      <c r="A53" s="34" t="s">
        <v>682</v>
      </c>
      <c r="I53" s="107">
        <f>SUM(G51:I51)</f>
        <v>501446458.70462793</v>
      </c>
      <c r="J53" s="107"/>
      <c r="K53" s="107"/>
      <c r="L53" s="107">
        <f>SUM(J51:L51)</f>
        <v>530244969.61479199</v>
      </c>
      <c r="M53" s="107"/>
      <c r="N53" s="107"/>
      <c r="O53" s="107">
        <f>SUM(M51:O51)</f>
        <v>519900629.86055708</v>
      </c>
      <c r="P53" s="107"/>
      <c r="Q53" s="107"/>
      <c r="R53" s="107">
        <f>SUM(P51:R51)</f>
        <v>551463445.96494007</v>
      </c>
      <c r="S53" s="107"/>
      <c r="T53" s="107"/>
      <c r="U53" s="107">
        <f>SUM(S51:U51)</f>
        <v>515082748.25630808</v>
      </c>
      <c r="X53" s="107">
        <f>SUM(V51:X51)</f>
        <v>500889843.88506007</v>
      </c>
    </row>
    <row r="54" spans="1:31" x14ac:dyDescent="0.25">
      <c r="A54" s="34" t="s">
        <v>677</v>
      </c>
      <c r="L54" s="40">
        <f>(L53/I53)-1</f>
        <v>5.7430879030551774E-2</v>
      </c>
      <c r="M54" s="40"/>
      <c r="N54" s="40"/>
      <c r="O54" s="40">
        <f>(O53/L53)-1</f>
        <v>-1.9508605167437576E-2</v>
      </c>
      <c r="P54" s="40"/>
      <c r="Q54" s="40"/>
      <c r="R54" s="40">
        <f>(R53/O53)-1</f>
        <v>6.0709324612375326E-2</v>
      </c>
      <c r="S54" s="40"/>
      <c r="T54" s="40"/>
      <c r="U54" s="40">
        <f>(U53/R53)-1</f>
        <v>-6.5971186258726111E-2</v>
      </c>
      <c r="X54" s="40">
        <f>(X53/U53)-1</f>
        <v>-2.7554610243295419E-2</v>
      </c>
    </row>
    <row r="55" spans="1:31" x14ac:dyDescent="0.25">
      <c r="A55" s="34" t="s">
        <v>678</v>
      </c>
      <c r="L55" s="40"/>
      <c r="M55" s="40"/>
      <c r="N55" s="40"/>
      <c r="O55" s="40"/>
      <c r="P55" s="40"/>
      <c r="Q55" s="40"/>
      <c r="R55" s="40"/>
      <c r="S55" s="40"/>
      <c r="T55" s="40"/>
      <c r="U55" s="40">
        <f>(U53/I53)-1</f>
        <v>2.7193909369519487E-2</v>
      </c>
      <c r="X55" s="40">
        <f>(X53/L53)-1</f>
        <v>-5.53614412430119E-2</v>
      </c>
    </row>
    <row r="57" spans="1:31" x14ac:dyDescent="0.25">
      <c r="A57" s="25" t="s">
        <v>578</v>
      </c>
      <c r="G57" s="25" t="s">
        <v>484</v>
      </c>
      <c r="H57" s="25" t="s">
        <v>485</v>
      </c>
      <c r="I57" s="25" t="s">
        <v>486</v>
      </c>
      <c r="J57" s="25" t="s">
        <v>487</v>
      </c>
      <c r="K57" s="25" t="s">
        <v>488</v>
      </c>
      <c r="L57" s="25" t="s">
        <v>489</v>
      </c>
      <c r="M57" s="25" t="s">
        <v>490</v>
      </c>
      <c r="N57" s="25" t="s">
        <v>491</v>
      </c>
      <c r="O57" s="25" t="s">
        <v>492</v>
      </c>
      <c r="P57" s="25" t="s">
        <v>493</v>
      </c>
      <c r="Q57" s="25" t="s">
        <v>494</v>
      </c>
      <c r="R57" s="25" t="s">
        <v>495</v>
      </c>
      <c r="S57" s="25" t="s">
        <v>496</v>
      </c>
      <c r="T57" s="25" t="s">
        <v>497</v>
      </c>
      <c r="U57" s="25" t="s">
        <v>574</v>
      </c>
      <c r="V57" s="25" t="s">
        <v>731</v>
      </c>
      <c r="W57" s="25" t="s">
        <v>732</v>
      </c>
      <c r="X57" s="25" t="s">
        <v>733</v>
      </c>
    </row>
    <row r="58" spans="1:31" x14ac:dyDescent="0.25">
      <c r="A58" s="25" t="s">
        <v>576</v>
      </c>
      <c r="G58" s="62" t="str">
        <f>PTF!B5</f>
        <v>35,48</v>
      </c>
      <c r="H58" s="62">
        <f>PTF!C5</f>
        <v>36.119999999999997</v>
      </c>
      <c r="I58" s="62">
        <f>PTF!D5</f>
        <v>37.04</v>
      </c>
      <c r="J58" s="62">
        <f>PTF!E5</f>
        <v>38.049999999999997</v>
      </c>
      <c r="K58" s="62">
        <f>PTF!F5</f>
        <v>38.72</v>
      </c>
      <c r="L58" s="62">
        <f>PTF!G5</f>
        <v>39.369999999999997</v>
      </c>
      <c r="M58" s="62">
        <f>PTF!H5</f>
        <v>40.14</v>
      </c>
      <c r="N58" s="62">
        <f>PTF!I5</f>
        <v>40.75</v>
      </c>
      <c r="O58" s="62">
        <f>PTF!J5</f>
        <v>41.24</v>
      </c>
      <c r="P58" s="62">
        <f>PTF!K5</f>
        <v>41.75</v>
      </c>
      <c r="Q58" s="62">
        <f>PTF!L5</f>
        <v>42.2</v>
      </c>
      <c r="R58" s="62">
        <f>PTF!M5</f>
        <v>42.61</v>
      </c>
      <c r="S58" s="62">
        <f>PTF!N5</f>
        <v>43.14</v>
      </c>
      <c r="T58" s="62">
        <f>PTF!O5</f>
        <v>43.61</v>
      </c>
      <c r="U58" s="62">
        <f>PTF!P5</f>
        <v>44.1</v>
      </c>
      <c r="V58" s="62">
        <f>PTF!Q5</f>
        <v>44.68</v>
      </c>
      <c r="W58" s="62">
        <f>PTF!R5</f>
        <v>45.36</v>
      </c>
      <c r="X58" s="62">
        <f>PTF!S5</f>
        <v>46.17</v>
      </c>
    </row>
    <row r="62" spans="1:31" x14ac:dyDescent="0.25">
      <c r="A62" s="86" t="s">
        <v>44</v>
      </c>
    </row>
    <row r="63" spans="1:31" x14ac:dyDescent="0.25">
      <c r="A63" s="25" t="s">
        <v>296</v>
      </c>
      <c r="M63" s="25" t="s">
        <v>763</v>
      </c>
      <c r="N63" s="25" t="s">
        <v>484</v>
      </c>
      <c r="O63" s="25" t="s">
        <v>485</v>
      </c>
      <c r="P63" s="25" t="s">
        <v>486</v>
      </c>
      <c r="Q63" s="25" t="s">
        <v>487</v>
      </c>
      <c r="R63" s="25" t="s">
        <v>488</v>
      </c>
      <c r="S63" s="25" t="s">
        <v>489</v>
      </c>
      <c r="T63" s="25" t="s">
        <v>490</v>
      </c>
      <c r="U63" s="25" t="s">
        <v>491</v>
      </c>
      <c r="V63" s="25" t="s">
        <v>492</v>
      </c>
      <c r="W63" s="25" t="s">
        <v>493</v>
      </c>
      <c r="X63" s="25" t="s">
        <v>494</v>
      </c>
      <c r="Y63" s="25" t="s">
        <v>495</v>
      </c>
      <c r="Z63" s="25" t="s">
        <v>496</v>
      </c>
      <c r="AA63" s="25" t="s">
        <v>497</v>
      </c>
      <c r="AB63" s="25" t="s">
        <v>574</v>
      </c>
      <c r="AC63" s="25" t="s">
        <v>731</v>
      </c>
      <c r="AD63" s="25" t="s">
        <v>732</v>
      </c>
      <c r="AE63" s="25" t="s">
        <v>733</v>
      </c>
    </row>
    <row r="64" spans="1:31" x14ac:dyDescent="0.25">
      <c r="A64" s="25" t="s">
        <v>297</v>
      </c>
      <c r="M64" s="25" t="s">
        <v>30</v>
      </c>
      <c r="N64" s="25">
        <f t="shared" ref="N64:AE64" si="31">SUM(G2:G13)</f>
        <v>34235.899999999994</v>
      </c>
      <c r="O64" s="25">
        <f t="shared" si="31"/>
        <v>33393.879999999997</v>
      </c>
      <c r="P64" s="25">
        <f t="shared" si="31"/>
        <v>37803.19</v>
      </c>
      <c r="Q64" s="25">
        <f t="shared" si="31"/>
        <v>36296.44</v>
      </c>
      <c r="R64" s="25">
        <f t="shared" si="31"/>
        <v>34617.449999999997</v>
      </c>
      <c r="S64" s="25">
        <f t="shared" si="31"/>
        <v>33715.4</v>
      </c>
      <c r="T64" s="25">
        <f t="shared" si="31"/>
        <v>29741.710000000003</v>
      </c>
      <c r="U64" s="25">
        <f t="shared" si="31"/>
        <v>33280.44</v>
      </c>
      <c r="V64" s="25">
        <f t="shared" si="31"/>
        <v>34326.329999999994</v>
      </c>
      <c r="W64" s="25">
        <f t="shared" si="31"/>
        <v>32579.790000000008</v>
      </c>
      <c r="X64" s="25">
        <f t="shared" si="31"/>
        <v>32199.929999999997</v>
      </c>
      <c r="Y64" s="25">
        <f t="shared" si="31"/>
        <v>34884.629999999997</v>
      </c>
      <c r="Z64" s="25">
        <f t="shared" si="31"/>
        <v>32076.52</v>
      </c>
      <c r="AA64" s="25">
        <f t="shared" si="31"/>
        <v>29816.57</v>
      </c>
      <c r="AB64" s="25">
        <f t="shared" si="31"/>
        <v>30720.230000000003</v>
      </c>
      <c r="AC64" s="25">
        <f t="shared" si="31"/>
        <v>27921.879999999997</v>
      </c>
      <c r="AD64" s="25">
        <f t="shared" si="31"/>
        <v>27284.41</v>
      </c>
      <c r="AE64" s="25">
        <f t="shared" si="31"/>
        <v>33172.340000000004</v>
      </c>
    </row>
    <row r="65" spans="1:31" x14ac:dyDescent="0.25">
      <c r="A65" s="25" t="s">
        <v>298</v>
      </c>
      <c r="M65" s="25" t="s">
        <v>522</v>
      </c>
      <c r="N65" s="25">
        <f>N64</f>
        <v>34235.899999999994</v>
      </c>
      <c r="O65" s="25">
        <f t="shared" ref="O65:AE65" si="32">O64</f>
        <v>33393.879999999997</v>
      </c>
      <c r="P65" s="25">
        <f t="shared" si="32"/>
        <v>37803.19</v>
      </c>
      <c r="Q65" s="25">
        <f t="shared" si="32"/>
        <v>36296.44</v>
      </c>
      <c r="R65" s="25">
        <f t="shared" si="32"/>
        <v>34617.449999999997</v>
      </c>
      <c r="S65" s="25">
        <f t="shared" si="32"/>
        <v>33715.4</v>
      </c>
      <c r="T65" s="25">
        <f t="shared" si="32"/>
        <v>29741.710000000003</v>
      </c>
      <c r="U65" s="25">
        <f t="shared" si="32"/>
        <v>33280.44</v>
      </c>
      <c r="V65" s="25">
        <f t="shared" si="32"/>
        <v>34326.329999999994</v>
      </c>
      <c r="W65" s="25">
        <f t="shared" si="32"/>
        <v>32579.790000000008</v>
      </c>
      <c r="X65" s="25">
        <f t="shared" si="32"/>
        <v>32199.929999999997</v>
      </c>
      <c r="Y65" s="25">
        <f t="shared" si="32"/>
        <v>34884.629999999997</v>
      </c>
      <c r="Z65" s="25">
        <f t="shared" si="32"/>
        <v>32076.52</v>
      </c>
      <c r="AA65" s="25">
        <f t="shared" si="32"/>
        <v>29816.57</v>
      </c>
      <c r="AB65" s="25">
        <f t="shared" si="32"/>
        <v>30720.230000000003</v>
      </c>
      <c r="AC65" s="25">
        <f t="shared" si="32"/>
        <v>27921.879999999997</v>
      </c>
      <c r="AD65" s="25">
        <f t="shared" si="32"/>
        <v>27284.41</v>
      </c>
      <c r="AE65" s="25">
        <f t="shared" si="32"/>
        <v>33172.340000000004</v>
      </c>
    </row>
    <row r="68" spans="1:31" x14ac:dyDescent="0.25">
      <c r="M68" s="25" t="s">
        <v>763</v>
      </c>
      <c r="N68" s="25" t="s">
        <v>756</v>
      </c>
      <c r="O68" s="25" t="s">
        <v>757</v>
      </c>
      <c r="P68" s="25" t="s">
        <v>758</v>
      </c>
      <c r="Q68" s="25" t="s">
        <v>759</v>
      </c>
      <c r="R68" s="25" t="s">
        <v>760</v>
      </c>
      <c r="S68" s="25" t="s">
        <v>761</v>
      </c>
    </row>
    <row r="69" spans="1:31" x14ac:dyDescent="0.25">
      <c r="M69" s="25" t="s">
        <v>30</v>
      </c>
      <c r="N69" s="25">
        <f>SUM(N64:P64)</f>
        <v>105432.97</v>
      </c>
      <c r="O69" s="25">
        <f>SUM(Q64:S64)</f>
        <v>104629.29000000001</v>
      </c>
      <c r="P69" s="25">
        <f>SUM(T64:V64)</f>
        <v>97348.48000000001</v>
      </c>
      <c r="Q69" s="25">
        <f>SUM(W64:Y64)</f>
        <v>99664.35</v>
      </c>
      <c r="R69" s="25">
        <f>SUM(Z64:AB64)</f>
        <v>92613.32</v>
      </c>
      <c r="S69" s="25">
        <f>SUM(AC64:AE64)</f>
        <v>88378.63</v>
      </c>
    </row>
    <row r="70" spans="1:31" x14ac:dyDescent="0.25">
      <c r="M70" s="25" t="s">
        <v>522</v>
      </c>
      <c r="N70" s="25">
        <f>N69</f>
        <v>105432.97</v>
      </c>
      <c r="O70" s="25">
        <f t="shared" ref="O70:S70" si="33">O69</f>
        <v>104629.29000000001</v>
      </c>
      <c r="P70" s="25">
        <f t="shared" si="33"/>
        <v>97348.48000000001</v>
      </c>
      <c r="Q70" s="25">
        <f t="shared" si="33"/>
        <v>99664.35</v>
      </c>
      <c r="R70" s="25">
        <f t="shared" si="33"/>
        <v>92613.32</v>
      </c>
      <c r="S70" s="25">
        <f t="shared" si="33"/>
        <v>88378.63</v>
      </c>
    </row>
    <row r="83" spans="14:20" x14ac:dyDescent="0.25">
      <c r="N83" s="25" t="s">
        <v>751</v>
      </c>
      <c r="O83" s="25" t="s">
        <v>735</v>
      </c>
      <c r="P83" s="25" t="s">
        <v>736</v>
      </c>
      <c r="Q83" s="25" t="s">
        <v>737</v>
      </c>
      <c r="R83" s="25" t="s">
        <v>738</v>
      </c>
      <c r="S83" s="25" t="s">
        <v>739</v>
      </c>
      <c r="T83" s="25" t="s">
        <v>740</v>
      </c>
    </row>
    <row r="84" spans="14:20" x14ac:dyDescent="0.25">
      <c r="N84" s="25" t="s">
        <v>741</v>
      </c>
      <c r="O84" s="25">
        <v>840</v>
      </c>
      <c r="P84" s="25">
        <v>831</v>
      </c>
      <c r="Q84" s="25">
        <v>780</v>
      </c>
      <c r="R84" s="25">
        <v>786</v>
      </c>
      <c r="S84" s="25">
        <v>725</v>
      </c>
    </row>
    <row r="85" spans="14:20" x14ac:dyDescent="0.25">
      <c r="N85" s="25" t="s">
        <v>749</v>
      </c>
      <c r="O85" s="25">
        <v>501</v>
      </c>
      <c r="P85" s="25">
        <v>530</v>
      </c>
      <c r="Q85" s="25">
        <v>519</v>
      </c>
      <c r="R85" s="25">
        <v>551</v>
      </c>
      <c r="S85" s="25">
        <v>515</v>
      </c>
      <c r="T85" s="25">
        <v>500</v>
      </c>
    </row>
    <row r="87" spans="14:20" x14ac:dyDescent="0.25">
      <c r="N87" s="25" t="s">
        <v>750</v>
      </c>
    </row>
    <row r="88" spans="14:20" x14ac:dyDescent="0.25">
      <c r="N88" s="25" t="s">
        <v>747</v>
      </c>
      <c r="O88" s="25" t="s">
        <v>543</v>
      </c>
      <c r="P88" s="25">
        <v>700</v>
      </c>
      <c r="Q88" s="25">
        <v>745</v>
      </c>
      <c r="R88" s="25">
        <v>722</v>
      </c>
      <c r="S88" s="25">
        <v>710</v>
      </c>
    </row>
    <row r="89" spans="14:20" x14ac:dyDescent="0.25">
      <c r="N89" s="25" t="s">
        <v>748</v>
      </c>
      <c r="O89" s="25" t="s">
        <v>543</v>
      </c>
      <c r="P89" s="25" t="s">
        <v>543</v>
      </c>
      <c r="Q89" s="25" t="s">
        <v>543</v>
      </c>
      <c r="R89" s="25">
        <v>723</v>
      </c>
      <c r="S89" s="25">
        <v>707</v>
      </c>
    </row>
    <row r="90" spans="14:20" x14ac:dyDescent="0.25">
      <c r="N90" s="25" t="s">
        <v>752</v>
      </c>
      <c r="O90" s="25" t="s">
        <v>543</v>
      </c>
      <c r="P90" s="25" t="s">
        <v>543</v>
      </c>
      <c r="Q90" s="25" t="s">
        <v>543</v>
      </c>
      <c r="R90" s="25">
        <v>720</v>
      </c>
      <c r="S90" s="25" t="s">
        <v>543</v>
      </c>
    </row>
  </sheetData>
  <phoneticPr fontId="48" type="noConversion"/>
  <conditionalFormatting sqref="L34:U35">
    <cfRule type="colorScale" priority="8">
      <colorScale>
        <cfvo type="min"/>
        <cfvo type="percentile" val="50"/>
        <cfvo type="max"/>
        <color rgb="FFF8696B"/>
        <color rgb="FFFFEB84"/>
        <color rgb="FF63BE7B"/>
      </colorScale>
    </cfRule>
  </conditionalFormatting>
  <conditionalFormatting sqref="L54:U55">
    <cfRule type="colorScale" priority="7">
      <colorScale>
        <cfvo type="min"/>
        <cfvo type="percentile" val="50"/>
        <cfvo type="max"/>
        <color rgb="FFF8696B"/>
        <color rgb="FFFFEB84"/>
        <color rgb="FF63BE7B"/>
      </colorScale>
    </cfRule>
  </conditionalFormatting>
  <conditionalFormatting sqref="L34:X35">
    <cfRule type="colorScale" priority="1">
      <colorScale>
        <cfvo type="min"/>
        <cfvo type="percentile" val="50"/>
        <cfvo type="max"/>
        <color rgb="FFF8696B"/>
        <color rgb="FFFFEB84"/>
        <color rgb="FF63BE7B"/>
      </colorScale>
    </cfRule>
  </conditionalFormatting>
  <conditionalFormatting sqref="L54:X55">
    <cfRule type="colorScale" priority="2">
      <colorScale>
        <cfvo type="min"/>
        <cfvo type="percentile" val="50"/>
        <cfvo type="max"/>
        <color rgb="FFF8696B"/>
        <color rgb="FFFFEB84"/>
        <color rgb="FF63BE7B"/>
      </colorScale>
    </cfRule>
  </conditionalFormatting>
  <conditionalFormatting sqref="S17:X18">
    <cfRule type="colorScale" priority="9">
      <colorScale>
        <cfvo type="min"/>
        <cfvo type="percentile" val="50"/>
        <cfvo type="max"/>
        <color rgb="FFF8696B"/>
        <color rgb="FFFFEB84"/>
        <color rgb="FF63BE7B"/>
      </colorScale>
    </cfRule>
  </conditionalFormatting>
  <conditionalFormatting sqref="X34">
    <cfRule type="colorScale" priority="6">
      <colorScale>
        <cfvo type="min"/>
        <cfvo type="percentile" val="50"/>
        <cfvo type="max"/>
        <color rgb="FFF8696B"/>
        <color rgb="FFFFEB84"/>
        <color rgb="FF63BE7B"/>
      </colorScale>
    </cfRule>
  </conditionalFormatting>
  <conditionalFormatting sqref="X35">
    <cfRule type="colorScale" priority="5">
      <colorScale>
        <cfvo type="min"/>
        <cfvo type="percentile" val="50"/>
        <cfvo type="max"/>
        <color rgb="FFF8696B"/>
        <color rgb="FFFFEB84"/>
        <color rgb="FF63BE7B"/>
      </colorScale>
    </cfRule>
  </conditionalFormatting>
  <conditionalFormatting sqref="X54">
    <cfRule type="colorScale" priority="4">
      <colorScale>
        <cfvo type="min"/>
        <cfvo type="percentile" val="50"/>
        <cfvo type="max"/>
        <color rgb="FFF8696B"/>
        <color rgb="FFFFEB84"/>
        <color rgb="FF63BE7B"/>
      </colorScale>
    </cfRule>
  </conditionalFormatting>
  <conditionalFormatting sqref="X55">
    <cfRule type="colorScale" priority="3">
      <colorScale>
        <cfvo type="min"/>
        <cfvo type="percentile" val="50"/>
        <cfvo type="max"/>
        <color rgb="FFF8696B"/>
        <color rgb="FFFFEB84"/>
        <color rgb="FF63BE7B"/>
      </colorScale>
    </cfRule>
  </conditionalFormatting>
  <pageMargins left="0.7" right="0.7" top="0.75" bottom="0.75" header="0.3" footer="0.3"/>
  <tableParts count="3">
    <tablePart r:id="rId1"/>
    <tablePart r:id="rId2"/>
    <tablePart r:id="rId3"/>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517C7-9985-4577-8914-EA1ACC399D04}">
  <dimension ref="A1:X43"/>
  <sheetViews>
    <sheetView zoomScale="94" zoomScaleNormal="100" workbookViewId="0">
      <selection activeCell="B5" sqref="B5"/>
    </sheetView>
  </sheetViews>
  <sheetFormatPr defaultColWidth="9.140625" defaultRowHeight="15" x14ac:dyDescent="0.25"/>
  <cols>
    <col min="1" max="1" width="45" style="25" customWidth="1"/>
    <col min="2" max="2" width="11.5703125" style="25" customWidth="1"/>
    <col min="3" max="3" width="22" style="25" customWidth="1"/>
    <col min="4" max="4" width="9.140625" style="25" customWidth="1"/>
    <col min="5" max="5" width="11.7109375" style="25" customWidth="1"/>
    <col min="6" max="6" width="15.42578125" style="25" customWidth="1"/>
    <col min="7" max="7" width="15" style="25" bestFit="1" customWidth="1"/>
    <col min="8" max="8" width="14.42578125" style="25" bestFit="1" customWidth="1"/>
    <col min="9" max="9" width="15.42578125" style="25" bestFit="1" customWidth="1"/>
    <col min="10" max="11" width="14.42578125" style="25" bestFit="1" customWidth="1"/>
    <col min="12" max="12" width="15.42578125" style="25" bestFit="1" customWidth="1"/>
    <col min="13" max="14" width="14.42578125" style="25" bestFit="1" customWidth="1"/>
    <col min="15" max="15" width="16" style="25" bestFit="1" customWidth="1"/>
    <col min="16" max="17" width="14.42578125" style="25" bestFit="1" customWidth="1"/>
    <col min="18" max="18" width="15.42578125" style="25" bestFit="1" customWidth="1"/>
    <col min="19" max="20" width="14.42578125" style="25" bestFit="1" customWidth="1"/>
    <col min="21" max="21" width="16.28515625" style="25" bestFit="1" customWidth="1"/>
    <col min="22" max="23" width="14.28515625" style="25" bestFit="1" customWidth="1"/>
    <col min="24" max="24" width="15.28515625" style="25" bestFit="1" customWidth="1"/>
    <col min="25" max="16384" width="9.140625" style="25"/>
  </cols>
  <sheetData>
    <row r="1" spans="1:24" x14ac:dyDescent="0.25">
      <c r="A1" s="25" t="s">
        <v>35</v>
      </c>
      <c r="B1" s="25" t="s">
        <v>111</v>
      </c>
      <c r="C1" s="25" t="s">
        <v>338</v>
      </c>
      <c r="D1" s="25" t="s">
        <v>454</v>
      </c>
      <c r="E1" s="25" t="s">
        <v>551</v>
      </c>
      <c r="F1" s="25" t="s">
        <v>552</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25" t="s">
        <v>135</v>
      </c>
      <c r="B2" s="25">
        <v>20.5</v>
      </c>
      <c r="C2" s="61" t="s">
        <v>477</v>
      </c>
      <c r="D2" s="61">
        <v>2349</v>
      </c>
      <c r="E2" s="61">
        <v>133</v>
      </c>
      <c r="F2" s="61">
        <v>2028</v>
      </c>
      <c r="G2" s="25">
        <v>7879.71</v>
      </c>
      <c r="H2" s="25">
        <v>6697</v>
      </c>
      <c r="I2" s="25">
        <v>7943</v>
      </c>
      <c r="J2" s="25">
        <v>2294.2399999999998</v>
      </c>
      <c r="K2" s="25">
        <v>8123.05</v>
      </c>
      <c r="L2" s="25">
        <v>7698.04</v>
      </c>
      <c r="M2" s="25">
        <v>8056.21</v>
      </c>
      <c r="N2" s="25">
        <v>7613.96</v>
      </c>
      <c r="O2" s="25">
        <v>7308.08</v>
      </c>
      <c r="P2" s="25">
        <v>7127.86</v>
      </c>
      <c r="Q2" s="25">
        <v>6889.29</v>
      </c>
      <c r="R2" s="25">
        <v>7179.96</v>
      </c>
      <c r="S2" s="25">
        <v>7580.83</v>
      </c>
      <c r="T2" s="25">
        <v>6334.75</v>
      </c>
      <c r="U2" s="25">
        <v>6530.18</v>
      </c>
      <c r="V2" s="25">
        <v>4090.09</v>
      </c>
      <c r="W2" s="25">
        <v>7755.69</v>
      </c>
      <c r="X2" s="25">
        <v>7683.48</v>
      </c>
    </row>
    <row r="3" spans="1:24" x14ac:dyDescent="0.25">
      <c r="A3" s="25" t="s">
        <v>136</v>
      </c>
      <c r="B3" s="25">
        <v>13.7</v>
      </c>
      <c r="E3" s="61">
        <v>133</v>
      </c>
      <c r="F3" s="25">
        <v>2027</v>
      </c>
    </row>
    <row r="4" spans="1:24" x14ac:dyDescent="0.25">
      <c r="A4" s="25" t="s">
        <v>137</v>
      </c>
      <c r="B4" s="25">
        <v>10.8</v>
      </c>
      <c r="C4" s="25" t="s">
        <v>431</v>
      </c>
      <c r="D4" s="25">
        <v>2480</v>
      </c>
      <c r="E4" s="61">
        <v>133</v>
      </c>
      <c r="F4" s="25">
        <v>2029</v>
      </c>
      <c r="G4" s="25">
        <v>1206.19</v>
      </c>
      <c r="H4" s="25">
        <v>1164.45</v>
      </c>
      <c r="I4" s="25">
        <v>1686.49</v>
      </c>
      <c r="J4" s="25">
        <v>1541.8</v>
      </c>
      <c r="K4" s="25">
        <v>2535.62</v>
      </c>
      <c r="L4" s="25">
        <v>2704.54</v>
      </c>
      <c r="M4" s="25">
        <v>2553.4699999999998</v>
      </c>
      <c r="N4" s="25">
        <v>2519.86</v>
      </c>
      <c r="O4" s="25">
        <v>2153.16</v>
      </c>
      <c r="P4" s="25">
        <v>1707.74</v>
      </c>
      <c r="Q4" s="25">
        <v>1081.98</v>
      </c>
      <c r="R4" s="25">
        <v>772.07</v>
      </c>
      <c r="S4" s="25">
        <v>875.86</v>
      </c>
      <c r="T4" s="25">
        <v>983.7</v>
      </c>
      <c r="U4" s="25">
        <v>1242.6400000000001</v>
      </c>
      <c r="V4" s="25">
        <v>1689.86</v>
      </c>
      <c r="W4" s="25">
        <v>2394.48</v>
      </c>
      <c r="X4" s="25">
        <v>2673</v>
      </c>
    </row>
    <row r="5" spans="1:24" x14ac:dyDescent="0.25">
      <c r="A5" s="25" t="s">
        <v>138</v>
      </c>
      <c r="B5" s="25">
        <v>65.5</v>
      </c>
    </row>
    <row r="6" spans="1:24" x14ac:dyDescent="0.25">
      <c r="A6" s="25" t="s">
        <v>37</v>
      </c>
      <c r="B6" s="25">
        <f>SUM(B2:B5)</f>
        <v>110.5</v>
      </c>
      <c r="G6" s="25">
        <v>9085.9</v>
      </c>
      <c r="H6" s="25">
        <v>7861.45</v>
      </c>
      <c r="I6" s="25">
        <v>9629.49</v>
      </c>
      <c r="J6" s="25">
        <v>3836.04</v>
      </c>
      <c r="K6" s="25">
        <v>10658.67</v>
      </c>
      <c r="L6" s="25">
        <v>10402.58</v>
      </c>
      <c r="M6" s="25">
        <v>10609.68</v>
      </c>
      <c r="N6" s="25">
        <v>10133.82</v>
      </c>
      <c r="O6" s="25">
        <v>9461.24</v>
      </c>
      <c r="P6" s="25">
        <v>8835.6</v>
      </c>
      <c r="Q6" s="25">
        <v>7971.27</v>
      </c>
      <c r="R6" s="25">
        <v>7952.03</v>
      </c>
      <c r="S6" s="25">
        <v>8456.69</v>
      </c>
      <c r="T6" s="25">
        <v>7318.45</v>
      </c>
      <c r="U6" s="25">
        <v>7772.82</v>
      </c>
      <c r="V6" s="25">
        <v>5779.95</v>
      </c>
      <c r="W6" s="25">
        <v>10150.17</v>
      </c>
      <c r="X6" s="25">
        <v>10356.48</v>
      </c>
    </row>
    <row r="8" spans="1:24" x14ac:dyDescent="0.25">
      <c r="A8" s="34" t="s">
        <v>534</v>
      </c>
      <c r="S8" s="40">
        <f>(S4/G4)-1</f>
        <v>-0.27386232683076461</v>
      </c>
      <c r="T8" s="40">
        <f>(T4/H4)-1</f>
        <v>-0.15522349607110653</v>
      </c>
      <c r="U8" s="40">
        <f>(U4/I4)-1</f>
        <v>-0.26317974017041301</v>
      </c>
      <c r="V8" s="40">
        <f>(V4/J4)-1</f>
        <v>9.6030613568556245E-2</v>
      </c>
      <c r="W8" s="40">
        <f t="shared" ref="W8:X8" si="0">(W4/K4)-1</f>
        <v>-5.5662914790071016E-2</v>
      </c>
      <c r="X8" s="40">
        <f t="shared" si="0"/>
        <v>-1.1661872259238204E-2</v>
      </c>
    </row>
    <row r="9" spans="1:24" x14ac:dyDescent="0.25">
      <c r="A9" s="34" t="s">
        <v>547</v>
      </c>
      <c r="S9" s="40"/>
      <c r="T9" s="40">
        <f>(SUM(S4:T4)/SUM(G4:H4))-1</f>
        <v>-0.21558735193871714</v>
      </c>
      <c r="U9" s="40">
        <f>(SUM(S4:U4)/SUM(G4:I4))-1</f>
        <v>-0.23537081631596724</v>
      </c>
      <c r="V9" s="40">
        <f>(SUM(S4:V4)/SUM(G4:J4))-1</f>
        <v>-0.14411146415475828</v>
      </c>
      <c r="W9" s="40">
        <f>(SUM(S4:W4)/SUM(G4:K4))-1</f>
        <v>-0.11654117314418144</v>
      </c>
      <c r="X9" s="40">
        <f>(SUM(S4:X4)/SUM(G4:L4))-1</f>
        <v>-9.0371977721377061E-2</v>
      </c>
    </row>
    <row r="10" spans="1:24" x14ac:dyDescent="0.25">
      <c r="A10" s="34" t="s">
        <v>545</v>
      </c>
      <c r="S10" s="40">
        <f>(S2/G2)-1</f>
        <v>-3.7930329923309358E-2</v>
      </c>
      <c r="T10" s="40">
        <f>(T2/H2)-1</f>
        <v>-5.4091384201881421E-2</v>
      </c>
      <c r="U10" s="40">
        <f>(U2/I2)-1</f>
        <v>-0.17786982248520711</v>
      </c>
      <c r="V10" s="40">
        <f>(V2/J2)-1</f>
        <v>0.78276466280772738</v>
      </c>
      <c r="W10" s="40">
        <f t="shared" ref="W10:X10" si="1">(W2/K2)-1</f>
        <v>-4.5224392315694306E-2</v>
      </c>
      <c r="X10" s="40">
        <f t="shared" si="1"/>
        <v>-1.8913905357728078E-3</v>
      </c>
    </row>
    <row r="11" spans="1:24" x14ac:dyDescent="0.25">
      <c r="A11" s="34" t="s">
        <v>546</v>
      </c>
      <c r="S11" s="40"/>
      <c r="T11" s="40">
        <f>(SUM(S2:T2)/SUM(G2:H2))-1</f>
        <v>-4.5355227619949812E-2</v>
      </c>
      <c r="U11" s="40">
        <f>(SUM(S2:U2)/SUM(G2:I2))-1</f>
        <v>-9.2094880440289684E-2</v>
      </c>
      <c r="V11" s="40">
        <f>(SUM(S2:V2)/SUM(G2:J2))-1</f>
        <v>-1.1207405511818758E-2</v>
      </c>
      <c r="W11" s="40">
        <f>(SUM(S2:W2)/SUM(G2:K2))-1</f>
        <v>-1.9596806023620794E-2</v>
      </c>
      <c r="X11" s="40">
        <f>(SUM(S2:X2)/SUM(G2:L2))-1</f>
        <v>-1.6242631974768496E-2</v>
      </c>
    </row>
    <row r="12" spans="1:24" ht="30" x14ac:dyDescent="0.25">
      <c r="A12" s="34" t="s">
        <v>529</v>
      </c>
      <c r="S12" s="40">
        <f>(S6/G6)-1</f>
        <v>-6.9251257442850878E-2</v>
      </c>
      <c r="T12" s="40">
        <f>(T6/H6)-1</f>
        <v>-6.9071227318115658E-2</v>
      </c>
      <c r="U12" s="40">
        <f>(U6/I6)-1</f>
        <v>-0.19281083421863465</v>
      </c>
      <c r="V12" s="40">
        <f>(V6/J6)-1</f>
        <v>0.5067491475584196</v>
      </c>
      <c r="W12" s="40">
        <f t="shared" ref="W12:X12" si="2">(W6/K6)-1</f>
        <v>-4.7707640821978758E-2</v>
      </c>
      <c r="X12" s="40">
        <f t="shared" si="2"/>
        <v>-4.4315929317535474E-3</v>
      </c>
    </row>
    <row r="13" spans="1:24" x14ac:dyDescent="0.25">
      <c r="A13" s="34" t="s">
        <v>530</v>
      </c>
      <c r="S13" s="40"/>
      <c r="T13" s="40">
        <f>(SUM(S6:T6)/SUM(G6:H6))-1</f>
        <v>-6.9167745989785923E-2</v>
      </c>
      <c r="U13" s="40">
        <f>(SUM(S6:U6)/SUM(G6:I6))-1</f>
        <v>-0.11396689749420919</v>
      </c>
      <c r="V13" s="40">
        <f>(SUM(S6:V6)/SUM(G6:J6))-1</f>
        <v>-3.5674687829630014E-2</v>
      </c>
      <c r="W13" s="40">
        <f>(SUM(S6:W6)/SUM(G6:K6))-1</f>
        <v>-3.8797415729379447E-2</v>
      </c>
      <c r="X13" s="40">
        <f>(SUM(S6:X6)/SUM(G6:L6))-1</f>
        <v>-3.18523110541159E-2</v>
      </c>
    </row>
    <row r="15" spans="1:24" x14ac:dyDescent="0.25">
      <c r="A15" s="34" t="s">
        <v>667</v>
      </c>
      <c r="B15" s="25" t="s">
        <v>683</v>
      </c>
      <c r="C15" s="25" t="s">
        <v>684</v>
      </c>
      <c r="D15" s="25" t="s">
        <v>685</v>
      </c>
      <c r="E15" s="25" t="s">
        <v>686</v>
      </c>
      <c r="F15" s="25" t="s">
        <v>687</v>
      </c>
      <c r="G15" s="25" t="s">
        <v>484</v>
      </c>
      <c r="H15" s="25" t="s">
        <v>485</v>
      </c>
      <c r="I15" s="25" t="s">
        <v>486</v>
      </c>
      <c r="J15" s="25" t="s">
        <v>487</v>
      </c>
      <c r="K15" s="25" t="s">
        <v>488</v>
      </c>
      <c r="L15" s="25" t="s">
        <v>489</v>
      </c>
      <c r="M15" s="25" t="s">
        <v>490</v>
      </c>
      <c r="N15" s="25" t="s">
        <v>491</v>
      </c>
      <c r="O15" s="25" t="s">
        <v>492</v>
      </c>
      <c r="P15" s="25" t="s">
        <v>493</v>
      </c>
      <c r="Q15" s="25" t="s">
        <v>494</v>
      </c>
      <c r="R15" s="25" t="s">
        <v>495</v>
      </c>
      <c r="S15" s="25" t="s">
        <v>496</v>
      </c>
      <c r="T15" s="25" t="s">
        <v>497</v>
      </c>
      <c r="U15" s="25" t="s">
        <v>574</v>
      </c>
      <c r="V15" s="25" t="s">
        <v>731</v>
      </c>
      <c r="W15" s="25" t="s">
        <v>732</v>
      </c>
      <c r="X15" s="25" t="s">
        <v>733</v>
      </c>
    </row>
    <row r="16" spans="1:24" x14ac:dyDescent="0.25">
      <c r="A16" s="25" t="s">
        <v>135</v>
      </c>
      <c r="G16" s="107">
        <f t="shared" ref="G16:X16" si="3">$E$2*G2</f>
        <v>1048001.43</v>
      </c>
      <c r="H16" s="107">
        <f t="shared" si="3"/>
        <v>890701</v>
      </c>
      <c r="I16" s="107">
        <f t="shared" si="3"/>
        <v>1056419</v>
      </c>
      <c r="J16" s="107">
        <f t="shared" si="3"/>
        <v>305133.92</v>
      </c>
      <c r="K16" s="107">
        <f t="shared" si="3"/>
        <v>1080365.6500000001</v>
      </c>
      <c r="L16" s="107">
        <f t="shared" si="3"/>
        <v>1023839.32</v>
      </c>
      <c r="M16" s="107">
        <f t="shared" si="3"/>
        <v>1071475.93</v>
      </c>
      <c r="N16" s="107">
        <f t="shared" si="3"/>
        <v>1012656.68</v>
      </c>
      <c r="O16" s="107">
        <f t="shared" si="3"/>
        <v>971974.64</v>
      </c>
      <c r="P16" s="107">
        <f t="shared" si="3"/>
        <v>948005.38</v>
      </c>
      <c r="Q16" s="107">
        <f t="shared" si="3"/>
        <v>916275.57</v>
      </c>
      <c r="R16" s="107">
        <f t="shared" si="3"/>
        <v>954934.68</v>
      </c>
      <c r="S16" s="107">
        <f t="shared" si="3"/>
        <v>1008250.39</v>
      </c>
      <c r="T16" s="107">
        <f t="shared" si="3"/>
        <v>842521.75</v>
      </c>
      <c r="U16" s="107">
        <f t="shared" si="3"/>
        <v>868513.94000000006</v>
      </c>
      <c r="V16" s="107">
        <f t="shared" si="3"/>
        <v>543981.97</v>
      </c>
      <c r="W16" s="107">
        <f t="shared" si="3"/>
        <v>1031506.7699999999</v>
      </c>
      <c r="X16" s="107">
        <f t="shared" si="3"/>
        <v>1021902.84</v>
      </c>
    </row>
    <row r="17" spans="1:24" x14ac:dyDescent="0.25">
      <c r="A17" s="25" t="s">
        <v>137</v>
      </c>
      <c r="G17" s="107">
        <f t="shared" ref="G17:X17" si="4">$E$4*G4</f>
        <v>160423.27000000002</v>
      </c>
      <c r="H17" s="107">
        <f t="shared" si="4"/>
        <v>154871.85</v>
      </c>
      <c r="I17" s="107">
        <f t="shared" si="4"/>
        <v>224303.17</v>
      </c>
      <c r="J17" s="107">
        <f t="shared" si="4"/>
        <v>205059.4</v>
      </c>
      <c r="K17" s="107">
        <f t="shared" si="4"/>
        <v>337237.45999999996</v>
      </c>
      <c r="L17" s="107">
        <f t="shared" si="4"/>
        <v>359703.82</v>
      </c>
      <c r="M17" s="107">
        <f t="shared" si="4"/>
        <v>339611.50999999995</v>
      </c>
      <c r="N17" s="107">
        <f t="shared" si="4"/>
        <v>335141.38</v>
      </c>
      <c r="O17" s="107">
        <f t="shared" si="4"/>
        <v>286370.27999999997</v>
      </c>
      <c r="P17" s="107">
        <f t="shared" si="4"/>
        <v>227129.42</v>
      </c>
      <c r="Q17" s="107">
        <f t="shared" si="4"/>
        <v>143903.34</v>
      </c>
      <c r="R17" s="107">
        <f t="shared" si="4"/>
        <v>102685.31000000001</v>
      </c>
      <c r="S17" s="107">
        <f t="shared" si="4"/>
        <v>116489.38</v>
      </c>
      <c r="T17" s="107">
        <f t="shared" si="4"/>
        <v>130832.1</v>
      </c>
      <c r="U17" s="107">
        <f t="shared" si="4"/>
        <v>165271.12000000002</v>
      </c>
      <c r="V17" s="107">
        <f t="shared" si="4"/>
        <v>224751.37999999998</v>
      </c>
      <c r="W17" s="107">
        <f t="shared" si="4"/>
        <v>318465.84000000003</v>
      </c>
      <c r="X17" s="107">
        <f t="shared" si="4"/>
        <v>355509</v>
      </c>
    </row>
    <row r="18" spans="1:24" x14ac:dyDescent="0.25">
      <c r="A18" s="25" t="s">
        <v>37</v>
      </c>
      <c r="G18" s="107">
        <f>SUM(G16:G17)</f>
        <v>1208424.7000000002</v>
      </c>
      <c r="H18" s="107">
        <f t="shared" ref="H18:S18" si="5">SUM(H16:H17)</f>
        <v>1045572.85</v>
      </c>
      <c r="I18" s="107">
        <f t="shared" si="5"/>
        <v>1280722.17</v>
      </c>
      <c r="J18" s="107">
        <f t="shared" si="5"/>
        <v>510193.31999999995</v>
      </c>
      <c r="K18" s="107">
        <f t="shared" si="5"/>
        <v>1417603.11</v>
      </c>
      <c r="L18" s="107">
        <f t="shared" si="5"/>
        <v>1383543.14</v>
      </c>
      <c r="M18" s="107">
        <f t="shared" si="5"/>
        <v>1411087.44</v>
      </c>
      <c r="N18" s="107">
        <f t="shared" si="5"/>
        <v>1347798.06</v>
      </c>
      <c r="O18" s="107">
        <f t="shared" si="5"/>
        <v>1258344.92</v>
      </c>
      <c r="P18" s="107">
        <f t="shared" si="5"/>
        <v>1175134.8</v>
      </c>
      <c r="Q18" s="107">
        <f t="shared" si="5"/>
        <v>1060178.9099999999</v>
      </c>
      <c r="R18" s="107">
        <f t="shared" si="5"/>
        <v>1057619.99</v>
      </c>
      <c r="S18" s="107">
        <f t="shared" si="5"/>
        <v>1124739.77</v>
      </c>
      <c r="T18" s="107">
        <f>SUM(T16:T17)</f>
        <v>973353.85</v>
      </c>
      <c r="U18" s="107">
        <f>SUM(U16:U17)</f>
        <v>1033785.06</v>
      </c>
      <c r="V18" s="107">
        <f t="shared" ref="V18:X18" si="6">SUM(V16:V17)</f>
        <v>768733.35</v>
      </c>
      <c r="W18" s="107">
        <f t="shared" si="6"/>
        <v>1349972.6099999999</v>
      </c>
      <c r="X18" s="107">
        <f t="shared" si="6"/>
        <v>1377411.8399999999</v>
      </c>
    </row>
    <row r="20" spans="1:24" x14ac:dyDescent="0.25">
      <c r="A20" s="34" t="s">
        <v>676</v>
      </c>
      <c r="I20" s="107">
        <f>SUM(G18:I18)</f>
        <v>3534719.72</v>
      </c>
      <c r="J20" s="107"/>
      <c r="K20" s="107"/>
      <c r="L20" s="107">
        <f>SUM(J18:L18)</f>
        <v>3311339.5700000003</v>
      </c>
      <c r="M20" s="107"/>
      <c r="N20" s="107"/>
      <c r="O20" s="107">
        <f>SUM(M18:O18)</f>
        <v>4017230.42</v>
      </c>
      <c r="P20" s="107"/>
      <c r="Q20" s="107"/>
      <c r="R20" s="107">
        <f>SUM(P18:R18)</f>
        <v>3292933.7</v>
      </c>
      <c r="S20" s="107"/>
      <c r="T20" s="107"/>
      <c r="U20" s="107">
        <f>SUM(S18:U18)</f>
        <v>3131878.68</v>
      </c>
      <c r="X20" s="107">
        <f>SUM(V18:X18)</f>
        <v>3496117.8</v>
      </c>
    </row>
    <row r="21" spans="1:24" x14ac:dyDescent="0.25">
      <c r="A21" s="34" t="s">
        <v>677</v>
      </c>
      <c r="L21" s="40">
        <f>(L20/I20)-1</f>
        <v>-6.3196000728453772E-2</v>
      </c>
      <c r="M21" s="40"/>
      <c r="N21" s="40"/>
      <c r="O21" s="40">
        <f>(O20/L20)-1</f>
        <v>0.21317380325328572</v>
      </c>
      <c r="P21" s="40"/>
      <c r="Q21" s="40"/>
      <c r="R21" s="40">
        <f>(R20/O20)-1</f>
        <v>-0.18029752946060773</v>
      </c>
      <c r="S21" s="40"/>
      <c r="T21" s="40"/>
      <c r="U21" s="40">
        <f>(U20/R20)-1</f>
        <v>-4.8909281106995883E-2</v>
      </c>
      <c r="X21" s="40">
        <f>(X20/U20)-1</f>
        <v>0.1163005202998475</v>
      </c>
    </row>
    <row r="22" spans="1:24" x14ac:dyDescent="0.25">
      <c r="A22" s="34" t="s">
        <v>678</v>
      </c>
      <c r="L22" s="40"/>
      <c r="M22" s="40"/>
      <c r="N22" s="40"/>
      <c r="O22" s="40"/>
      <c r="P22" s="40"/>
      <c r="Q22" s="40"/>
      <c r="R22" s="40"/>
      <c r="S22" s="40"/>
      <c r="T22" s="40"/>
      <c r="U22" s="40">
        <f>(U20/I20)-1</f>
        <v>-0.1139668974942093</v>
      </c>
      <c r="X22" s="40">
        <f>(X20/L20)-1</f>
        <v>5.5801655521544591E-2</v>
      </c>
    </row>
    <row r="24" spans="1:24" x14ac:dyDescent="0.25">
      <c r="A24" s="34" t="s">
        <v>681</v>
      </c>
      <c r="B24" s="25" t="s">
        <v>683</v>
      </c>
      <c r="C24" s="25" t="s">
        <v>684</v>
      </c>
      <c r="D24" s="25" t="s">
        <v>685</v>
      </c>
      <c r="E24" s="25" t="s">
        <v>686</v>
      </c>
      <c r="F24" s="25" t="s">
        <v>687</v>
      </c>
      <c r="G24" s="25" t="s">
        <v>484</v>
      </c>
      <c r="H24" s="25" t="s">
        <v>485</v>
      </c>
      <c r="I24" s="25" t="s">
        <v>486</v>
      </c>
      <c r="J24" s="25" t="s">
        <v>487</v>
      </c>
      <c r="K24" s="25" t="s">
        <v>488</v>
      </c>
      <c r="L24" s="25" t="s">
        <v>489</v>
      </c>
      <c r="M24" s="25" t="s">
        <v>490</v>
      </c>
      <c r="N24" s="25" t="s">
        <v>491</v>
      </c>
      <c r="O24" s="25" t="s">
        <v>492</v>
      </c>
      <c r="P24" s="25" t="s">
        <v>493</v>
      </c>
      <c r="Q24" s="25" t="s">
        <v>494</v>
      </c>
      <c r="R24" s="25" t="s">
        <v>495</v>
      </c>
      <c r="S24" s="25" t="s">
        <v>496</v>
      </c>
      <c r="T24" s="25" t="s">
        <v>497</v>
      </c>
      <c r="U24" s="25" t="s">
        <v>574</v>
      </c>
      <c r="V24" s="25" t="s">
        <v>731</v>
      </c>
      <c r="W24" s="25" t="s">
        <v>732</v>
      </c>
      <c r="X24" s="25" t="s">
        <v>733</v>
      </c>
    </row>
    <row r="25" spans="1:24" x14ac:dyDescent="0.25">
      <c r="A25" s="25" t="s">
        <v>135</v>
      </c>
      <c r="G25" s="107">
        <f>$G$34*G16</f>
        <v>37183090.736400001</v>
      </c>
      <c r="H25" s="107">
        <f>$H$34*H16</f>
        <v>32172120.119999997</v>
      </c>
      <c r="I25" s="107">
        <f>$I$34*I16</f>
        <v>39129759.759999998</v>
      </c>
      <c r="J25" s="107">
        <f>$J$34*J16</f>
        <v>11610345.655999998</v>
      </c>
      <c r="K25" s="107">
        <f>$K$34*K16</f>
        <v>41831757.968000002</v>
      </c>
      <c r="L25" s="107">
        <f>$L$34*L16</f>
        <v>40308554.028399996</v>
      </c>
      <c r="M25" s="107">
        <f>$M$34*M16</f>
        <v>43009043.830200002</v>
      </c>
      <c r="N25" s="107">
        <f>$N$34*N16</f>
        <v>41265759.710000001</v>
      </c>
      <c r="O25" s="107">
        <f>$O$34*O16</f>
        <v>40084234.1536</v>
      </c>
      <c r="P25" s="107">
        <f>$P$34*P16</f>
        <v>39579224.615000002</v>
      </c>
      <c r="Q25" s="107">
        <f>$Q$34*Q16</f>
        <v>38666829.053999998</v>
      </c>
      <c r="R25" s="107">
        <f>$R$34*R16</f>
        <v>40689766.7148</v>
      </c>
      <c r="S25" s="107">
        <f>$S$34*S16</f>
        <v>43495921.824600004</v>
      </c>
      <c r="T25" s="107">
        <f>$T$34*T16</f>
        <v>36742373.517499998</v>
      </c>
      <c r="U25" s="107">
        <f>$U$34*U16</f>
        <v>38301464.754000001</v>
      </c>
      <c r="V25" s="107">
        <f t="shared" ref="V25:X25" si="7">$U$34*V16</f>
        <v>23989604.877</v>
      </c>
      <c r="W25" s="107">
        <f t="shared" si="7"/>
        <v>45489448.556999996</v>
      </c>
      <c r="X25" s="107">
        <f t="shared" si="7"/>
        <v>45065915.244000003</v>
      </c>
    </row>
    <row r="26" spans="1:24" x14ac:dyDescent="0.25">
      <c r="A26" s="25" t="s">
        <v>137</v>
      </c>
      <c r="G26" s="107">
        <f t="shared" ref="G26" si="8">$G$34*G17</f>
        <v>5691817.6195999999</v>
      </c>
      <c r="H26" s="107">
        <f t="shared" ref="H26" si="9">$H$34*H17</f>
        <v>5593971.2220000001</v>
      </c>
      <c r="I26" s="107">
        <f t="shared" ref="I26" si="10">$I$34*I17</f>
        <v>8308189.4168000007</v>
      </c>
      <c r="J26" s="107">
        <f t="shared" ref="J26" si="11">$J$34*J17</f>
        <v>7802510.169999999</v>
      </c>
      <c r="K26" s="107">
        <f t="shared" ref="K26" si="12">$K$34*K17</f>
        <v>13057834.451199999</v>
      </c>
      <c r="L26" s="107">
        <f t="shared" ref="L26" si="13">$L$34*L17</f>
        <v>14161539.393399999</v>
      </c>
      <c r="M26" s="107">
        <f t="shared" ref="M26" si="14">$M$34*M17</f>
        <v>13632006.011399997</v>
      </c>
      <c r="N26" s="107">
        <f t="shared" ref="N26" si="15">$N$34*N17</f>
        <v>13657011.234999999</v>
      </c>
      <c r="O26" s="107">
        <f t="shared" ref="O26" si="16">$O$34*O17</f>
        <v>11809910.347199999</v>
      </c>
      <c r="P26" s="107">
        <f t="shared" ref="P26" si="17">$P$34*P17</f>
        <v>9482653.2850000001</v>
      </c>
      <c r="Q26" s="107">
        <f t="shared" ref="Q26" si="18">$Q$34*Q17</f>
        <v>6072720.9479999999</v>
      </c>
      <c r="R26" s="107">
        <f t="shared" ref="R26" si="19">$R$34*R17</f>
        <v>4375421.0591000002</v>
      </c>
      <c r="S26" s="107">
        <f t="shared" ref="S26" si="20">$S$34*S17</f>
        <v>5025351.8532000007</v>
      </c>
      <c r="T26" s="107">
        <f t="shared" ref="T26" si="21">$T$34*T17</f>
        <v>5705587.8810000001</v>
      </c>
      <c r="U26" s="107">
        <f t="shared" ref="U26:X26" si="22">$U$34*U17</f>
        <v>7288456.3920000009</v>
      </c>
      <c r="V26" s="107">
        <f t="shared" si="22"/>
        <v>9911535.8579999991</v>
      </c>
      <c r="W26" s="107">
        <f t="shared" si="22"/>
        <v>14044343.544000002</v>
      </c>
      <c r="X26" s="107">
        <f t="shared" si="22"/>
        <v>15677946.9</v>
      </c>
    </row>
    <row r="27" spans="1:24" x14ac:dyDescent="0.25">
      <c r="A27" s="25" t="s">
        <v>37</v>
      </c>
      <c r="G27" s="107">
        <f>SUM(G25:G26)</f>
        <v>42874908.355999999</v>
      </c>
      <c r="H27" s="107">
        <f t="shared" ref="H27:X27" si="23">SUM(H25:H26)</f>
        <v>37766091.342</v>
      </c>
      <c r="I27" s="107">
        <f t="shared" si="23"/>
        <v>47437949.176799998</v>
      </c>
      <c r="J27" s="107">
        <f t="shared" si="23"/>
        <v>19412855.825999998</v>
      </c>
      <c r="K27" s="107">
        <f t="shared" si="23"/>
        <v>54889592.419200003</v>
      </c>
      <c r="L27" s="107">
        <f t="shared" si="23"/>
        <v>54470093.421799995</v>
      </c>
      <c r="M27" s="107">
        <f t="shared" si="23"/>
        <v>56641049.841600001</v>
      </c>
      <c r="N27" s="107">
        <f t="shared" si="23"/>
        <v>54922770.945</v>
      </c>
      <c r="O27" s="107">
        <f t="shared" si="23"/>
        <v>51894144.500799999</v>
      </c>
      <c r="P27" s="107">
        <f t="shared" si="23"/>
        <v>49061877.900000006</v>
      </c>
      <c r="Q27" s="107">
        <f t="shared" si="23"/>
        <v>44739550.001999997</v>
      </c>
      <c r="R27" s="107">
        <f t="shared" si="23"/>
        <v>45065187.773900002</v>
      </c>
      <c r="S27" s="107">
        <f t="shared" si="23"/>
        <v>48521273.677800007</v>
      </c>
      <c r="T27" s="107">
        <f t="shared" si="23"/>
        <v>42447961.398499995</v>
      </c>
      <c r="U27" s="107">
        <f t="shared" si="23"/>
        <v>45589921.145999998</v>
      </c>
      <c r="V27" s="107">
        <f t="shared" si="23"/>
        <v>33901140.734999999</v>
      </c>
      <c r="W27" s="107">
        <f t="shared" si="23"/>
        <v>59533792.100999996</v>
      </c>
      <c r="X27" s="107">
        <f t="shared" si="23"/>
        <v>60743862.144000001</v>
      </c>
    </row>
    <row r="29" spans="1:24" x14ac:dyDescent="0.25">
      <c r="A29" s="34" t="s">
        <v>676</v>
      </c>
      <c r="I29" s="107">
        <f>SUM(G27:I27)</f>
        <v>128078948.8748</v>
      </c>
      <c r="J29" s="107"/>
      <c r="K29" s="107"/>
      <c r="L29" s="107">
        <f>SUM(J27:L27)</f>
        <v>128772541.667</v>
      </c>
      <c r="M29" s="107"/>
      <c r="N29" s="107"/>
      <c r="O29" s="107">
        <f>SUM(M27:O27)</f>
        <v>163457965.28740001</v>
      </c>
      <c r="P29" s="107"/>
      <c r="Q29" s="107"/>
      <c r="R29" s="107">
        <f>SUM(P27:R27)</f>
        <v>138866615.67590001</v>
      </c>
      <c r="S29" s="107"/>
      <c r="T29" s="107"/>
      <c r="U29" s="107">
        <f>SUM(S27:U27)</f>
        <v>136559156.22229999</v>
      </c>
      <c r="X29" s="107">
        <f>SUM(V27:X27)</f>
        <v>154178794.97999999</v>
      </c>
    </row>
    <row r="30" spans="1:24" x14ac:dyDescent="0.25">
      <c r="A30" s="34" t="s">
        <v>677</v>
      </c>
      <c r="L30" s="40">
        <f>(L29/I29)-1</f>
        <v>5.4153535635117489E-3</v>
      </c>
      <c r="M30" s="40"/>
      <c r="N30" s="40"/>
      <c r="O30" s="40">
        <f>(O29/L29)-1</f>
        <v>0.26935418973165071</v>
      </c>
      <c r="P30" s="40"/>
      <c r="Q30" s="40"/>
      <c r="R30" s="40">
        <f>(R29/O29)-1</f>
        <v>-0.15044448625224383</v>
      </c>
      <c r="S30" s="40"/>
      <c r="T30" s="40"/>
      <c r="U30" s="40">
        <f>(U29/R29)-1</f>
        <v>-1.6616372785993372E-2</v>
      </c>
      <c r="X30" s="40">
        <f>(X29/U29)-1</f>
        <v>0.12902568560849614</v>
      </c>
    </row>
    <row r="31" spans="1:24" x14ac:dyDescent="0.25">
      <c r="A31" s="34" t="s">
        <v>678</v>
      </c>
      <c r="L31" s="40"/>
      <c r="M31" s="40"/>
      <c r="N31" s="40"/>
      <c r="O31" s="40"/>
      <c r="P31" s="40"/>
      <c r="Q31" s="40"/>
      <c r="R31" s="40"/>
      <c r="S31" s="40"/>
      <c r="T31" s="40"/>
      <c r="U31" s="40">
        <f>(U29/I29)-1</f>
        <v>6.6210781881022251E-2</v>
      </c>
      <c r="X31" s="40">
        <f>(X29/L29)-1</f>
        <v>0.19729558012995829</v>
      </c>
    </row>
    <row r="33" spans="1:24" x14ac:dyDescent="0.25">
      <c r="A33" s="25" t="s">
        <v>578</v>
      </c>
      <c r="G33" s="25" t="s">
        <v>484</v>
      </c>
      <c r="H33" s="25" t="s">
        <v>485</v>
      </c>
      <c r="I33" s="25" t="s">
        <v>486</v>
      </c>
      <c r="J33" s="25" t="s">
        <v>487</v>
      </c>
      <c r="K33" s="25" t="s">
        <v>488</v>
      </c>
      <c r="L33" s="25" t="s">
        <v>489</v>
      </c>
      <c r="M33" s="25" t="s">
        <v>490</v>
      </c>
      <c r="N33" s="25" t="s">
        <v>491</v>
      </c>
      <c r="O33" s="25" t="s">
        <v>492</v>
      </c>
      <c r="P33" s="25" t="s">
        <v>493</v>
      </c>
      <c r="Q33" s="25" t="s">
        <v>494</v>
      </c>
      <c r="R33" s="25" t="s">
        <v>495</v>
      </c>
      <c r="S33" s="25" t="s">
        <v>496</v>
      </c>
      <c r="T33" s="25" t="s">
        <v>497</v>
      </c>
      <c r="U33" s="25" t="s">
        <v>574</v>
      </c>
      <c r="V33" s="25" t="s">
        <v>731</v>
      </c>
      <c r="W33" s="25" t="s">
        <v>732</v>
      </c>
      <c r="X33" s="25" t="s">
        <v>733</v>
      </c>
    </row>
    <row r="34" spans="1:24" x14ac:dyDescent="0.25">
      <c r="A34" s="25" t="s">
        <v>576</v>
      </c>
      <c r="G34" s="62" t="str">
        <f>PTF!B5</f>
        <v>35,48</v>
      </c>
      <c r="H34" s="62">
        <f>PTF!C5</f>
        <v>36.119999999999997</v>
      </c>
      <c r="I34" s="62">
        <f>PTF!D5</f>
        <v>37.04</v>
      </c>
      <c r="J34" s="62">
        <f>PTF!E5</f>
        <v>38.049999999999997</v>
      </c>
      <c r="K34" s="62">
        <f>PTF!F5</f>
        <v>38.72</v>
      </c>
      <c r="L34" s="62">
        <f>PTF!G5</f>
        <v>39.369999999999997</v>
      </c>
      <c r="M34" s="62">
        <f>PTF!H5</f>
        <v>40.14</v>
      </c>
      <c r="N34" s="62">
        <f>PTF!I5</f>
        <v>40.75</v>
      </c>
      <c r="O34" s="62">
        <f>PTF!J5</f>
        <v>41.24</v>
      </c>
      <c r="P34" s="62">
        <f>PTF!K5</f>
        <v>41.75</v>
      </c>
      <c r="Q34" s="62">
        <f>PTF!L5</f>
        <v>42.2</v>
      </c>
      <c r="R34" s="62">
        <f>PTF!M5</f>
        <v>42.61</v>
      </c>
      <c r="S34" s="62">
        <f>PTF!N5</f>
        <v>43.14</v>
      </c>
      <c r="T34" s="62">
        <f>PTF!O5</f>
        <v>43.61</v>
      </c>
      <c r="U34" s="62">
        <f>PTF!P5</f>
        <v>44.1</v>
      </c>
      <c r="V34" s="62">
        <f>PTF!Q5</f>
        <v>44.68</v>
      </c>
      <c r="W34" s="62">
        <f>PTF!R5</f>
        <v>45.36</v>
      </c>
      <c r="X34" s="62">
        <f>PTF!S5</f>
        <v>46.17</v>
      </c>
    </row>
    <row r="40" spans="1:24" x14ac:dyDescent="0.25">
      <c r="A40" s="86" t="s">
        <v>44</v>
      </c>
    </row>
    <row r="41" spans="1:24" x14ac:dyDescent="0.25">
      <c r="A41" s="25" t="s">
        <v>139</v>
      </c>
    </row>
    <row r="42" spans="1:24" x14ac:dyDescent="0.25">
      <c r="A42" s="25" t="s">
        <v>140</v>
      </c>
    </row>
    <row r="43" spans="1:24" x14ac:dyDescent="0.25">
      <c r="A43" s="25" t="s">
        <v>141</v>
      </c>
    </row>
  </sheetData>
  <phoneticPr fontId="48" type="noConversion"/>
  <conditionalFormatting sqref="L21:U22">
    <cfRule type="colorScale" priority="8">
      <colorScale>
        <cfvo type="min"/>
        <cfvo type="percentile" val="50"/>
        <cfvo type="max"/>
        <color rgb="FFF8696B"/>
        <color rgb="FFFFEB84"/>
        <color rgb="FF63BE7B"/>
      </colorScale>
    </cfRule>
  </conditionalFormatting>
  <conditionalFormatting sqref="L30:U31">
    <cfRule type="colorScale" priority="7">
      <colorScale>
        <cfvo type="min"/>
        <cfvo type="percentile" val="50"/>
        <cfvo type="max"/>
        <color rgb="FFF8696B"/>
        <color rgb="FFFFEB84"/>
        <color rgb="FF63BE7B"/>
      </colorScale>
    </cfRule>
  </conditionalFormatting>
  <conditionalFormatting sqref="L21:X22">
    <cfRule type="colorScale" priority="1">
      <colorScale>
        <cfvo type="min"/>
        <cfvo type="percentile" val="50"/>
        <cfvo type="max"/>
        <color rgb="FFF8696B"/>
        <color rgb="FFFFEB84"/>
        <color rgb="FF63BE7B"/>
      </colorScale>
    </cfRule>
  </conditionalFormatting>
  <conditionalFormatting sqref="L30:X31">
    <cfRule type="colorScale" priority="2">
      <colorScale>
        <cfvo type="min"/>
        <cfvo type="percentile" val="50"/>
        <cfvo type="max"/>
        <color rgb="FFF8696B"/>
        <color rgb="FFFFEB84"/>
        <color rgb="FF63BE7B"/>
      </colorScale>
    </cfRule>
  </conditionalFormatting>
  <conditionalFormatting sqref="S8:X13">
    <cfRule type="colorScale" priority="9">
      <colorScale>
        <cfvo type="min"/>
        <cfvo type="percentile" val="50"/>
        <cfvo type="max"/>
        <color rgb="FFF8696B"/>
        <color rgb="FFFFEB84"/>
        <color rgb="FF63BE7B"/>
      </colorScale>
    </cfRule>
  </conditionalFormatting>
  <conditionalFormatting sqref="X21">
    <cfRule type="colorScale" priority="6">
      <colorScale>
        <cfvo type="min"/>
        <cfvo type="percentile" val="50"/>
        <cfvo type="max"/>
        <color rgb="FFF8696B"/>
        <color rgb="FFFFEB84"/>
        <color rgb="FF63BE7B"/>
      </colorScale>
    </cfRule>
  </conditionalFormatting>
  <conditionalFormatting sqref="X22">
    <cfRule type="colorScale" priority="5">
      <colorScale>
        <cfvo type="min"/>
        <cfvo type="percentile" val="50"/>
        <cfvo type="max"/>
        <color rgb="FFF8696B"/>
        <color rgb="FFFFEB84"/>
        <color rgb="FF63BE7B"/>
      </colorScale>
    </cfRule>
  </conditionalFormatting>
  <conditionalFormatting sqref="X30">
    <cfRule type="colorScale" priority="4">
      <colorScale>
        <cfvo type="min"/>
        <cfvo type="percentile" val="50"/>
        <cfvo type="max"/>
        <color rgb="FFF8696B"/>
        <color rgb="FFFFEB84"/>
        <color rgb="FF63BE7B"/>
      </colorScale>
    </cfRule>
  </conditionalFormatting>
  <conditionalFormatting sqref="X31">
    <cfRule type="colorScale" priority="3">
      <colorScale>
        <cfvo type="min"/>
        <cfvo type="percentile" val="50"/>
        <cfvo type="max"/>
        <color rgb="FFF8696B"/>
        <color rgb="FFFFEB84"/>
        <color rgb="FF63BE7B"/>
      </colorScale>
    </cfRule>
  </conditionalFormatting>
  <pageMargins left="0.7" right="0.7" top="0.75" bottom="0.75" header="0.3" footer="0.3"/>
  <legacyDrawing r:id="rId1"/>
  <tableParts count="3">
    <tablePart r:id="rId2"/>
    <tablePart r:id="rId3"/>
    <tablePart r:id="rId4"/>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42E90-8589-47DE-A072-79957206DB4F}">
  <dimension ref="A1:AC37"/>
  <sheetViews>
    <sheetView zoomScale="46" zoomScaleNormal="100" workbookViewId="0">
      <selection activeCell="M36" sqref="M36:M37"/>
    </sheetView>
  </sheetViews>
  <sheetFormatPr defaultColWidth="9.140625" defaultRowHeight="15" x14ac:dyDescent="0.25"/>
  <cols>
    <col min="1" max="1" width="43.28515625" style="25" customWidth="1"/>
    <col min="2" max="2" width="11.5703125" style="25" customWidth="1"/>
    <col min="3" max="3" width="21.85546875" style="25" customWidth="1"/>
    <col min="4" max="4" width="9.28515625" style="25" customWidth="1"/>
    <col min="5" max="5" width="11.7109375" style="25" customWidth="1"/>
    <col min="6" max="6" width="15" style="25" customWidth="1"/>
    <col min="7" max="8" width="15.42578125" style="25" bestFit="1" customWidth="1"/>
    <col min="9" max="9" width="15.5703125" style="25" bestFit="1" customWidth="1"/>
    <col min="10" max="11" width="15.42578125" style="25" bestFit="1" customWidth="1"/>
    <col min="12" max="12" width="17" style="25" bestFit="1" customWidth="1"/>
    <col min="13" max="14" width="15.42578125" style="25" bestFit="1" customWidth="1"/>
    <col min="15" max="15" width="17" style="25" bestFit="1" customWidth="1"/>
    <col min="16" max="16" width="15.42578125" style="25" bestFit="1" customWidth="1"/>
    <col min="17" max="17" width="14.42578125" style="25" bestFit="1" customWidth="1"/>
    <col min="18" max="18" width="17" style="25" bestFit="1" customWidth="1"/>
    <col min="19" max="20" width="15.42578125" style="25" bestFit="1" customWidth="1"/>
    <col min="21" max="21" width="17" style="25" bestFit="1" customWidth="1"/>
    <col min="22" max="24" width="15.28515625" style="25" bestFit="1" customWidth="1"/>
    <col min="25" max="16384" width="9.140625" style="25"/>
  </cols>
  <sheetData>
    <row r="1" spans="1:24" x14ac:dyDescent="0.25">
      <c r="A1" s="25" t="s">
        <v>35</v>
      </c>
      <c r="B1" s="25" t="s">
        <v>111</v>
      </c>
      <c r="C1" s="25" t="s">
        <v>338</v>
      </c>
      <c r="D1" s="25" t="s">
        <v>454</v>
      </c>
      <c r="E1" s="25" t="s">
        <v>551</v>
      </c>
      <c r="F1" s="25" t="s">
        <v>555</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25" t="s">
        <v>112</v>
      </c>
      <c r="B2" s="25">
        <v>330</v>
      </c>
      <c r="C2" s="25" t="s">
        <v>423</v>
      </c>
      <c r="D2" s="25">
        <v>2305</v>
      </c>
      <c r="E2" s="25" t="s">
        <v>524</v>
      </c>
      <c r="F2" s="25" t="s">
        <v>543</v>
      </c>
      <c r="G2" s="25">
        <v>162833</v>
      </c>
      <c r="H2" s="25">
        <v>67265</v>
      </c>
      <c r="I2" s="25">
        <v>68555</v>
      </c>
      <c r="J2" s="25">
        <v>147924</v>
      </c>
      <c r="K2" s="25">
        <v>197461</v>
      </c>
      <c r="L2" s="25">
        <v>151960</v>
      </c>
      <c r="M2" s="25">
        <v>169962</v>
      </c>
      <c r="N2" s="25">
        <v>197461</v>
      </c>
      <c r="O2" s="25">
        <v>154376</v>
      </c>
      <c r="P2" s="25">
        <v>168815</v>
      </c>
      <c r="Q2" s="25">
        <v>10617</v>
      </c>
      <c r="R2" s="25">
        <v>215921</v>
      </c>
      <c r="S2" s="25">
        <v>199832</v>
      </c>
      <c r="T2" s="25">
        <v>160326</v>
      </c>
      <c r="U2" s="25">
        <v>182527</v>
      </c>
      <c r="V2" s="25">
        <v>170042</v>
      </c>
      <c r="W2" s="25">
        <v>180172</v>
      </c>
      <c r="X2" s="25">
        <v>174804</v>
      </c>
    </row>
    <row r="3" spans="1:24" x14ac:dyDescent="0.25">
      <c r="A3" s="25" t="s">
        <v>37</v>
      </c>
      <c r="B3" s="25">
        <f>SUM(B2)</f>
        <v>330</v>
      </c>
      <c r="G3" s="25">
        <v>162833</v>
      </c>
      <c r="H3" s="25">
        <v>67265</v>
      </c>
      <c r="I3" s="25">
        <v>68555</v>
      </c>
      <c r="J3" s="25">
        <v>147924</v>
      </c>
      <c r="K3" s="25">
        <v>197461</v>
      </c>
      <c r="L3" s="25">
        <v>151960</v>
      </c>
      <c r="M3" s="25">
        <v>169962</v>
      </c>
      <c r="N3" s="25">
        <v>197461</v>
      </c>
      <c r="O3" s="25">
        <v>154376</v>
      </c>
      <c r="P3" s="25">
        <v>168815</v>
      </c>
      <c r="Q3" s="25">
        <v>10617</v>
      </c>
      <c r="R3" s="25">
        <v>215921</v>
      </c>
      <c r="S3" s="25">
        <v>199832</v>
      </c>
      <c r="T3" s="25">
        <v>160326</v>
      </c>
      <c r="U3" s="25">
        <v>182527</v>
      </c>
      <c r="V3" s="25">
        <v>170042</v>
      </c>
      <c r="W3" s="25">
        <v>180172</v>
      </c>
      <c r="X3" s="25">
        <v>174804</v>
      </c>
    </row>
    <row r="6" spans="1:24" x14ac:dyDescent="0.25">
      <c r="A6" s="25" t="s">
        <v>536</v>
      </c>
      <c r="S6" s="40">
        <f>(S2/G2)-1</f>
        <v>0.2272205265517433</v>
      </c>
      <c r="T6" s="40">
        <f>(T2/H2)-1</f>
        <v>1.3834981045120047</v>
      </c>
      <c r="U6" s="40">
        <f>(U2/I2)-1</f>
        <v>1.6624899715556851</v>
      </c>
      <c r="V6" s="40">
        <f t="shared" ref="V6:X6" si="0">(V2/J2)-1</f>
        <v>0.14952272788729348</v>
      </c>
      <c r="W6" s="40">
        <f t="shared" si="0"/>
        <v>-8.755653015025755E-2</v>
      </c>
      <c r="X6" s="40">
        <f t="shared" si="0"/>
        <v>0.15032903395630437</v>
      </c>
    </row>
    <row r="7" spans="1:24" x14ac:dyDescent="0.25">
      <c r="A7" s="25" t="s">
        <v>537</v>
      </c>
      <c r="S7" s="40"/>
      <c r="T7" s="40">
        <f>(SUM(S3:T3)/SUM(G3:H3))-1</f>
        <v>0.56523742057731918</v>
      </c>
      <c r="U7" s="40">
        <f>(SUM(S3:U3)/SUM(G3:I3))-1</f>
        <v>0.81710881859549378</v>
      </c>
      <c r="V7" s="40">
        <f>(SUM(S3:V3)/SUM(G3:J3))-1</f>
        <v>0.5959778492846699</v>
      </c>
      <c r="W7" s="40">
        <f>(SUM(S3:W3)/SUM(G3:K3))-1</f>
        <v>0.38640732379145337</v>
      </c>
      <c r="X7" s="40">
        <f>(SUM(S3:X3)/SUM(G3:L3))-1</f>
        <v>0.34133879733366168</v>
      </c>
    </row>
    <row r="9" spans="1:24" x14ac:dyDescent="0.25">
      <c r="A9" s="34" t="s">
        <v>667</v>
      </c>
      <c r="B9" s="25" t="s">
        <v>683</v>
      </c>
      <c r="C9" s="25" t="s">
        <v>684</v>
      </c>
      <c r="D9" s="25" t="s">
        <v>685</v>
      </c>
      <c r="E9" s="25" t="s">
        <v>686</v>
      </c>
      <c r="F9" s="25" t="s">
        <v>687</v>
      </c>
      <c r="G9" s="25" t="s">
        <v>484</v>
      </c>
      <c r="H9" s="25" t="s">
        <v>485</v>
      </c>
      <c r="I9" s="25" t="s">
        <v>486</v>
      </c>
      <c r="J9" s="25" t="s">
        <v>487</v>
      </c>
      <c r="K9" s="25" t="s">
        <v>488</v>
      </c>
      <c r="L9" s="25" t="s">
        <v>489</v>
      </c>
      <c r="M9" s="25" t="s">
        <v>490</v>
      </c>
      <c r="N9" s="25" t="s">
        <v>491</v>
      </c>
      <c r="O9" s="25" t="s">
        <v>492</v>
      </c>
      <c r="P9" s="25" t="s">
        <v>493</v>
      </c>
      <c r="Q9" s="25" t="s">
        <v>494</v>
      </c>
      <c r="R9" s="25" t="s">
        <v>495</v>
      </c>
      <c r="S9" s="25" t="s">
        <v>496</v>
      </c>
      <c r="T9" s="25" t="s">
        <v>497</v>
      </c>
      <c r="U9" s="25" t="s">
        <v>574</v>
      </c>
      <c r="V9" s="25" t="s">
        <v>731</v>
      </c>
      <c r="W9" s="25" t="s">
        <v>732</v>
      </c>
      <c r="X9" s="25" t="s">
        <v>733</v>
      </c>
    </row>
    <row r="10" spans="1:24" x14ac:dyDescent="0.25">
      <c r="A10" s="25" t="s">
        <v>112</v>
      </c>
      <c r="G10" s="107">
        <f t="shared" ref="G10:U10" si="1">G17*G2</f>
        <v>11665356.119999999</v>
      </c>
      <c r="H10" s="107">
        <f t="shared" si="1"/>
        <v>4676935.45</v>
      </c>
      <c r="I10" s="107">
        <f t="shared" si="1"/>
        <v>4096846.8</v>
      </c>
      <c r="J10" s="107">
        <f t="shared" si="1"/>
        <v>9694938.9600000009</v>
      </c>
      <c r="K10" s="107">
        <f t="shared" si="1"/>
        <v>12643427.83</v>
      </c>
      <c r="L10" s="107">
        <f t="shared" si="1"/>
        <v>8654122</v>
      </c>
      <c r="M10" s="107">
        <f t="shared" si="1"/>
        <v>12638374.32</v>
      </c>
      <c r="N10" s="107">
        <f t="shared" si="1"/>
        <v>14321846.33</v>
      </c>
      <c r="O10" s="107">
        <f t="shared" si="1"/>
        <v>10363260.879999999</v>
      </c>
      <c r="P10" s="107">
        <f t="shared" si="1"/>
        <v>11189058.200000001</v>
      </c>
      <c r="Q10" s="107">
        <f t="shared" si="1"/>
        <v>709109.43</v>
      </c>
      <c r="R10" s="107">
        <f t="shared" si="1"/>
        <v>15244022.6</v>
      </c>
      <c r="S10" s="107">
        <f t="shared" si="1"/>
        <v>13588576</v>
      </c>
      <c r="T10" s="107">
        <f t="shared" si="1"/>
        <v>7886435.9399999995</v>
      </c>
      <c r="U10" s="107">
        <f t="shared" si="1"/>
        <v>7160534.209999999</v>
      </c>
      <c r="V10" s="107">
        <f t="shared" ref="V10:X10" si="2">V17*V2</f>
        <v>4074206.3200000003</v>
      </c>
      <c r="W10" s="107">
        <f t="shared" si="2"/>
        <v>3165622.04</v>
      </c>
      <c r="X10" s="107">
        <f t="shared" si="2"/>
        <v>5083300.3199999994</v>
      </c>
    </row>
    <row r="11" spans="1:24" x14ac:dyDescent="0.25">
      <c r="B11" s="24"/>
      <c r="C11" s="24"/>
      <c r="D11" s="24"/>
      <c r="E11" s="24"/>
      <c r="F11" s="24"/>
      <c r="G11" s="24"/>
      <c r="H11" s="24"/>
      <c r="I11" s="24"/>
      <c r="J11" s="24"/>
      <c r="K11" s="24"/>
      <c r="L11" s="24"/>
      <c r="M11" s="24"/>
      <c r="N11" s="24"/>
      <c r="O11" s="24"/>
      <c r="P11" s="24"/>
    </row>
    <row r="12" spans="1:24" x14ac:dyDescent="0.25">
      <c r="A12" s="34" t="s">
        <v>676</v>
      </c>
      <c r="I12" s="107">
        <f>SUM(G10:I10)</f>
        <v>20439138.370000001</v>
      </c>
      <c r="J12" s="107"/>
      <c r="K12" s="107"/>
      <c r="L12" s="107">
        <f>SUM(J10:L10)</f>
        <v>30992488.789999999</v>
      </c>
      <c r="M12" s="107"/>
      <c r="N12" s="107"/>
      <c r="O12" s="107">
        <f>SUM(M10:O10)</f>
        <v>37323481.530000001</v>
      </c>
      <c r="P12" s="107"/>
      <c r="Q12" s="107"/>
      <c r="R12" s="107">
        <f>SUM(P10:R10)</f>
        <v>27142190.23</v>
      </c>
      <c r="S12" s="107"/>
      <c r="T12" s="107"/>
      <c r="U12" s="107">
        <f>SUM(S10:U10)</f>
        <v>28635546.149999999</v>
      </c>
      <c r="X12" s="107">
        <f>SUM(V10:X10)</f>
        <v>12323128.68</v>
      </c>
    </row>
    <row r="13" spans="1:24" x14ac:dyDescent="0.25">
      <c r="A13" s="34" t="s">
        <v>677</v>
      </c>
      <c r="I13" s="40"/>
      <c r="J13" s="40"/>
      <c r="K13" s="40"/>
      <c r="L13" s="40">
        <f>(L12/I12)-1</f>
        <v>0.51633049441506351</v>
      </c>
      <c r="M13" s="40"/>
      <c r="N13" s="40"/>
      <c r="O13" s="40">
        <f>(O12/L12)-1</f>
        <v>0.20427506751386648</v>
      </c>
      <c r="P13" s="40"/>
      <c r="Q13" s="40"/>
      <c r="R13" s="40">
        <f>(R12/O12)-1</f>
        <v>-0.27278514443558666</v>
      </c>
      <c r="S13" s="40"/>
      <c r="T13" s="40"/>
      <c r="U13" s="40">
        <f>(U12/R12)-1</f>
        <v>5.5019727860775358E-2</v>
      </c>
      <c r="X13" s="40">
        <f>(X12/U12)-1</f>
        <v>-0.56965623720084002</v>
      </c>
    </row>
    <row r="14" spans="1:24" x14ac:dyDescent="0.25">
      <c r="A14" s="34" t="s">
        <v>678</v>
      </c>
      <c r="I14" s="40"/>
      <c r="J14" s="40"/>
      <c r="K14" s="40"/>
      <c r="L14" s="40"/>
      <c r="M14" s="40"/>
      <c r="N14" s="40"/>
      <c r="O14" s="40"/>
      <c r="P14" s="40"/>
      <c r="Q14" s="40"/>
      <c r="R14" s="40"/>
      <c r="S14" s="40"/>
      <c r="T14" s="40"/>
      <c r="U14" s="40">
        <f>(U12/I12)-1</f>
        <v>0.40101532812314922</v>
      </c>
      <c r="X14" s="40">
        <f>(X12/L12)-1</f>
        <v>-0.60238337864701696</v>
      </c>
    </row>
    <row r="16" spans="1:24" x14ac:dyDescent="0.25">
      <c r="A16" s="25" t="s">
        <v>576</v>
      </c>
      <c r="G16" s="25" t="s">
        <v>484</v>
      </c>
      <c r="H16" s="25" t="s">
        <v>485</v>
      </c>
      <c r="I16" s="25" t="s">
        <v>486</v>
      </c>
      <c r="J16" s="25" t="s">
        <v>487</v>
      </c>
      <c r="K16" s="25" t="s">
        <v>488</v>
      </c>
      <c r="L16" s="25" t="s">
        <v>489</v>
      </c>
      <c r="M16" s="25" t="s">
        <v>490</v>
      </c>
      <c r="N16" s="25" t="s">
        <v>491</v>
      </c>
      <c r="O16" s="25" t="s">
        <v>492</v>
      </c>
      <c r="P16" s="25" t="s">
        <v>493</v>
      </c>
      <c r="Q16" s="25" t="s">
        <v>494</v>
      </c>
      <c r="R16" s="25" t="s">
        <v>495</v>
      </c>
      <c r="S16" s="25" t="s">
        <v>496</v>
      </c>
      <c r="T16" s="25" t="s">
        <v>497</v>
      </c>
      <c r="U16" s="25" t="s">
        <v>574</v>
      </c>
      <c r="V16" s="25" t="s">
        <v>731</v>
      </c>
      <c r="W16" s="25" t="s">
        <v>732</v>
      </c>
      <c r="X16" s="25" t="s">
        <v>733</v>
      </c>
    </row>
    <row r="17" spans="1:29" x14ac:dyDescent="0.25">
      <c r="A17" s="24" t="s">
        <v>573</v>
      </c>
      <c r="G17" s="62">
        <f>PTF!B8</f>
        <v>71.64</v>
      </c>
      <c r="H17" s="62">
        <f>PTF!C8</f>
        <v>69.53</v>
      </c>
      <c r="I17" s="62">
        <f>PTF!D8</f>
        <v>59.76</v>
      </c>
      <c r="J17" s="62">
        <f>PTF!E8</f>
        <v>65.540000000000006</v>
      </c>
      <c r="K17" s="62">
        <f>PTF!F8</f>
        <v>64.03</v>
      </c>
      <c r="L17" s="62">
        <f>PTF!G8</f>
        <v>56.95</v>
      </c>
      <c r="M17" s="62">
        <f>PTF!H8</f>
        <v>74.36</v>
      </c>
      <c r="N17" s="62">
        <f>PTF!I8</f>
        <v>72.53</v>
      </c>
      <c r="O17" s="62">
        <f>PTF!J8</f>
        <v>67.13</v>
      </c>
      <c r="P17" s="62">
        <f>PTF!K8</f>
        <v>66.28</v>
      </c>
      <c r="Q17" s="62">
        <f>PTF!L8</f>
        <v>66.790000000000006</v>
      </c>
      <c r="R17" s="62">
        <f>PTF!M8</f>
        <v>70.599999999999994</v>
      </c>
      <c r="S17" s="62">
        <f>PTF!N8</f>
        <v>68</v>
      </c>
      <c r="T17" s="62">
        <f>PTF!O8</f>
        <v>49.19</v>
      </c>
      <c r="U17" s="62">
        <f>PTF!P8</f>
        <v>39.229999999999997</v>
      </c>
      <c r="V17" s="62">
        <f>PTF!Q8</f>
        <v>23.96</v>
      </c>
      <c r="W17" s="62">
        <f>PTF!R8</f>
        <v>17.57</v>
      </c>
      <c r="X17" s="62">
        <f>PTF!S8</f>
        <v>29.08</v>
      </c>
    </row>
    <row r="19" spans="1:29" x14ac:dyDescent="0.25">
      <c r="A19" s="34" t="s">
        <v>681</v>
      </c>
      <c r="B19" s="25" t="s">
        <v>683</v>
      </c>
      <c r="C19" s="25" t="s">
        <v>684</v>
      </c>
      <c r="D19" s="25" t="s">
        <v>685</v>
      </c>
      <c r="E19" s="25" t="s">
        <v>686</v>
      </c>
      <c r="F19" s="25" t="s">
        <v>687</v>
      </c>
      <c r="G19" s="25" t="s">
        <v>484</v>
      </c>
      <c r="H19" s="25" t="s">
        <v>485</v>
      </c>
      <c r="I19" s="25" t="s">
        <v>486</v>
      </c>
      <c r="J19" s="25" t="s">
        <v>487</v>
      </c>
      <c r="K19" s="25" t="s">
        <v>488</v>
      </c>
      <c r="L19" s="25" t="s">
        <v>489</v>
      </c>
      <c r="M19" s="25" t="s">
        <v>490</v>
      </c>
      <c r="N19" s="25" t="s">
        <v>491</v>
      </c>
      <c r="O19" s="25" t="s">
        <v>492</v>
      </c>
      <c r="P19" s="25" t="s">
        <v>493</v>
      </c>
      <c r="Q19" s="25" t="s">
        <v>494</v>
      </c>
      <c r="R19" s="25" t="s">
        <v>495</v>
      </c>
      <c r="S19" s="25" t="s">
        <v>496</v>
      </c>
      <c r="T19" s="25" t="s">
        <v>497</v>
      </c>
      <c r="U19" s="25" t="s">
        <v>574</v>
      </c>
      <c r="V19" s="25" t="s">
        <v>731</v>
      </c>
      <c r="W19" s="25" t="s">
        <v>732</v>
      </c>
      <c r="X19" s="25" t="s">
        <v>733</v>
      </c>
    </row>
    <row r="20" spans="1:29" x14ac:dyDescent="0.25">
      <c r="A20" s="25" t="s">
        <v>112</v>
      </c>
      <c r="G20" s="107">
        <f t="shared" ref="G20" si="3">$G$27*G10</f>
        <v>413886835.13759995</v>
      </c>
      <c r="H20" s="107">
        <f t="shared" ref="H20" si="4">$H$27*H10</f>
        <v>168930908.454</v>
      </c>
      <c r="I20" s="107">
        <f t="shared" ref="I20" si="5">$I$27*I10</f>
        <v>151747205.472</v>
      </c>
      <c r="J20" s="107">
        <f t="shared" ref="J20" si="6">$J$27*J10</f>
        <v>368892427.42800003</v>
      </c>
      <c r="K20" s="107">
        <f t="shared" ref="K20" si="7">$K$27*K10</f>
        <v>489553525.5776</v>
      </c>
      <c r="L20" s="107">
        <f t="shared" ref="L20" si="8">$L$27*L10</f>
        <v>340712783.13999999</v>
      </c>
      <c r="M20" s="107">
        <f t="shared" ref="M20" si="9">$M$27*M10</f>
        <v>507304345.20480001</v>
      </c>
      <c r="N20" s="107">
        <f t="shared" ref="N20" si="10">$N$27*N10</f>
        <v>583615237.94749999</v>
      </c>
      <c r="O20" s="107">
        <f t="shared" ref="O20" si="11">$O$27*O10</f>
        <v>427380878.69119996</v>
      </c>
      <c r="P20" s="107">
        <f t="shared" ref="P20" si="12">$P$27*P10</f>
        <v>467143179.85000002</v>
      </c>
      <c r="Q20" s="107">
        <f t="shared" ref="Q20" si="13">$Q$27*Q10</f>
        <v>29924417.946000002</v>
      </c>
      <c r="R20" s="107">
        <f t="shared" ref="R20" si="14">$R$27*R10</f>
        <v>649547802.98599994</v>
      </c>
      <c r="S20" s="107">
        <f t="shared" ref="S20" si="15">$S$27*S10</f>
        <v>586211168.63999999</v>
      </c>
      <c r="T20" s="107">
        <f t="shared" ref="T20" si="16">$T$27*T10</f>
        <v>343927471.3434</v>
      </c>
      <c r="U20" s="107">
        <f>$U$27*U10</f>
        <v>315779558.66099995</v>
      </c>
      <c r="V20" s="107">
        <f t="shared" ref="V20:X20" si="17">$U$27*V10</f>
        <v>179672498.71200001</v>
      </c>
      <c r="W20" s="107">
        <f t="shared" si="17"/>
        <v>139603931.96400002</v>
      </c>
      <c r="X20" s="107">
        <f t="shared" si="17"/>
        <v>224173544.11199999</v>
      </c>
    </row>
    <row r="21" spans="1:29" x14ac:dyDescent="0.25">
      <c r="A21" s="256"/>
      <c r="B21" s="259"/>
      <c r="C21" s="256"/>
      <c r="D21" s="259"/>
      <c r="E21" s="258"/>
      <c r="F21" s="257"/>
      <c r="G21" s="263"/>
      <c r="H21" s="264"/>
      <c r="I21" s="264"/>
      <c r="J21" s="263"/>
      <c r="K21" s="263"/>
      <c r="L21" s="265"/>
      <c r="M21" s="265"/>
      <c r="N21" s="265"/>
      <c r="O21" s="265"/>
      <c r="P21" s="265"/>
      <c r="Q21" s="265"/>
      <c r="R21" s="265"/>
      <c r="S21" s="265"/>
      <c r="T21" s="265"/>
      <c r="U21" s="266"/>
      <c r="V21" s="268"/>
      <c r="W21" s="269"/>
      <c r="X21" s="269"/>
    </row>
    <row r="22" spans="1:29" x14ac:dyDescent="0.25">
      <c r="A22" s="34" t="s">
        <v>676</v>
      </c>
      <c r="C22" s="260"/>
      <c r="D22" s="261"/>
      <c r="E22" s="261"/>
      <c r="F22" s="261"/>
      <c r="G22" s="262"/>
      <c r="I22" s="107">
        <f>SUM(G20:I20)</f>
        <v>734564949.06359994</v>
      </c>
      <c r="J22" s="107"/>
      <c r="K22" s="107"/>
      <c r="L22" s="107">
        <f>SUM(J20:L20)</f>
        <v>1199158736.1455998</v>
      </c>
      <c r="M22" s="107"/>
      <c r="N22" s="107"/>
      <c r="O22" s="107">
        <f>SUM(M20:O20)</f>
        <v>1518300461.8434999</v>
      </c>
      <c r="P22" s="107"/>
      <c r="Q22" s="107"/>
      <c r="R22" s="267">
        <f>SUM(P20:R20)</f>
        <v>1146615400.7820001</v>
      </c>
      <c r="S22" s="107"/>
      <c r="T22" s="107"/>
      <c r="U22" s="107">
        <f>SUM(S20:U20)</f>
        <v>1245918198.6443999</v>
      </c>
      <c r="X22" s="107">
        <f>SUM(V20:X20)</f>
        <v>543449974.78799999</v>
      </c>
    </row>
    <row r="23" spans="1:29" x14ac:dyDescent="0.25">
      <c r="A23" s="34" t="s">
        <v>677</v>
      </c>
      <c r="L23" s="40">
        <f>(L22/I22)-1</f>
        <v>0.63247475621352378</v>
      </c>
      <c r="M23" s="40"/>
      <c r="N23" s="40"/>
      <c r="O23" s="40">
        <f>(O22/L22)-1</f>
        <v>0.26613801499182865</v>
      </c>
      <c r="P23" s="40"/>
      <c r="Q23" s="40"/>
      <c r="R23" s="40">
        <f>(R22/O22)-1</f>
        <v>-0.24480336428944038</v>
      </c>
      <c r="S23" s="40"/>
      <c r="T23" s="40"/>
      <c r="U23" s="40">
        <f>(U22/R22)-1</f>
        <v>8.6605149202317211E-2</v>
      </c>
      <c r="X23" s="40">
        <f>(X22/U22)-1</f>
        <v>-0.5638156859902268</v>
      </c>
    </row>
    <row r="24" spans="1:29" x14ac:dyDescent="0.25">
      <c r="A24" s="34" t="s">
        <v>678</v>
      </c>
      <c r="L24" s="40"/>
      <c r="M24" s="40"/>
      <c r="N24" s="40"/>
      <c r="O24" s="40"/>
      <c r="P24" s="40"/>
      <c r="Q24" s="40"/>
      <c r="R24" s="40"/>
      <c r="S24" s="40"/>
      <c r="T24" s="40"/>
      <c r="U24" s="40">
        <f>(U22/I22)-1</f>
        <v>0.69613075090590271</v>
      </c>
      <c r="X24" s="40">
        <f>(X22/L22)-1</f>
        <v>-0.54680730881819195</v>
      </c>
    </row>
    <row r="26" spans="1:29" x14ac:dyDescent="0.25">
      <c r="A26" s="25" t="s">
        <v>578</v>
      </c>
      <c r="G26" s="25" t="s">
        <v>484</v>
      </c>
      <c r="H26" s="25" t="s">
        <v>485</v>
      </c>
      <c r="I26" s="25" t="s">
        <v>486</v>
      </c>
      <c r="J26" s="25" t="s">
        <v>487</v>
      </c>
      <c r="K26" s="25" t="s">
        <v>488</v>
      </c>
      <c r="L26" s="25" t="s">
        <v>489</v>
      </c>
      <c r="M26" s="25" t="s">
        <v>490</v>
      </c>
      <c r="N26" s="25" t="s">
        <v>491</v>
      </c>
      <c r="O26" s="25" t="s">
        <v>492</v>
      </c>
      <c r="P26" s="25" t="s">
        <v>493</v>
      </c>
      <c r="Q26" s="25" t="s">
        <v>494</v>
      </c>
      <c r="R26" s="25" t="s">
        <v>495</v>
      </c>
      <c r="S26" s="25" t="s">
        <v>496</v>
      </c>
      <c r="T26" s="25" t="s">
        <v>497</v>
      </c>
      <c r="U26" s="25" t="s">
        <v>574</v>
      </c>
      <c r="V26" s="25" t="s">
        <v>731</v>
      </c>
      <c r="W26" s="25" t="s">
        <v>732</v>
      </c>
      <c r="X26" s="25" t="s">
        <v>733</v>
      </c>
    </row>
    <row r="27" spans="1:29" x14ac:dyDescent="0.25">
      <c r="A27" s="25" t="s">
        <v>576</v>
      </c>
      <c r="G27" s="62" t="str">
        <f>PTF!B5</f>
        <v>35,48</v>
      </c>
      <c r="H27" s="62">
        <f>PTF!C5</f>
        <v>36.119999999999997</v>
      </c>
      <c r="I27" s="62">
        <f>PTF!D5</f>
        <v>37.04</v>
      </c>
      <c r="J27" s="62">
        <f>PTF!E5</f>
        <v>38.049999999999997</v>
      </c>
      <c r="K27" s="62">
        <f>PTF!F5</f>
        <v>38.72</v>
      </c>
      <c r="L27" s="62">
        <f>PTF!G5</f>
        <v>39.369999999999997</v>
      </c>
      <c r="M27" s="62">
        <f>PTF!H5</f>
        <v>40.14</v>
      </c>
      <c r="N27" s="62">
        <f>PTF!I5</f>
        <v>40.75</v>
      </c>
      <c r="O27" s="62">
        <f>PTF!J5</f>
        <v>41.24</v>
      </c>
      <c r="P27" s="62">
        <f>PTF!K5</f>
        <v>41.75</v>
      </c>
      <c r="Q27" s="62">
        <f>PTF!L5</f>
        <v>42.2</v>
      </c>
      <c r="R27" s="62">
        <f>PTF!M5</f>
        <v>42.61</v>
      </c>
      <c r="S27" s="62">
        <f>PTF!N5</f>
        <v>43.14</v>
      </c>
      <c r="T27" s="62">
        <f>PTF!O5</f>
        <v>43.61</v>
      </c>
      <c r="U27" s="62">
        <f>PTF!P5</f>
        <v>44.1</v>
      </c>
      <c r="V27" s="62">
        <f>PTF!Q5</f>
        <v>44.68</v>
      </c>
      <c r="W27" s="62">
        <f>PTF!R5</f>
        <v>45.36</v>
      </c>
      <c r="X27" s="62">
        <f>PTF!S5</f>
        <v>46.17</v>
      </c>
    </row>
    <row r="31" spans="1:29" x14ac:dyDescent="0.25">
      <c r="A31" s="92" t="s">
        <v>44</v>
      </c>
      <c r="K31" s="25" t="s">
        <v>714</v>
      </c>
      <c r="L31" s="25" t="s">
        <v>484</v>
      </c>
      <c r="M31" s="25" t="s">
        <v>485</v>
      </c>
      <c r="N31" s="25" t="s">
        <v>486</v>
      </c>
      <c r="O31" s="25" t="s">
        <v>487</v>
      </c>
      <c r="P31" s="25" t="s">
        <v>488</v>
      </c>
      <c r="Q31" s="25" t="s">
        <v>489</v>
      </c>
      <c r="R31" s="25" t="s">
        <v>490</v>
      </c>
      <c r="S31" s="25" t="s">
        <v>491</v>
      </c>
      <c r="T31" s="25" t="s">
        <v>492</v>
      </c>
      <c r="U31" s="25" t="s">
        <v>493</v>
      </c>
      <c r="V31" s="25" t="s">
        <v>494</v>
      </c>
      <c r="W31" s="25" t="s">
        <v>495</v>
      </c>
      <c r="X31" s="25" t="s">
        <v>496</v>
      </c>
      <c r="Y31" s="25" t="s">
        <v>497</v>
      </c>
      <c r="Z31" s="25" t="s">
        <v>574</v>
      </c>
      <c r="AA31" s="25" t="s">
        <v>731</v>
      </c>
      <c r="AB31" s="25" t="s">
        <v>732</v>
      </c>
      <c r="AC31" s="25" t="s">
        <v>733</v>
      </c>
    </row>
    <row r="32" spans="1:29" x14ac:dyDescent="0.25">
      <c r="A32" s="25" t="s">
        <v>113</v>
      </c>
      <c r="K32" s="25" t="s">
        <v>764</v>
      </c>
      <c r="L32" s="25">
        <f>G2</f>
        <v>162833</v>
      </c>
      <c r="M32" s="25">
        <f t="shared" ref="M32:AC32" si="18">H2</f>
        <v>67265</v>
      </c>
      <c r="N32" s="25">
        <f t="shared" si="18"/>
        <v>68555</v>
      </c>
      <c r="O32" s="25">
        <f t="shared" si="18"/>
        <v>147924</v>
      </c>
      <c r="P32" s="25">
        <f t="shared" si="18"/>
        <v>197461</v>
      </c>
      <c r="Q32" s="25">
        <f t="shared" si="18"/>
        <v>151960</v>
      </c>
      <c r="R32" s="25">
        <f t="shared" si="18"/>
        <v>169962</v>
      </c>
      <c r="S32" s="25">
        <f t="shared" si="18"/>
        <v>197461</v>
      </c>
      <c r="T32" s="25">
        <f t="shared" si="18"/>
        <v>154376</v>
      </c>
      <c r="U32" s="25">
        <f t="shared" si="18"/>
        <v>168815</v>
      </c>
      <c r="V32" s="25">
        <f t="shared" si="18"/>
        <v>10617</v>
      </c>
      <c r="W32" s="25">
        <f t="shared" si="18"/>
        <v>215921</v>
      </c>
      <c r="X32" s="25">
        <f t="shared" si="18"/>
        <v>199832</v>
      </c>
      <c r="Y32" s="25">
        <f t="shared" si="18"/>
        <v>160326</v>
      </c>
      <c r="Z32" s="25">
        <f t="shared" si="18"/>
        <v>182527</v>
      </c>
      <c r="AA32" s="25">
        <f t="shared" si="18"/>
        <v>170042</v>
      </c>
      <c r="AB32" s="25">
        <f t="shared" si="18"/>
        <v>180172</v>
      </c>
      <c r="AC32" s="25">
        <f t="shared" si="18"/>
        <v>174804</v>
      </c>
    </row>
    <row r="33" spans="11:29" x14ac:dyDescent="0.25">
      <c r="K33" s="25" t="s">
        <v>522</v>
      </c>
      <c r="L33" s="25">
        <f>L32</f>
        <v>162833</v>
      </c>
      <c r="M33" s="25">
        <f t="shared" ref="M33:AC33" si="19">M32</f>
        <v>67265</v>
      </c>
      <c r="N33" s="25">
        <f t="shared" si="19"/>
        <v>68555</v>
      </c>
      <c r="O33" s="25">
        <f t="shared" si="19"/>
        <v>147924</v>
      </c>
      <c r="P33" s="25">
        <f t="shared" si="19"/>
        <v>197461</v>
      </c>
      <c r="Q33" s="25">
        <f t="shared" si="19"/>
        <v>151960</v>
      </c>
      <c r="R33" s="25">
        <f t="shared" si="19"/>
        <v>169962</v>
      </c>
      <c r="S33" s="25">
        <f t="shared" si="19"/>
        <v>197461</v>
      </c>
      <c r="T33" s="25">
        <f t="shared" si="19"/>
        <v>154376</v>
      </c>
      <c r="U33" s="25">
        <f t="shared" si="19"/>
        <v>168815</v>
      </c>
      <c r="V33" s="25">
        <f t="shared" si="19"/>
        <v>10617</v>
      </c>
      <c r="W33" s="25">
        <f t="shared" si="19"/>
        <v>215921</v>
      </c>
      <c r="X33" s="25">
        <f t="shared" si="19"/>
        <v>199832</v>
      </c>
      <c r="Y33" s="25">
        <f t="shared" si="19"/>
        <v>160326</v>
      </c>
      <c r="Z33" s="25">
        <f t="shared" si="19"/>
        <v>182527</v>
      </c>
      <c r="AA33" s="25">
        <f t="shared" si="19"/>
        <v>170042</v>
      </c>
      <c r="AB33" s="25">
        <f t="shared" si="19"/>
        <v>180172</v>
      </c>
      <c r="AC33" s="25">
        <f t="shared" si="19"/>
        <v>174804</v>
      </c>
    </row>
    <row r="35" spans="11:29" x14ac:dyDescent="0.25">
      <c r="K35" s="25" t="s">
        <v>765</v>
      </c>
      <c r="L35" s="25" t="s">
        <v>756</v>
      </c>
      <c r="M35" s="25" t="s">
        <v>757</v>
      </c>
      <c r="N35" s="25" t="s">
        <v>758</v>
      </c>
      <c r="O35" s="25" t="s">
        <v>759</v>
      </c>
      <c r="P35" s="25" t="s">
        <v>760</v>
      </c>
      <c r="Q35" s="25" t="s">
        <v>761</v>
      </c>
    </row>
    <row r="36" spans="11:29" x14ac:dyDescent="0.25">
      <c r="K36" s="25" t="s">
        <v>764</v>
      </c>
      <c r="L36" s="25">
        <f>SUM(L32:N32)</f>
        <v>298653</v>
      </c>
      <c r="M36" s="25">
        <f>SUM(O32:Q32)</f>
        <v>497345</v>
      </c>
      <c r="N36" s="25">
        <f>SUM(R32:T32)</f>
        <v>521799</v>
      </c>
      <c r="O36" s="25">
        <f>SUM(U32:W32)</f>
        <v>395353</v>
      </c>
      <c r="P36" s="25">
        <f>SUM(X32:Z32)</f>
        <v>542685</v>
      </c>
      <c r="Q36" s="25">
        <f>SUM(AA32:AC32)</f>
        <v>525018</v>
      </c>
    </row>
    <row r="37" spans="11:29" x14ac:dyDescent="0.25">
      <c r="K37" s="25" t="s">
        <v>522</v>
      </c>
      <c r="L37" s="25">
        <f>L36</f>
        <v>298653</v>
      </c>
      <c r="M37" s="25">
        <f t="shared" ref="M37:Q37" si="20">M36</f>
        <v>497345</v>
      </c>
      <c r="N37" s="25">
        <f t="shared" si="20"/>
        <v>521799</v>
      </c>
      <c r="O37" s="25">
        <f t="shared" si="20"/>
        <v>395353</v>
      </c>
      <c r="P37" s="25">
        <f t="shared" si="20"/>
        <v>542685</v>
      </c>
      <c r="Q37" s="25">
        <f t="shared" si="20"/>
        <v>525018</v>
      </c>
    </row>
  </sheetData>
  <phoneticPr fontId="48" type="noConversion"/>
  <conditionalFormatting sqref="I13:U14">
    <cfRule type="colorScale" priority="8">
      <colorScale>
        <cfvo type="min"/>
        <cfvo type="percentile" val="50"/>
        <cfvo type="max"/>
        <color rgb="FFF8696B"/>
        <color rgb="FFFFEB84"/>
        <color rgb="FF63BE7B"/>
      </colorScale>
    </cfRule>
  </conditionalFormatting>
  <conditionalFormatting sqref="L23:U24">
    <cfRule type="colorScale" priority="7">
      <colorScale>
        <cfvo type="min"/>
        <cfvo type="percentile" val="50"/>
        <cfvo type="max"/>
        <color rgb="FFF8696B"/>
        <color rgb="FFFFEB84"/>
        <color rgb="FF63BE7B"/>
      </colorScale>
    </cfRule>
  </conditionalFormatting>
  <conditionalFormatting sqref="L13:X14">
    <cfRule type="colorScale" priority="1">
      <colorScale>
        <cfvo type="min"/>
        <cfvo type="percentile" val="50"/>
        <cfvo type="max"/>
        <color rgb="FFF8696B"/>
        <color rgb="FFFFEB84"/>
        <color rgb="FF63BE7B"/>
      </colorScale>
    </cfRule>
  </conditionalFormatting>
  <conditionalFormatting sqref="L23:X24">
    <cfRule type="colorScale" priority="4">
      <colorScale>
        <cfvo type="min"/>
        <cfvo type="percentile" val="50"/>
        <cfvo type="max"/>
        <color rgb="FFF8696B"/>
        <color rgb="FFFFEB84"/>
        <color rgb="FF63BE7B"/>
      </colorScale>
    </cfRule>
  </conditionalFormatting>
  <conditionalFormatting sqref="S6:X7">
    <cfRule type="colorScale" priority="9">
      <colorScale>
        <cfvo type="min"/>
        <cfvo type="percentile" val="50"/>
        <cfvo type="max"/>
        <color rgb="FFF8696B"/>
        <color rgb="FFFFEB84"/>
        <color rgb="FF63BE7B"/>
      </colorScale>
    </cfRule>
  </conditionalFormatting>
  <conditionalFormatting sqref="X13">
    <cfRule type="colorScale" priority="3">
      <colorScale>
        <cfvo type="min"/>
        <cfvo type="percentile" val="50"/>
        <cfvo type="max"/>
        <color rgb="FFF8696B"/>
        <color rgb="FFFFEB84"/>
        <color rgb="FF63BE7B"/>
      </colorScale>
    </cfRule>
  </conditionalFormatting>
  <conditionalFormatting sqref="X14">
    <cfRule type="colorScale" priority="2">
      <colorScale>
        <cfvo type="min"/>
        <cfvo type="percentile" val="50"/>
        <cfvo type="max"/>
        <color rgb="FFF8696B"/>
        <color rgb="FFFFEB84"/>
        <color rgb="FF63BE7B"/>
      </colorScale>
    </cfRule>
  </conditionalFormatting>
  <conditionalFormatting sqref="X23">
    <cfRule type="colorScale" priority="6">
      <colorScale>
        <cfvo type="min"/>
        <cfvo type="percentile" val="50"/>
        <cfvo type="max"/>
        <color rgb="FFF8696B"/>
        <color rgb="FFFFEB84"/>
        <color rgb="FF63BE7B"/>
      </colorScale>
    </cfRule>
  </conditionalFormatting>
  <conditionalFormatting sqref="X24">
    <cfRule type="colorScale" priority="5">
      <colorScale>
        <cfvo type="min"/>
        <cfvo type="percentile" val="50"/>
        <cfvo type="max"/>
        <color rgb="FFF8696B"/>
        <color rgb="FFFFEB84"/>
        <color rgb="FF63BE7B"/>
      </colorScale>
    </cfRule>
  </conditionalFormatting>
  <pageMargins left="0.7" right="0.7" top="0.75" bottom="0.75" header="0.3" footer="0.3"/>
  <legacyDrawing r:id="rId1"/>
  <tableParts count="3">
    <tablePart r:id="rId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6DC70-97DD-446B-BB46-66CED345F886}">
  <dimension ref="A1:Y39"/>
  <sheetViews>
    <sheetView tabSelected="1" zoomScaleNormal="100" workbookViewId="0"/>
  </sheetViews>
  <sheetFormatPr defaultColWidth="9.140625" defaultRowHeight="15" x14ac:dyDescent="0.25"/>
  <cols>
    <col min="1" max="1" width="44.140625" style="25" customWidth="1"/>
    <col min="2" max="2" width="11.5703125" style="25" customWidth="1"/>
    <col min="3" max="3" width="22.42578125" style="25" customWidth="1"/>
    <col min="4" max="4" width="9.140625" style="25" customWidth="1"/>
    <col min="5" max="5" width="11.7109375" style="25" customWidth="1"/>
    <col min="6" max="6" width="15.7109375" style="25" customWidth="1"/>
    <col min="7" max="8" width="15.28515625" style="25" bestFit="1" customWidth="1"/>
    <col min="9" max="9" width="17.5703125" style="25" bestFit="1" customWidth="1"/>
    <col min="10" max="11" width="15.28515625" style="25" bestFit="1" customWidth="1"/>
    <col min="12" max="12" width="18.140625" style="25" bestFit="1" customWidth="1"/>
    <col min="13" max="14" width="15.28515625" style="25" bestFit="1" customWidth="1"/>
    <col min="15" max="15" width="18.140625" style="25" customWidth="1"/>
    <col min="16" max="17" width="15.28515625" style="25" bestFit="1" customWidth="1"/>
    <col min="18" max="18" width="18.140625" style="25" bestFit="1" customWidth="1"/>
    <col min="19" max="20" width="15.28515625" style="25" bestFit="1" customWidth="1"/>
    <col min="21" max="21" width="16.42578125" style="25" bestFit="1" customWidth="1"/>
    <col min="22" max="23" width="15.28515625" style="25" bestFit="1" customWidth="1"/>
    <col min="24" max="24" width="16.42578125" style="25" bestFit="1" customWidth="1"/>
    <col min="25" max="16384" width="9.140625" style="25"/>
  </cols>
  <sheetData>
    <row r="1" spans="1:24" x14ac:dyDescent="0.25">
      <c r="A1" s="25" t="s">
        <v>35</v>
      </c>
      <c r="B1" s="25" t="s">
        <v>111</v>
      </c>
      <c r="C1" s="25" t="s">
        <v>338</v>
      </c>
      <c r="D1" s="25" t="s">
        <v>454</v>
      </c>
      <c r="E1" s="25" t="s">
        <v>551</v>
      </c>
      <c r="F1" s="25" t="s">
        <v>569</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25" t="s">
        <v>114</v>
      </c>
      <c r="B2" s="25">
        <v>314.68</v>
      </c>
      <c r="C2" s="25" t="s">
        <v>432</v>
      </c>
      <c r="D2" s="25">
        <v>688</v>
      </c>
      <c r="E2" s="25">
        <v>75</v>
      </c>
      <c r="F2" s="25">
        <v>2029</v>
      </c>
      <c r="G2" s="25">
        <v>183193</v>
      </c>
      <c r="H2" s="25">
        <v>143519</v>
      </c>
      <c r="I2" s="25">
        <v>141519</v>
      </c>
      <c r="J2" s="25">
        <v>109988</v>
      </c>
      <c r="K2" s="25">
        <v>193369</v>
      </c>
      <c r="L2" s="25">
        <v>151062</v>
      </c>
      <c r="M2" s="25">
        <v>188065</v>
      </c>
      <c r="N2" s="25">
        <v>210270</v>
      </c>
      <c r="O2" s="25">
        <v>182893</v>
      </c>
      <c r="P2" s="25">
        <v>173700</v>
      </c>
      <c r="Q2" s="25">
        <v>173792</v>
      </c>
      <c r="R2" s="25">
        <v>182006</v>
      </c>
      <c r="S2" s="25">
        <v>107354</v>
      </c>
      <c r="T2" s="25">
        <v>142725</v>
      </c>
      <c r="U2" s="25">
        <v>110529</v>
      </c>
      <c r="V2" s="25">
        <v>148718</v>
      </c>
      <c r="W2" s="25">
        <v>126986</v>
      </c>
      <c r="X2" s="25">
        <v>98097</v>
      </c>
    </row>
    <row r="3" spans="1:24" x14ac:dyDescent="0.25">
      <c r="A3" s="25" t="s">
        <v>37</v>
      </c>
      <c r="B3" s="25">
        <f>SUM(B2)</f>
        <v>314.68</v>
      </c>
      <c r="G3" s="25">
        <v>183193</v>
      </c>
      <c r="H3" s="25">
        <v>143519</v>
      </c>
      <c r="I3" s="25">
        <v>141519</v>
      </c>
      <c r="J3" s="25">
        <v>109988</v>
      </c>
      <c r="K3" s="25">
        <v>193369</v>
      </c>
      <c r="L3" s="25">
        <v>151062</v>
      </c>
      <c r="M3" s="25">
        <v>188065</v>
      </c>
      <c r="N3" s="25">
        <v>210270</v>
      </c>
      <c r="O3" s="25">
        <v>182893</v>
      </c>
      <c r="P3" s="25">
        <v>173700</v>
      </c>
      <c r="Q3" s="25">
        <v>173792</v>
      </c>
      <c r="R3" s="25">
        <v>182006</v>
      </c>
      <c r="S3" s="25">
        <v>107354</v>
      </c>
      <c r="T3" s="25">
        <v>142725</v>
      </c>
      <c r="U3" s="25">
        <v>110529</v>
      </c>
      <c r="V3" s="25">
        <v>148718</v>
      </c>
      <c r="W3" s="25">
        <v>126986</v>
      </c>
      <c r="X3" s="25">
        <v>98097</v>
      </c>
    </row>
    <row r="6" spans="1:24" x14ac:dyDescent="0.25">
      <c r="A6" s="25" t="s">
        <v>548</v>
      </c>
      <c r="S6" s="40">
        <f>(S2/G2)-1</f>
        <v>-0.41398415878335959</v>
      </c>
      <c r="T6" s="40">
        <f>(T2/H2)-1</f>
        <v>-5.5323685365700204E-3</v>
      </c>
      <c r="U6" s="40">
        <f>(U2/I2)-1</f>
        <v>-0.21898119687109152</v>
      </c>
      <c r="V6" s="40">
        <f t="shared" ref="V6:X6" si="0">(V2/J2)-1</f>
        <v>0.35212932319889445</v>
      </c>
      <c r="W6" s="40">
        <f t="shared" si="0"/>
        <v>-0.34329701244770361</v>
      </c>
      <c r="X6" s="40">
        <f t="shared" si="0"/>
        <v>-0.35061762719942802</v>
      </c>
    </row>
    <row r="7" spans="1:24" x14ac:dyDescent="0.25">
      <c r="A7" s="25" t="s">
        <v>537</v>
      </c>
      <c r="S7" s="40"/>
      <c r="T7" s="40">
        <f>(SUM(S3:T3)/SUM(G3:H3))-1</f>
        <v>-0.23455826538357938</v>
      </c>
      <c r="U7" s="40">
        <f>(SUM(S3:U3)/SUM(G3:I3))-1</f>
        <v>-0.22985022350079343</v>
      </c>
      <c r="V7" s="40">
        <f>(SUM(S3:V3)/SUM(G3:J3))-1</f>
        <v>-0.11914689762875308</v>
      </c>
      <c r="W7" s="40">
        <f>(SUM(S3:W3)/SUM(G3:K3))-1</f>
        <v>-0.17532154465854832</v>
      </c>
      <c r="X7" s="40">
        <f>(SUM(S3:X3)/SUM(G3:L3))-1</f>
        <v>-0.20402211022597949</v>
      </c>
    </row>
    <row r="9" spans="1:24" x14ac:dyDescent="0.25">
      <c r="A9" s="34" t="s">
        <v>667</v>
      </c>
      <c r="B9" s="25" t="s">
        <v>683</v>
      </c>
      <c r="C9" s="25" t="s">
        <v>684</v>
      </c>
      <c r="D9" s="25" t="s">
        <v>685</v>
      </c>
      <c r="E9" s="25" t="s">
        <v>686</v>
      </c>
      <c r="F9" s="25" t="s">
        <v>687</v>
      </c>
      <c r="G9" s="25" t="s">
        <v>484</v>
      </c>
      <c r="H9" s="25" t="s">
        <v>485</v>
      </c>
      <c r="I9" s="25" t="s">
        <v>486</v>
      </c>
      <c r="J9" s="25" t="s">
        <v>487</v>
      </c>
      <c r="K9" s="25" t="s">
        <v>488</v>
      </c>
      <c r="L9" s="25" t="s">
        <v>489</v>
      </c>
      <c r="M9" s="25" t="s">
        <v>490</v>
      </c>
      <c r="N9" s="25" t="s">
        <v>491</v>
      </c>
      <c r="O9" s="25" t="s">
        <v>492</v>
      </c>
      <c r="P9" s="25" t="s">
        <v>493</v>
      </c>
      <c r="Q9" s="25" t="s">
        <v>494</v>
      </c>
      <c r="R9" s="25" t="s">
        <v>495</v>
      </c>
      <c r="S9" s="25" t="s">
        <v>496</v>
      </c>
      <c r="T9" s="25" t="s">
        <v>497</v>
      </c>
      <c r="U9" s="25" t="s">
        <v>574</v>
      </c>
      <c r="V9" s="25" t="s">
        <v>731</v>
      </c>
      <c r="W9" s="25" t="s">
        <v>732</v>
      </c>
      <c r="X9" s="25" t="s">
        <v>733</v>
      </c>
    </row>
    <row r="10" spans="1:24" x14ac:dyDescent="0.25">
      <c r="A10" s="25" t="s">
        <v>114</v>
      </c>
      <c r="G10" s="107">
        <f>$E$2*G2</f>
        <v>13739475</v>
      </c>
      <c r="H10" s="107">
        <f t="shared" ref="H10:X10" si="1">$E$2*H2</f>
        <v>10763925</v>
      </c>
      <c r="I10" s="107">
        <f t="shared" si="1"/>
        <v>10613925</v>
      </c>
      <c r="J10" s="107">
        <f t="shared" si="1"/>
        <v>8249100</v>
      </c>
      <c r="K10" s="107">
        <f t="shared" si="1"/>
        <v>14502675</v>
      </c>
      <c r="L10" s="107">
        <f t="shared" si="1"/>
        <v>11329650</v>
      </c>
      <c r="M10" s="107">
        <f t="shared" si="1"/>
        <v>14104875</v>
      </c>
      <c r="N10" s="107">
        <f t="shared" si="1"/>
        <v>15770250</v>
      </c>
      <c r="O10" s="107">
        <f t="shared" si="1"/>
        <v>13716975</v>
      </c>
      <c r="P10" s="107">
        <f t="shared" si="1"/>
        <v>13027500</v>
      </c>
      <c r="Q10" s="107">
        <f t="shared" si="1"/>
        <v>13034400</v>
      </c>
      <c r="R10" s="107">
        <f t="shared" si="1"/>
        <v>13650450</v>
      </c>
      <c r="S10" s="107">
        <f t="shared" si="1"/>
        <v>8051550</v>
      </c>
      <c r="T10" s="107">
        <f t="shared" si="1"/>
        <v>10704375</v>
      </c>
      <c r="U10" s="107">
        <f t="shared" si="1"/>
        <v>8289675</v>
      </c>
      <c r="V10" s="107">
        <f t="shared" si="1"/>
        <v>11153850</v>
      </c>
      <c r="W10" s="107">
        <f t="shared" si="1"/>
        <v>9523950</v>
      </c>
      <c r="X10" s="107">
        <f t="shared" si="1"/>
        <v>7357275</v>
      </c>
    </row>
    <row r="11" spans="1:24" x14ac:dyDescent="0.25">
      <c r="B11" s="24"/>
      <c r="C11" s="24"/>
      <c r="D11" s="24"/>
      <c r="E11" s="24"/>
      <c r="F11" s="24"/>
      <c r="G11" s="107"/>
      <c r="H11" s="107"/>
      <c r="I11" s="107"/>
      <c r="J11" s="107"/>
      <c r="K11" s="107"/>
      <c r="L11" s="107"/>
      <c r="M11" s="107"/>
      <c r="N11" s="107"/>
      <c r="O11" s="107"/>
      <c r="P11" s="107"/>
      <c r="Q11" s="107"/>
      <c r="R11" s="107"/>
      <c r="S11" s="107"/>
      <c r="T11" s="107"/>
      <c r="U11" s="107"/>
    </row>
    <row r="12" spans="1:24" x14ac:dyDescent="0.25">
      <c r="A12" s="34" t="s">
        <v>676</v>
      </c>
      <c r="G12" s="107"/>
      <c r="H12" s="107"/>
      <c r="I12" s="107">
        <f>SUM(G10:I10)</f>
        <v>35117325</v>
      </c>
      <c r="J12" s="107"/>
      <c r="K12" s="107"/>
      <c r="L12" s="107">
        <f>SUM(J10:L10)</f>
        <v>34081425</v>
      </c>
      <c r="M12" s="107"/>
      <c r="N12" s="107"/>
      <c r="O12" s="107">
        <f>SUM(M10:O10)</f>
        <v>43592100</v>
      </c>
      <c r="P12" s="107"/>
      <c r="Q12" s="107"/>
      <c r="R12" s="107">
        <f>SUM(P10:R10)</f>
        <v>39712350</v>
      </c>
      <c r="S12" s="107"/>
      <c r="T12" s="107"/>
      <c r="U12" s="107">
        <f>SUM(S10:U10)</f>
        <v>27045600</v>
      </c>
      <c r="X12" s="107">
        <f>SUM(V10:X10)</f>
        <v>28035075</v>
      </c>
    </row>
    <row r="13" spans="1:24" x14ac:dyDescent="0.25">
      <c r="A13" s="34" t="s">
        <v>677</v>
      </c>
      <c r="I13" s="40"/>
      <c r="J13" s="40"/>
      <c r="K13" s="40"/>
      <c r="L13" s="40">
        <f>(L12/I12)-1</f>
        <v>-2.949826047399684E-2</v>
      </c>
      <c r="M13" s="40"/>
      <c r="N13" s="40"/>
      <c r="O13" s="40">
        <f>(O12/L12)-1</f>
        <v>0.27905743377807712</v>
      </c>
      <c r="P13" s="40"/>
      <c r="Q13" s="40"/>
      <c r="R13" s="40">
        <f>(R12/O12)-1</f>
        <v>-8.9001218110621005E-2</v>
      </c>
      <c r="S13" s="40"/>
      <c r="T13" s="40"/>
      <c r="U13" s="40">
        <f>(U12/R12)-1</f>
        <v>-0.31896248899901414</v>
      </c>
      <c r="X13" s="40">
        <f>(X12/U12)-1</f>
        <v>3.6585433490105679E-2</v>
      </c>
    </row>
    <row r="14" spans="1:24" x14ac:dyDescent="0.25">
      <c r="A14" s="34" t="s">
        <v>678</v>
      </c>
      <c r="I14" s="40"/>
      <c r="J14" s="40"/>
      <c r="K14" s="40"/>
      <c r="L14" s="40"/>
      <c r="M14" s="40"/>
      <c r="N14" s="40"/>
      <c r="O14" s="40"/>
      <c r="P14" s="40"/>
      <c r="Q14" s="40"/>
      <c r="R14" s="40"/>
      <c r="S14" s="40"/>
      <c r="T14" s="40"/>
      <c r="U14" s="40">
        <f>(U12/I12)-1</f>
        <v>-0.22985022350079343</v>
      </c>
      <c r="X14" s="40">
        <f>(X12/L12)-1</f>
        <v>-0.17740895517132871</v>
      </c>
    </row>
    <row r="17" spans="1:25" x14ac:dyDescent="0.25">
      <c r="A17" s="25" t="s">
        <v>576</v>
      </c>
      <c r="G17" s="25" t="s">
        <v>484</v>
      </c>
      <c r="H17" s="25" t="s">
        <v>485</v>
      </c>
      <c r="I17" s="25" t="s">
        <v>486</v>
      </c>
      <c r="J17" s="25" t="s">
        <v>487</v>
      </c>
      <c r="K17" s="25" t="s">
        <v>488</v>
      </c>
      <c r="L17" s="25" t="s">
        <v>489</v>
      </c>
      <c r="M17" s="25" t="s">
        <v>490</v>
      </c>
      <c r="N17" s="25" t="s">
        <v>491</v>
      </c>
      <c r="O17" s="25" t="s">
        <v>492</v>
      </c>
      <c r="P17" s="25" t="s">
        <v>493</v>
      </c>
      <c r="Q17" s="25" t="s">
        <v>494</v>
      </c>
      <c r="R17" s="25" t="s">
        <v>495</v>
      </c>
      <c r="S17" s="25" t="s">
        <v>496</v>
      </c>
      <c r="T17" s="25" t="s">
        <v>497</v>
      </c>
      <c r="U17" s="25" t="s">
        <v>574</v>
      </c>
      <c r="V17" s="25" t="s">
        <v>731</v>
      </c>
      <c r="W17" s="25" t="s">
        <v>732</v>
      </c>
      <c r="X17" s="25" t="s">
        <v>733</v>
      </c>
    </row>
    <row r="18" spans="1:25" x14ac:dyDescent="0.25">
      <c r="A18" s="24" t="s">
        <v>573</v>
      </c>
      <c r="G18" s="62">
        <f>PTF!B8</f>
        <v>71.64</v>
      </c>
      <c r="H18" s="62">
        <f>PTF!C8</f>
        <v>69.53</v>
      </c>
      <c r="I18" s="62">
        <f>PTF!D8</f>
        <v>59.76</v>
      </c>
      <c r="J18" s="62">
        <f>PTF!E8</f>
        <v>65.540000000000006</v>
      </c>
      <c r="K18" s="62">
        <f>PTF!F8</f>
        <v>64.03</v>
      </c>
      <c r="L18" s="62">
        <f>PTF!G8</f>
        <v>56.95</v>
      </c>
      <c r="M18" s="62">
        <f>PTF!H8</f>
        <v>74.36</v>
      </c>
      <c r="N18" s="62">
        <f>PTF!I8</f>
        <v>72.53</v>
      </c>
      <c r="O18" s="62">
        <f>PTF!J8</f>
        <v>67.13</v>
      </c>
      <c r="P18" s="62">
        <f>PTF!K8</f>
        <v>66.28</v>
      </c>
      <c r="Q18" s="62">
        <f>PTF!L8</f>
        <v>66.790000000000006</v>
      </c>
      <c r="R18" s="62">
        <f>PTF!M8</f>
        <v>70.599999999999994</v>
      </c>
      <c r="S18" s="62">
        <f>PTF!N8</f>
        <v>68</v>
      </c>
      <c r="T18" s="62">
        <f>PTF!O8</f>
        <v>49.19</v>
      </c>
      <c r="U18" s="62">
        <f>PTF!P8</f>
        <v>39.229999999999997</v>
      </c>
      <c r="V18" s="62">
        <f>PTF!Q8</f>
        <v>23.96</v>
      </c>
      <c r="W18" s="62">
        <f>PTF!R8</f>
        <v>17.57</v>
      </c>
      <c r="X18" s="62">
        <f>PTF!S8</f>
        <v>29.08</v>
      </c>
    </row>
    <row r="20" spans="1:25" x14ac:dyDescent="0.25">
      <c r="A20" s="34" t="s">
        <v>681</v>
      </c>
      <c r="B20" s="25" t="s">
        <v>683</v>
      </c>
      <c r="C20" s="25" t="s">
        <v>684</v>
      </c>
      <c r="D20" s="25" t="s">
        <v>685</v>
      </c>
      <c r="E20" s="25" t="s">
        <v>686</v>
      </c>
      <c r="F20" s="25" t="s">
        <v>687</v>
      </c>
      <c r="G20" s="25" t="s">
        <v>484</v>
      </c>
      <c r="H20" s="25" t="s">
        <v>485</v>
      </c>
      <c r="I20" s="25" t="s">
        <v>486</v>
      </c>
      <c r="J20" s="25" t="s">
        <v>487</v>
      </c>
      <c r="K20" s="25" t="s">
        <v>488</v>
      </c>
      <c r="L20" s="25" t="s">
        <v>489</v>
      </c>
      <c r="M20" s="25" t="s">
        <v>490</v>
      </c>
      <c r="N20" s="25" t="s">
        <v>491</v>
      </c>
      <c r="O20" s="25" t="s">
        <v>492</v>
      </c>
      <c r="P20" s="25" t="s">
        <v>493</v>
      </c>
      <c r="Q20" s="25" t="s">
        <v>494</v>
      </c>
      <c r="R20" s="25" t="s">
        <v>495</v>
      </c>
      <c r="S20" s="25" t="s">
        <v>496</v>
      </c>
      <c r="T20" s="25" t="s">
        <v>497</v>
      </c>
      <c r="U20" s="25" t="s">
        <v>574</v>
      </c>
      <c r="V20" s="25" t="s">
        <v>731</v>
      </c>
      <c r="W20" s="25" t="s">
        <v>732</v>
      </c>
      <c r="X20" s="25" t="s">
        <v>733</v>
      </c>
    </row>
    <row r="21" spans="1:25" x14ac:dyDescent="0.25">
      <c r="A21" s="25" t="s">
        <v>114</v>
      </c>
      <c r="G21" s="107">
        <f>G28*G10</f>
        <v>487476572.99999994</v>
      </c>
      <c r="H21" s="107">
        <f t="shared" ref="H21:X21" si="2">H28*H10</f>
        <v>388792971</v>
      </c>
      <c r="I21" s="107">
        <f t="shared" si="2"/>
        <v>393139782</v>
      </c>
      <c r="J21" s="107">
        <f t="shared" si="2"/>
        <v>313878255</v>
      </c>
      <c r="K21" s="107">
        <f t="shared" si="2"/>
        <v>561543576</v>
      </c>
      <c r="L21" s="107">
        <f t="shared" si="2"/>
        <v>446048320.5</v>
      </c>
      <c r="M21" s="107">
        <f t="shared" si="2"/>
        <v>566169682.5</v>
      </c>
      <c r="N21" s="107">
        <f t="shared" si="2"/>
        <v>642637687.5</v>
      </c>
      <c r="O21" s="107">
        <f t="shared" si="2"/>
        <v>565688049</v>
      </c>
      <c r="P21" s="107">
        <f t="shared" si="2"/>
        <v>543898125</v>
      </c>
      <c r="Q21" s="107">
        <f t="shared" si="2"/>
        <v>550051680</v>
      </c>
      <c r="R21" s="107">
        <f t="shared" si="2"/>
        <v>581645674.5</v>
      </c>
      <c r="S21" s="107">
        <f t="shared" si="2"/>
        <v>347343867</v>
      </c>
      <c r="T21" s="107">
        <f t="shared" si="2"/>
        <v>466817793.75</v>
      </c>
      <c r="U21" s="107">
        <f t="shared" si="2"/>
        <v>365574667.5</v>
      </c>
      <c r="V21" s="107">
        <f t="shared" si="2"/>
        <v>498354018</v>
      </c>
      <c r="W21" s="107">
        <f t="shared" si="2"/>
        <v>432006372</v>
      </c>
      <c r="X21" s="107">
        <f t="shared" si="2"/>
        <v>339685386.75</v>
      </c>
    </row>
    <row r="22" spans="1:25" x14ac:dyDescent="0.25">
      <c r="G22" s="107"/>
      <c r="H22" s="107"/>
      <c r="I22" s="107"/>
      <c r="J22" s="107"/>
      <c r="K22" s="107"/>
      <c r="L22" s="107"/>
      <c r="M22" s="107"/>
      <c r="N22" s="107"/>
      <c r="O22" s="107"/>
      <c r="P22" s="107"/>
      <c r="Q22" s="107"/>
      <c r="R22" s="107"/>
      <c r="S22" s="107"/>
      <c r="T22" s="107"/>
      <c r="U22" s="107"/>
    </row>
    <row r="23" spans="1:25" x14ac:dyDescent="0.25">
      <c r="A23" s="34" t="s">
        <v>676</v>
      </c>
      <c r="G23" s="107"/>
      <c r="H23" s="107"/>
      <c r="I23" s="107">
        <f>SUM(G21:I21)</f>
        <v>1269409326</v>
      </c>
      <c r="J23" s="107"/>
      <c r="K23" s="107"/>
      <c r="L23" s="107">
        <f>SUM(J21:L21)</f>
        <v>1321470151.5</v>
      </c>
      <c r="M23" s="107"/>
      <c r="N23" s="107"/>
      <c r="O23" s="107">
        <f>SUM(M21:O21)</f>
        <v>1774495419</v>
      </c>
      <c r="P23" s="107"/>
      <c r="Q23" s="107"/>
      <c r="R23" s="107">
        <f>SUM(P21:R21)</f>
        <v>1675595479.5</v>
      </c>
      <c r="S23" s="107"/>
      <c r="T23" s="107"/>
      <c r="U23" s="107">
        <f>SUM(S21:U21)</f>
        <v>1179736328.25</v>
      </c>
      <c r="X23" s="107">
        <f>SUM(V21:X21)</f>
        <v>1270045776.75</v>
      </c>
    </row>
    <row r="24" spans="1:25" x14ac:dyDescent="0.25">
      <c r="A24" s="34" t="s">
        <v>677</v>
      </c>
      <c r="L24" s="40">
        <f>(L23/I23)-1</f>
        <v>4.1011850499040658E-2</v>
      </c>
      <c r="M24" s="40"/>
      <c r="N24" s="40"/>
      <c r="O24" s="40">
        <f>(O23/L23)-1</f>
        <v>0.34281914501494515</v>
      </c>
      <c r="P24" s="40"/>
      <c r="Q24" s="40"/>
      <c r="R24" s="40">
        <f>(R23/O23)-1</f>
        <v>-5.5734119367709667E-2</v>
      </c>
      <c r="S24" s="40"/>
      <c r="T24" s="40"/>
      <c r="U24" s="40">
        <f>(U23/R23)-1</f>
        <v>-0.29593010802223285</v>
      </c>
      <c r="X24" s="40">
        <f>(X23/U23)-1</f>
        <v>7.6550536198171981E-2</v>
      </c>
    </row>
    <row r="25" spans="1:25" x14ac:dyDescent="0.25">
      <c r="A25" s="34" t="s">
        <v>678</v>
      </c>
      <c r="L25" s="40"/>
      <c r="M25" s="40"/>
      <c r="N25" s="40"/>
      <c r="O25" s="40"/>
      <c r="P25" s="40"/>
      <c r="Q25" s="40"/>
      <c r="R25" s="40"/>
      <c r="S25" s="40"/>
      <c r="T25" s="40"/>
      <c r="U25" s="40">
        <f>(U23/I23)-1</f>
        <v>-7.0641514847355036E-2</v>
      </c>
      <c r="X25" s="40">
        <f>(X23/L23)-1</f>
        <v>-3.8914518569812762E-2</v>
      </c>
    </row>
    <row r="27" spans="1:25" x14ac:dyDescent="0.25">
      <c r="A27" s="25" t="s">
        <v>578</v>
      </c>
      <c r="G27" s="25" t="s">
        <v>484</v>
      </c>
      <c r="H27" s="25" t="s">
        <v>485</v>
      </c>
      <c r="I27" s="25" t="s">
        <v>486</v>
      </c>
      <c r="J27" s="25" t="s">
        <v>487</v>
      </c>
      <c r="K27" s="25" t="s">
        <v>488</v>
      </c>
      <c r="L27" s="25" t="s">
        <v>489</v>
      </c>
      <c r="M27" s="25" t="s">
        <v>490</v>
      </c>
      <c r="N27" s="25" t="s">
        <v>491</v>
      </c>
      <c r="O27" s="25" t="s">
        <v>492</v>
      </c>
      <c r="P27" s="25" t="s">
        <v>493</v>
      </c>
      <c r="Q27" s="25" t="s">
        <v>494</v>
      </c>
      <c r="R27" s="25" t="s">
        <v>495</v>
      </c>
      <c r="S27" s="25" t="s">
        <v>496</v>
      </c>
      <c r="T27" s="25" t="s">
        <v>497</v>
      </c>
      <c r="U27" s="25" t="s">
        <v>574</v>
      </c>
      <c r="V27" s="25" t="s">
        <v>731</v>
      </c>
      <c r="W27" s="25" t="s">
        <v>732</v>
      </c>
      <c r="X27" s="25" t="s">
        <v>733</v>
      </c>
    </row>
    <row r="28" spans="1:25" x14ac:dyDescent="0.25">
      <c r="A28" s="25" t="s">
        <v>576</v>
      </c>
      <c r="G28" s="62" t="str">
        <f>PTF!B5</f>
        <v>35,48</v>
      </c>
      <c r="H28" s="62">
        <f>PTF!C5</f>
        <v>36.119999999999997</v>
      </c>
      <c r="I28" s="62">
        <f>PTF!D5</f>
        <v>37.04</v>
      </c>
      <c r="J28" s="62">
        <f>PTF!E5</f>
        <v>38.049999999999997</v>
      </c>
      <c r="K28" s="62">
        <f>PTF!F5</f>
        <v>38.72</v>
      </c>
      <c r="L28" s="62">
        <f>PTF!G5</f>
        <v>39.369999999999997</v>
      </c>
      <c r="M28" s="62">
        <f>PTF!H5</f>
        <v>40.14</v>
      </c>
      <c r="N28" s="62">
        <f>PTF!I5</f>
        <v>40.75</v>
      </c>
      <c r="O28" s="62">
        <f>PTF!J5</f>
        <v>41.24</v>
      </c>
      <c r="P28" s="62">
        <f>PTF!K5</f>
        <v>41.75</v>
      </c>
      <c r="Q28" s="62">
        <f>PTF!L5</f>
        <v>42.2</v>
      </c>
      <c r="R28" s="62">
        <f>PTF!M5</f>
        <v>42.61</v>
      </c>
      <c r="S28" s="62">
        <f>PTF!N5</f>
        <v>43.14</v>
      </c>
      <c r="T28" s="62">
        <f>PTF!O5</f>
        <v>43.61</v>
      </c>
      <c r="U28" s="62">
        <f>PTF!P5</f>
        <v>44.1</v>
      </c>
      <c r="V28" s="62">
        <f>PTF!Q5</f>
        <v>44.68</v>
      </c>
      <c r="W28" s="62">
        <f>PTF!R5</f>
        <v>45.36</v>
      </c>
      <c r="X28" s="62">
        <f>PTF!S5</f>
        <v>46.17</v>
      </c>
    </row>
    <row r="32" spans="1:25" x14ac:dyDescent="0.25">
      <c r="A32" s="33" t="s">
        <v>44</v>
      </c>
      <c r="G32" s="25" t="s">
        <v>703</v>
      </c>
      <c r="H32" s="25" t="s">
        <v>484</v>
      </c>
      <c r="I32" s="25" t="s">
        <v>485</v>
      </c>
      <c r="J32" s="25" t="s">
        <v>486</v>
      </c>
      <c r="K32" s="25" t="s">
        <v>487</v>
      </c>
      <c r="L32" s="25" t="s">
        <v>488</v>
      </c>
      <c r="M32" s="25" t="s">
        <v>489</v>
      </c>
      <c r="N32" s="25" t="s">
        <v>490</v>
      </c>
      <c r="O32" s="25" t="s">
        <v>491</v>
      </c>
      <c r="P32" s="25" t="s">
        <v>492</v>
      </c>
      <c r="Q32" s="25" t="s">
        <v>493</v>
      </c>
      <c r="R32" s="25" t="s">
        <v>494</v>
      </c>
      <c r="S32" s="25" t="s">
        <v>495</v>
      </c>
      <c r="T32" s="25" t="s">
        <v>496</v>
      </c>
      <c r="U32" s="25" t="s">
        <v>497</v>
      </c>
      <c r="V32" s="25" t="s">
        <v>574</v>
      </c>
      <c r="W32" s="25" t="s">
        <v>731</v>
      </c>
      <c r="X32" s="25" t="s">
        <v>732</v>
      </c>
      <c r="Y32" s="25" t="s">
        <v>733</v>
      </c>
    </row>
    <row r="33" spans="1:25" x14ac:dyDescent="0.25">
      <c r="A33" s="25" t="s">
        <v>115</v>
      </c>
      <c r="G33" s="25" t="s">
        <v>764</v>
      </c>
      <c r="H33" s="25">
        <f>G2</f>
        <v>183193</v>
      </c>
      <c r="I33" s="25">
        <f t="shared" ref="I33:Y33" si="3">H2</f>
        <v>143519</v>
      </c>
      <c r="J33" s="25">
        <f t="shared" si="3"/>
        <v>141519</v>
      </c>
      <c r="K33" s="25">
        <f t="shared" si="3"/>
        <v>109988</v>
      </c>
      <c r="L33" s="25">
        <f t="shared" si="3"/>
        <v>193369</v>
      </c>
      <c r="M33" s="25">
        <f t="shared" si="3"/>
        <v>151062</v>
      </c>
      <c r="N33" s="25">
        <f t="shared" si="3"/>
        <v>188065</v>
      </c>
      <c r="O33" s="25">
        <f t="shared" si="3"/>
        <v>210270</v>
      </c>
      <c r="P33" s="25">
        <f t="shared" si="3"/>
        <v>182893</v>
      </c>
      <c r="Q33" s="25">
        <f t="shared" si="3"/>
        <v>173700</v>
      </c>
      <c r="R33" s="25">
        <f t="shared" si="3"/>
        <v>173792</v>
      </c>
      <c r="S33" s="25">
        <f t="shared" si="3"/>
        <v>182006</v>
      </c>
      <c r="T33" s="25">
        <f t="shared" si="3"/>
        <v>107354</v>
      </c>
      <c r="U33" s="25">
        <f t="shared" si="3"/>
        <v>142725</v>
      </c>
      <c r="V33" s="25">
        <f t="shared" si="3"/>
        <v>110529</v>
      </c>
      <c r="W33" s="25">
        <f t="shared" si="3"/>
        <v>148718</v>
      </c>
      <c r="X33" s="25">
        <f t="shared" si="3"/>
        <v>126986</v>
      </c>
      <c r="Y33" s="25">
        <f t="shared" si="3"/>
        <v>98097</v>
      </c>
    </row>
    <row r="34" spans="1:25" x14ac:dyDescent="0.25">
      <c r="A34" s="25" t="s">
        <v>117</v>
      </c>
      <c r="G34" s="25" t="s">
        <v>522</v>
      </c>
      <c r="H34" s="25">
        <f>H33</f>
        <v>183193</v>
      </c>
      <c r="I34" s="25">
        <f t="shared" ref="I34:Y34" si="4">I33</f>
        <v>143519</v>
      </c>
      <c r="J34" s="25">
        <f t="shared" si="4"/>
        <v>141519</v>
      </c>
      <c r="K34" s="25">
        <f t="shared" si="4"/>
        <v>109988</v>
      </c>
      <c r="L34" s="25">
        <f t="shared" si="4"/>
        <v>193369</v>
      </c>
      <c r="M34" s="25">
        <f t="shared" si="4"/>
        <v>151062</v>
      </c>
      <c r="N34" s="25">
        <f t="shared" si="4"/>
        <v>188065</v>
      </c>
      <c r="O34" s="25">
        <f t="shared" si="4"/>
        <v>210270</v>
      </c>
      <c r="P34" s="25">
        <f t="shared" si="4"/>
        <v>182893</v>
      </c>
      <c r="Q34" s="25">
        <f t="shared" si="4"/>
        <v>173700</v>
      </c>
      <c r="R34" s="25">
        <f t="shared" si="4"/>
        <v>173792</v>
      </c>
      <c r="S34" s="25">
        <f t="shared" si="4"/>
        <v>182006</v>
      </c>
      <c r="T34" s="25">
        <f t="shared" si="4"/>
        <v>107354</v>
      </c>
      <c r="U34" s="25">
        <f t="shared" si="4"/>
        <v>142725</v>
      </c>
      <c r="V34" s="25">
        <f t="shared" si="4"/>
        <v>110529</v>
      </c>
      <c r="W34" s="25">
        <f t="shared" si="4"/>
        <v>148718</v>
      </c>
      <c r="X34" s="25">
        <f t="shared" si="4"/>
        <v>126986</v>
      </c>
      <c r="Y34" s="25">
        <f t="shared" si="4"/>
        <v>98097</v>
      </c>
    </row>
    <row r="35" spans="1:25" x14ac:dyDescent="0.25">
      <c r="A35" s="25" t="s">
        <v>116</v>
      </c>
    </row>
    <row r="37" spans="1:25" x14ac:dyDescent="0.25">
      <c r="G37" s="25" t="s">
        <v>703</v>
      </c>
      <c r="H37" s="25" t="s">
        <v>756</v>
      </c>
      <c r="I37" s="25" t="s">
        <v>757</v>
      </c>
      <c r="J37" s="25" t="s">
        <v>758</v>
      </c>
      <c r="K37" s="25" t="s">
        <v>759</v>
      </c>
      <c r="L37" s="25" t="s">
        <v>760</v>
      </c>
      <c r="M37" s="25" t="s">
        <v>761</v>
      </c>
    </row>
    <row r="38" spans="1:25" x14ac:dyDescent="0.25">
      <c r="G38" s="25" t="s">
        <v>764</v>
      </c>
      <c r="H38" s="25">
        <f>SUM(H33:J33)</f>
        <v>468231</v>
      </c>
      <c r="I38" s="25">
        <f>SUM(K33:M33)</f>
        <v>454419</v>
      </c>
      <c r="J38" s="25">
        <f>SUM(N33:P33)</f>
        <v>581228</v>
      </c>
      <c r="K38" s="25">
        <f>SUM(Q33:S33)</f>
        <v>529498</v>
      </c>
      <c r="L38" s="25">
        <f>SUM(T33:V33)</f>
        <v>360608</v>
      </c>
      <c r="M38" s="25">
        <f>SUM(W33:Y33)</f>
        <v>373801</v>
      </c>
    </row>
    <row r="39" spans="1:25" x14ac:dyDescent="0.25">
      <c r="G39" s="25" t="s">
        <v>522</v>
      </c>
      <c r="H39" s="25">
        <f>H38</f>
        <v>468231</v>
      </c>
      <c r="I39" s="25">
        <f t="shared" ref="I39:M39" si="5">I38</f>
        <v>454419</v>
      </c>
      <c r="J39" s="25">
        <f t="shared" si="5"/>
        <v>581228</v>
      </c>
      <c r="K39" s="25">
        <f t="shared" si="5"/>
        <v>529498</v>
      </c>
      <c r="L39" s="25">
        <f t="shared" si="5"/>
        <v>360608</v>
      </c>
      <c r="M39" s="25">
        <f t="shared" si="5"/>
        <v>373801</v>
      </c>
    </row>
  </sheetData>
  <phoneticPr fontId="48" type="noConversion"/>
  <conditionalFormatting sqref="I13:U14">
    <cfRule type="colorScale" priority="8">
      <colorScale>
        <cfvo type="min"/>
        <cfvo type="percentile" val="50"/>
        <cfvo type="max"/>
        <color rgb="FFF8696B"/>
        <color rgb="FFFFEB84"/>
        <color rgb="FF63BE7B"/>
      </colorScale>
    </cfRule>
  </conditionalFormatting>
  <conditionalFormatting sqref="L24:U25">
    <cfRule type="colorScale" priority="7">
      <colorScale>
        <cfvo type="min"/>
        <cfvo type="percentile" val="50"/>
        <cfvo type="max"/>
        <color rgb="FFF8696B"/>
        <color rgb="FFFFEB84"/>
        <color rgb="FF63BE7B"/>
      </colorScale>
    </cfRule>
  </conditionalFormatting>
  <conditionalFormatting sqref="L13:X14">
    <cfRule type="colorScale" priority="1">
      <colorScale>
        <cfvo type="min"/>
        <cfvo type="percentile" val="50"/>
        <cfvo type="max"/>
        <color rgb="FFF8696B"/>
        <color rgb="FFFFEB84"/>
        <color rgb="FF63BE7B"/>
      </colorScale>
    </cfRule>
  </conditionalFormatting>
  <conditionalFormatting sqref="L24:X25">
    <cfRule type="colorScale" priority="2">
      <colorScale>
        <cfvo type="min"/>
        <cfvo type="percentile" val="50"/>
        <cfvo type="max"/>
        <color rgb="FFF8696B"/>
        <color rgb="FFFFEB84"/>
        <color rgb="FF63BE7B"/>
      </colorScale>
    </cfRule>
  </conditionalFormatting>
  <conditionalFormatting sqref="S6:X7">
    <cfRule type="colorScale" priority="9">
      <colorScale>
        <cfvo type="min"/>
        <cfvo type="percentile" val="50"/>
        <cfvo type="max"/>
        <color rgb="FFF8696B"/>
        <color rgb="FFFFEB84"/>
        <color rgb="FF63BE7B"/>
      </colorScale>
    </cfRule>
  </conditionalFormatting>
  <conditionalFormatting sqref="X13">
    <cfRule type="colorScale" priority="4">
      <colorScale>
        <cfvo type="min"/>
        <cfvo type="percentile" val="50"/>
        <cfvo type="max"/>
        <color rgb="FFF8696B"/>
        <color rgb="FFFFEB84"/>
        <color rgb="FF63BE7B"/>
      </colorScale>
    </cfRule>
  </conditionalFormatting>
  <conditionalFormatting sqref="X14">
    <cfRule type="colorScale" priority="3">
      <colorScale>
        <cfvo type="min"/>
        <cfvo type="percentile" val="50"/>
        <cfvo type="max"/>
        <color rgb="FFF8696B"/>
        <color rgb="FFFFEB84"/>
        <color rgb="FF63BE7B"/>
      </colorScale>
    </cfRule>
  </conditionalFormatting>
  <conditionalFormatting sqref="X24">
    <cfRule type="colorScale" priority="6">
      <colorScale>
        <cfvo type="min"/>
        <cfvo type="percentile" val="50"/>
        <cfvo type="max"/>
        <color rgb="FFF8696B"/>
        <color rgb="FFFFEB84"/>
        <color rgb="FF63BE7B"/>
      </colorScale>
    </cfRule>
  </conditionalFormatting>
  <conditionalFormatting sqref="X25">
    <cfRule type="colorScale" priority="5">
      <colorScale>
        <cfvo type="min"/>
        <cfvo type="percentile" val="50"/>
        <cfvo type="max"/>
        <color rgb="FFF8696B"/>
        <color rgb="FFFFEB84"/>
        <color rgb="FF63BE7B"/>
      </colorScale>
    </cfRule>
  </conditionalFormatting>
  <pageMargins left="0.7" right="0.7" top="0.75" bottom="0.75" header="0.3" footer="0.3"/>
  <tableParts count="3">
    <tablePart r:id="rId1"/>
    <tablePart r:id="rId2"/>
    <tablePart r:id="rId3"/>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488A0-D825-425E-8FB1-0D048482E265}">
  <dimension ref="A1:X1048576"/>
  <sheetViews>
    <sheetView zoomScale="85" zoomScaleNormal="85" workbookViewId="0">
      <selection activeCell="E2" sqref="E2"/>
    </sheetView>
  </sheetViews>
  <sheetFormatPr defaultColWidth="9.140625" defaultRowHeight="15" x14ac:dyDescent="0.25"/>
  <cols>
    <col min="1" max="1" width="45.85546875" style="25" customWidth="1"/>
    <col min="2" max="2" width="15" style="25" customWidth="1"/>
    <col min="3" max="3" width="22.5703125" style="25" customWidth="1"/>
    <col min="4" max="4" width="9.140625" style="25" customWidth="1"/>
    <col min="5" max="5" width="14" style="25" customWidth="1"/>
    <col min="6" max="6" width="17.85546875" style="25" customWidth="1"/>
    <col min="7" max="8" width="14.28515625" style="25" bestFit="1" customWidth="1"/>
    <col min="9" max="9" width="15.5703125" style="25" bestFit="1" customWidth="1"/>
    <col min="10" max="11" width="15.28515625" style="25" bestFit="1" customWidth="1"/>
    <col min="12" max="12" width="15.5703125" style="25" bestFit="1" customWidth="1"/>
    <col min="13" max="14" width="15.28515625" style="25" bestFit="1" customWidth="1"/>
    <col min="15" max="15" width="15.5703125" style="25" bestFit="1" customWidth="1"/>
    <col min="16" max="16" width="15.28515625" style="25" bestFit="1" customWidth="1"/>
    <col min="17" max="17" width="14.28515625" style="25" bestFit="1" customWidth="1"/>
    <col min="18" max="18" width="15.5703125" style="25" bestFit="1" customWidth="1"/>
    <col min="19" max="20" width="14.28515625" style="25" bestFit="1" customWidth="1"/>
    <col min="21" max="21" width="15.5703125" style="25" bestFit="1" customWidth="1"/>
    <col min="22" max="24" width="15.28515625" style="25" bestFit="1" customWidth="1"/>
    <col min="25" max="16384" width="9.140625" style="25"/>
  </cols>
  <sheetData>
    <row r="1" spans="1:24" x14ac:dyDescent="0.25">
      <c r="A1" s="25" t="s">
        <v>35</v>
      </c>
      <c r="B1" s="25" t="s">
        <v>111</v>
      </c>
      <c r="C1" s="25" t="s">
        <v>338</v>
      </c>
      <c r="D1" s="25" t="s">
        <v>454</v>
      </c>
      <c r="E1" s="25" t="s">
        <v>551</v>
      </c>
      <c r="F1" s="25" t="s">
        <v>552</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25" t="s">
        <v>215</v>
      </c>
      <c r="B2" s="93">
        <v>130</v>
      </c>
      <c r="C2" s="25" t="s">
        <v>430</v>
      </c>
      <c r="D2" s="25">
        <v>3042</v>
      </c>
      <c r="E2" s="25">
        <v>133</v>
      </c>
      <c r="F2" s="30">
        <v>46069</v>
      </c>
      <c r="G2" s="25">
        <v>14123.47</v>
      </c>
      <c r="H2" s="25">
        <v>13727.38</v>
      </c>
      <c r="I2" s="25">
        <v>20233.93</v>
      </c>
      <c r="J2" s="25">
        <v>22164.26</v>
      </c>
      <c r="K2" s="25">
        <v>26289.51</v>
      </c>
      <c r="L2" s="25">
        <v>26706.54</v>
      </c>
      <c r="M2" s="25">
        <v>32015.32</v>
      </c>
      <c r="N2" s="25">
        <v>29646.3</v>
      </c>
      <c r="O2" s="25">
        <v>23512.11</v>
      </c>
      <c r="P2" s="25">
        <v>18430.240000000002</v>
      </c>
      <c r="Q2" s="25">
        <v>12265.43</v>
      </c>
      <c r="R2" s="25">
        <v>8693.0300000000007</v>
      </c>
      <c r="S2" s="25">
        <v>10802.09</v>
      </c>
      <c r="T2" s="25">
        <v>11402.48</v>
      </c>
      <c r="U2" s="25">
        <v>19663.939999999999</v>
      </c>
      <c r="V2" s="25">
        <v>21786.51</v>
      </c>
      <c r="W2" s="25">
        <v>22219.86</v>
      </c>
      <c r="X2" s="25">
        <v>30950.29</v>
      </c>
    </row>
    <row r="3" spans="1:24" x14ac:dyDescent="0.25">
      <c r="A3" s="25" t="s">
        <v>213</v>
      </c>
      <c r="B3" s="93">
        <v>7.02</v>
      </c>
      <c r="E3" s="25">
        <v>133</v>
      </c>
      <c r="F3" s="30">
        <v>46691</v>
      </c>
    </row>
    <row r="4" spans="1:24" x14ac:dyDescent="0.25">
      <c r="A4" s="25" t="s">
        <v>214</v>
      </c>
      <c r="B4" s="93">
        <v>4.08</v>
      </c>
      <c r="E4" s="25">
        <v>133</v>
      </c>
      <c r="F4" s="25">
        <v>2028</v>
      </c>
    </row>
    <row r="5" spans="1:24" x14ac:dyDescent="0.25">
      <c r="A5" s="25" t="s">
        <v>216</v>
      </c>
      <c r="B5" s="93">
        <v>4.8</v>
      </c>
      <c r="E5" s="25">
        <v>133</v>
      </c>
      <c r="F5" s="25">
        <v>2028</v>
      </c>
    </row>
    <row r="6" spans="1:24" x14ac:dyDescent="0.25">
      <c r="A6" s="25" t="s">
        <v>217</v>
      </c>
      <c r="B6" s="93">
        <v>4.59</v>
      </c>
      <c r="E6" s="25">
        <v>133</v>
      </c>
      <c r="F6" s="25">
        <v>2027</v>
      </c>
    </row>
    <row r="7" spans="1:24" x14ac:dyDescent="0.25">
      <c r="A7" s="25" t="s">
        <v>218</v>
      </c>
      <c r="B7" s="93">
        <v>4.3600000000000003</v>
      </c>
      <c r="E7" s="25">
        <v>133</v>
      </c>
      <c r="F7" s="30">
        <v>45972</v>
      </c>
    </row>
    <row r="8" spans="1:24" x14ac:dyDescent="0.25">
      <c r="A8" s="25" t="s">
        <v>219</v>
      </c>
      <c r="B8" s="93">
        <v>2.09</v>
      </c>
      <c r="E8" s="25">
        <v>133</v>
      </c>
      <c r="F8" s="25">
        <v>2028</v>
      </c>
    </row>
    <row r="9" spans="1:24" x14ac:dyDescent="0.25">
      <c r="A9" s="25" t="s">
        <v>221</v>
      </c>
      <c r="B9" s="94">
        <v>3</v>
      </c>
      <c r="E9" s="25">
        <v>133</v>
      </c>
      <c r="F9" s="25">
        <v>2030</v>
      </c>
    </row>
    <row r="10" spans="1:24" x14ac:dyDescent="0.25">
      <c r="A10" s="25" t="s">
        <v>222</v>
      </c>
      <c r="B10" s="94">
        <v>3</v>
      </c>
      <c r="E10" s="25">
        <v>133</v>
      </c>
      <c r="F10" s="25">
        <v>2030</v>
      </c>
    </row>
    <row r="11" spans="1:24" x14ac:dyDescent="0.25">
      <c r="A11" s="25" t="s">
        <v>224</v>
      </c>
      <c r="B11" s="94">
        <v>1.5</v>
      </c>
      <c r="E11" s="25">
        <v>133</v>
      </c>
      <c r="F11" s="25">
        <v>2030</v>
      </c>
    </row>
    <row r="12" spans="1:24" x14ac:dyDescent="0.25">
      <c r="A12" s="25" t="s">
        <v>223</v>
      </c>
      <c r="B12" s="94">
        <v>14.9</v>
      </c>
      <c r="E12" s="25">
        <v>133</v>
      </c>
      <c r="F12" s="25">
        <v>2030</v>
      </c>
    </row>
    <row r="13" spans="1:24" x14ac:dyDescent="0.25">
      <c r="A13" s="25" t="s">
        <v>37</v>
      </c>
      <c r="B13" s="25">
        <f>SUM(B2:B12)</f>
        <v>179.34000000000006</v>
      </c>
      <c r="G13" s="25">
        <v>14123.47</v>
      </c>
      <c r="H13" s="25">
        <v>13727.38</v>
      </c>
      <c r="I13" s="25">
        <v>20233.93</v>
      </c>
      <c r="J13" s="25">
        <v>22164.26</v>
      </c>
      <c r="K13" s="25">
        <v>26289.51</v>
      </c>
      <c r="L13" s="25">
        <v>26706.54</v>
      </c>
      <c r="M13" s="25">
        <v>32015.32</v>
      </c>
      <c r="N13" s="25">
        <v>29646.3</v>
      </c>
      <c r="O13" s="25">
        <v>23512.11</v>
      </c>
      <c r="P13" s="25">
        <v>18430.240000000002</v>
      </c>
      <c r="Q13" s="25">
        <v>12265.43</v>
      </c>
      <c r="R13" s="25">
        <v>8693.0300000000007</v>
      </c>
      <c r="S13" s="25">
        <v>10802.09</v>
      </c>
      <c r="T13" s="25">
        <v>11402.48</v>
      </c>
      <c r="U13" s="25">
        <v>19663.939999999999</v>
      </c>
      <c r="V13" s="25">
        <v>21786.51</v>
      </c>
      <c r="W13" s="25">
        <v>22219.86</v>
      </c>
      <c r="X13" s="25">
        <v>30950.29</v>
      </c>
    </row>
    <row r="16" spans="1:24" x14ac:dyDescent="0.25">
      <c r="A16" s="44" t="s">
        <v>534</v>
      </c>
      <c r="S16" s="40">
        <f>(S2/G2)-1</f>
        <v>-0.23516741990459844</v>
      </c>
      <c r="T16" s="40">
        <f>(T2/H2)-1</f>
        <v>-0.16936225266584004</v>
      </c>
      <c r="U16" s="40">
        <f>(U2/I2)-1</f>
        <v>-2.8170009484069669E-2</v>
      </c>
      <c r="V16" s="40">
        <f t="shared" ref="V16:X16" si="0">(V2/J2)-1</f>
        <v>-1.7043203788441375E-2</v>
      </c>
      <c r="W16" s="40">
        <f t="shared" si="0"/>
        <v>-0.15480128766188483</v>
      </c>
      <c r="X16" s="40">
        <f t="shared" si="0"/>
        <v>0.15890302525149269</v>
      </c>
    </row>
    <row r="17" spans="1:24" x14ac:dyDescent="0.25">
      <c r="A17" s="44" t="s">
        <v>547</v>
      </c>
      <c r="S17" s="40"/>
      <c r="T17" s="40">
        <f>(SUM(S2:T2)/SUM(G2:H2))-1</f>
        <v>-0.20273277117215449</v>
      </c>
      <c r="U17" s="40">
        <f>(SUM(S2:U2)/SUM(G2:I2))-1</f>
        <v>-0.12927728898832447</v>
      </c>
      <c r="V17" s="40">
        <f>(SUM(S2:V2)/SUM(G2:J2))-1</f>
        <v>-9.3866336109361792E-2</v>
      </c>
      <c r="W17" s="40">
        <f>(SUM(S2:W2)/SUM(G2:K2))-1</f>
        <v>-0.11046022547469381</v>
      </c>
      <c r="X17" s="40">
        <f>(SUM(S2:X2)/SUM(G2:L2))-1</f>
        <v>-5.2090675579854806E-2</v>
      </c>
    </row>
    <row r="19" spans="1:24" x14ac:dyDescent="0.25">
      <c r="A19" s="34" t="s">
        <v>667</v>
      </c>
      <c r="B19" s="25" t="s">
        <v>683</v>
      </c>
      <c r="C19" s="25" t="s">
        <v>684</v>
      </c>
      <c r="D19" s="25" t="s">
        <v>685</v>
      </c>
      <c r="E19" s="25" t="s">
        <v>686</v>
      </c>
      <c r="F19" s="25" t="s">
        <v>687</v>
      </c>
      <c r="G19" s="25" t="s">
        <v>484</v>
      </c>
      <c r="H19" s="25" t="s">
        <v>485</v>
      </c>
      <c r="I19" s="25" t="s">
        <v>486</v>
      </c>
      <c r="J19" s="25" t="s">
        <v>487</v>
      </c>
      <c r="K19" s="25" t="s">
        <v>488</v>
      </c>
      <c r="L19" s="25" t="s">
        <v>489</v>
      </c>
      <c r="M19" s="25" t="s">
        <v>490</v>
      </c>
      <c r="N19" s="25" t="s">
        <v>491</v>
      </c>
      <c r="O19" s="25" t="s">
        <v>492</v>
      </c>
      <c r="P19" s="25" t="s">
        <v>493</v>
      </c>
      <c r="Q19" s="25" t="s">
        <v>494</v>
      </c>
      <c r="R19" s="25" t="s">
        <v>495</v>
      </c>
      <c r="S19" s="25" t="s">
        <v>496</v>
      </c>
      <c r="T19" s="25" t="s">
        <v>497</v>
      </c>
      <c r="U19" s="25" t="s">
        <v>574</v>
      </c>
      <c r="V19" s="25" t="s">
        <v>731</v>
      </c>
      <c r="W19" s="25" t="s">
        <v>732</v>
      </c>
      <c r="X19" s="25" t="s">
        <v>733</v>
      </c>
    </row>
    <row r="20" spans="1:24" x14ac:dyDescent="0.25">
      <c r="A20" s="25" t="s">
        <v>215</v>
      </c>
      <c r="G20" s="107">
        <f t="shared" ref="G20:X20" si="1">$E$2*G2</f>
        <v>1878421.51</v>
      </c>
      <c r="H20" s="107">
        <f t="shared" si="1"/>
        <v>1825741.5399999998</v>
      </c>
      <c r="I20" s="107">
        <f t="shared" si="1"/>
        <v>2691112.69</v>
      </c>
      <c r="J20" s="107">
        <f t="shared" si="1"/>
        <v>2947846.5799999996</v>
      </c>
      <c r="K20" s="107">
        <f t="shared" si="1"/>
        <v>3496504.8299999996</v>
      </c>
      <c r="L20" s="107">
        <f t="shared" si="1"/>
        <v>3551969.8200000003</v>
      </c>
      <c r="M20" s="107">
        <f t="shared" si="1"/>
        <v>4258037.5599999996</v>
      </c>
      <c r="N20" s="107">
        <f t="shared" si="1"/>
        <v>3942957.9</v>
      </c>
      <c r="O20" s="107">
        <f t="shared" si="1"/>
        <v>3127110.63</v>
      </c>
      <c r="P20" s="107">
        <f t="shared" si="1"/>
        <v>2451221.9200000004</v>
      </c>
      <c r="Q20" s="107">
        <f t="shared" si="1"/>
        <v>1631302.19</v>
      </c>
      <c r="R20" s="107">
        <f t="shared" si="1"/>
        <v>1156172.99</v>
      </c>
      <c r="S20" s="107">
        <f t="shared" si="1"/>
        <v>1436677.97</v>
      </c>
      <c r="T20" s="107">
        <f t="shared" si="1"/>
        <v>1516529.8399999999</v>
      </c>
      <c r="U20" s="107">
        <f t="shared" si="1"/>
        <v>2615304.02</v>
      </c>
      <c r="V20" s="107">
        <f t="shared" si="1"/>
        <v>2897605.8299999996</v>
      </c>
      <c r="W20" s="107">
        <f t="shared" si="1"/>
        <v>2955241.38</v>
      </c>
      <c r="X20" s="107">
        <f t="shared" si="1"/>
        <v>4116388.5700000003</v>
      </c>
    </row>
    <row r="21" spans="1:24" x14ac:dyDescent="0.25">
      <c r="G21" s="107"/>
      <c r="H21" s="107"/>
      <c r="I21" s="107"/>
      <c r="J21" s="107"/>
      <c r="K21" s="107"/>
      <c r="L21" s="107"/>
      <c r="M21" s="107"/>
      <c r="N21" s="107"/>
      <c r="O21" s="107"/>
      <c r="P21" s="107"/>
      <c r="Q21" s="107"/>
      <c r="R21" s="107"/>
      <c r="S21" s="107"/>
      <c r="T21" s="107"/>
      <c r="U21" s="107"/>
    </row>
    <row r="22" spans="1:24" x14ac:dyDescent="0.25">
      <c r="A22" s="34" t="s">
        <v>676</v>
      </c>
      <c r="G22" s="107"/>
      <c r="H22" s="107"/>
      <c r="I22" s="107">
        <f>SUM(G20:I20)</f>
        <v>6395275.7400000002</v>
      </c>
      <c r="J22" s="107"/>
      <c r="K22" s="107"/>
      <c r="L22" s="107">
        <f>SUM(J20:L20)</f>
        <v>9996321.2300000004</v>
      </c>
      <c r="M22" s="107"/>
      <c r="N22" s="107"/>
      <c r="O22" s="107">
        <f>SUM(M20:O20)</f>
        <v>11328106.09</v>
      </c>
      <c r="P22" s="107"/>
      <c r="Q22" s="107"/>
      <c r="R22" s="107">
        <f>SUM(P20:R20)</f>
        <v>5238697.1000000006</v>
      </c>
      <c r="S22" s="107"/>
      <c r="T22" s="107"/>
      <c r="U22" s="107">
        <f>SUM(S20:U20)</f>
        <v>5568511.8300000001</v>
      </c>
      <c r="X22" s="107">
        <f>SUM(V20:X20)</f>
        <v>9969235.7799999993</v>
      </c>
    </row>
    <row r="23" spans="1:24" x14ac:dyDescent="0.25">
      <c r="A23" s="34" t="s">
        <v>677</v>
      </c>
      <c r="L23" s="40">
        <f>(L22/I22)-1</f>
        <v>0.56307900337695216</v>
      </c>
      <c r="M23" s="40"/>
      <c r="N23" s="40"/>
      <c r="O23" s="40">
        <f>(O22/L22)-1</f>
        <v>0.13322749733203598</v>
      </c>
      <c r="P23" s="40"/>
      <c r="Q23" s="40"/>
      <c r="R23" s="40">
        <f>(R22/O22)-1</f>
        <v>-0.5375487254109923</v>
      </c>
      <c r="S23" s="40"/>
      <c r="T23" s="40"/>
      <c r="U23" s="40">
        <f>(U22/R22)-1</f>
        <v>6.2957396410645572E-2</v>
      </c>
      <c r="X23" s="40">
        <f>(X22/U22)-1</f>
        <v>0.79028725884919226</v>
      </c>
    </row>
    <row r="24" spans="1:24" x14ac:dyDescent="0.25">
      <c r="A24" s="34" t="s">
        <v>678</v>
      </c>
      <c r="L24" s="40"/>
      <c r="M24" s="40"/>
      <c r="N24" s="40"/>
      <c r="O24" s="40"/>
      <c r="P24" s="40"/>
      <c r="Q24" s="40"/>
      <c r="R24" s="40"/>
      <c r="S24" s="40"/>
      <c r="T24" s="40"/>
      <c r="U24" s="40">
        <f>(U22/I22)-1</f>
        <v>-0.12927728898832436</v>
      </c>
      <c r="X24" s="40">
        <f>(X22/L22)-1</f>
        <v>-2.709541778100788E-3</v>
      </c>
    </row>
    <row r="26" spans="1:24" x14ac:dyDescent="0.25">
      <c r="A26" s="34" t="s">
        <v>681</v>
      </c>
      <c r="B26" s="25" t="s">
        <v>683</v>
      </c>
      <c r="C26" s="25" t="s">
        <v>684</v>
      </c>
      <c r="D26" s="25" t="s">
        <v>685</v>
      </c>
      <c r="E26" s="25" t="s">
        <v>686</v>
      </c>
      <c r="F26" s="25" t="s">
        <v>687</v>
      </c>
      <c r="G26" s="25" t="s">
        <v>484</v>
      </c>
      <c r="H26" s="25" t="s">
        <v>485</v>
      </c>
      <c r="I26" s="25" t="s">
        <v>486</v>
      </c>
      <c r="J26" s="25" t="s">
        <v>487</v>
      </c>
      <c r="K26" s="25" t="s">
        <v>488</v>
      </c>
      <c r="L26" s="25" t="s">
        <v>489</v>
      </c>
      <c r="M26" s="25" t="s">
        <v>490</v>
      </c>
      <c r="N26" s="25" t="s">
        <v>491</v>
      </c>
      <c r="O26" s="25" t="s">
        <v>492</v>
      </c>
      <c r="P26" s="25" t="s">
        <v>493</v>
      </c>
      <c r="Q26" s="25" t="s">
        <v>494</v>
      </c>
      <c r="R26" s="25" t="s">
        <v>495</v>
      </c>
      <c r="S26" s="25" t="s">
        <v>496</v>
      </c>
      <c r="T26" s="25" t="s">
        <v>497</v>
      </c>
      <c r="U26" s="25" t="s">
        <v>574</v>
      </c>
      <c r="V26" s="25" t="s">
        <v>731</v>
      </c>
      <c r="W26" s="25" t="s">
        <v>732</v>
      </c>
      <c r="X26" s="25" t="s">
        <v>733</v>
      </c>
    </row>
    <row r="27" spans="1:24" x14ac:dyDescent="0.25">
      <c r="A27" s="25" t="s">
        <v>215</v>
      </c>
      <c r="G27" s="107">
        <f>G34*G20</f>
        <v>66646395.174799994</v>
      </c>
      <c r="H27" s="107">
        <f t="shared" ref="H27:X27" si="2">H34*H20</f>
        <v>65945784.424799986</v>
      </c>
      <c r="I27" s="107">
        <f t="shared" si="2"/>
        <v>99678814.037599996</v>
      </c>
      <c r="J27" s="107">
        <f t="shared" si="2"/>
        <v>112165562.36899997</v>
      </c>
      <c r="K27" s="107">
        <f t="shared" si="2"/>
        <v>135384667.01759997</v>
      </c>
      <c r="L27" s="107">
        <f t="shared" si="2"/>
        <v>139841051.8134</v>
      </c>
      <c r="M27" s="107">
        <f t="shared" si="2"/>
        <v>170917627.6584</v>
      </c>
      <c r="N27" s="107">
        <f t="shared" si="2"/>
        <v>160675534.42499998</v>
      </c>
      <c r="O27" s="107">
        <f t="shared" si="2"/>
        <v>128962042.3812</v>
      </c>
      <c r="P27" s="107">
        <f t="shared" si="2"/>
        <v>102338515.16000001</v>
      </c>
      <c r="Q27" s="107">
        <f t="shared" si="2"/>
        <v>68840952.417999998</v>
      </c>
      <c r="R27" s="107">
        <f t="shared" si="2"/>
        <v>49264531.1039</v>
      </c>
      <c r="S27" s="107">
        <f t="shared" si="2"/>
        <v>61978287.625799999</v>
      </c>
      <c r="T27" s="107">
        <f t="shared" si="2"/>
        <v>66135866.322399996</v>
      </c>
      <c r="U27" s="107">
        <f t="shared" si="2"/>
        <v>115334907.28200001</v>
      </c>
      <c r="V27" s="107">
        <f t="shared" si="2"/>
        <v>129465028.48439997</v>
      </c>
      <c r="W27" s="107">
        <f t="shared" si="2"/>
        <v>134049748.99679999</v>
      </c>
      <c r="X27" s="107">
        <f t="shared" si="2"/>
        <v>190053660.27690002</v>
      </c>
    </row>
    <row r="28" spans="1:24" x14ac:dyDescent="0.25">
      <c r="G28" s="107"/>
      <c r="H28" s="107"/>
      <c r="I28" s="107"/>
      <c r="J28" s="107"/>
      <c r="K28" s="107"/>
      <c r="L28" s="107"/>
      <c r="M28" s="107"/>
      <c r="N28" s="107"/>
      <c r="O28" s="107"/>
      <c r="P28" s="107"/>
      <c r="Q28" s="107"/>
      <c r="R28" s="107"/>
      <c r="S28" s="107"/>
      <c r="T28" s="107"/>
      <c r="U28" s="107"/>
    </row>
    <row r="29" spans="1:24" x14ac:dyDescent="0.25">
      <c r="A29" s="34" t="s">
        <v>676</v>
      </c>
      <c r="G29" s="107"/>
      <c r="H29" s="107"/>
      <c r="I29" s="107">
        <f>SUM(G27:I27)</f>
        <v>232270993.6372</v>
      </c>
      <c r="J29" s="107"/>
      <c r="K29" s="107"/>
      <c r="L29" s="107">
        <f>SUM(J27:L27)</f>
        <v>387391281.19999993</v>
      </c>
      <c r="M29" s="107"/>
      <c r="N29" s="107"/>
      <c r="O29" s="107">
        <f>SUM(M27:O27)</f>
        <v>460555204.46460003</v>
      </c>
      <c r="P29" s="107"/>
      <c r="Q29" s="107"/>
      <c r="R29" s="107">
        <f>SUM(P27:R27)</f>
        <v>220443998.68190002</v>
      </c>
      <c r="S29" s="107"/>
      <c r="T29" s="107"/>
      <c r="U29" s="107">
        <f>SUM(S27:U27)</f>
        <v>243449061.23019999</v>
      </c>
      <c r="X29" s="107">
        <f>SUM(V27:X27)</f>
        <v>453568437.75810003</v>
      </c>
    </row>
    <row r="30" spans="1:24" x14ac:dyDescent="0.25">
      <c r="A30" s="34" t="s">
        <v>677</v>
      </c>
      <c r="L30" s="40">
        <f>(L29/I29)-1</f>
        <v>0.6678418391109695</v>
      </c>
      <c r="M30" s="40"/>
      <c r="N30" s="40"/>
      <c r="O30" s="40">
        <f>(O29/L29)-1</f>
        <v>0.18886311286605206</v>
      </c>
      <c r="P30" s="40"/>
      <c r="Q30" s="40"/>
      <c r="R30" s="40">
        <f>(R29/O29)-1</f>
        <v>-0.52135162832831661</v>
      </c>
      <c r="S30" s="40"/>
      <c r="T30" s="40"/>
      <c r="U30" s="40">
        <f>(U29/R29)-1</f>
        <v>0.1043578536310994</v>
      </c>
      <c r="X30" s="40">
        <f>(X29/U29)-1</f>
        <v>0.86309380478249564</v>
      </c>
    </row>
    <row r="31" spans="1:24" x14ac:dyDescent="0.25">
      <c r="A31" s="34" t="s">
        <v>678</v>
      </c>
      <c r="L31" s="40"/>
      <c r="M31" s="40"/>
      <c r="N31" s="40"/>
      <c r="O31" s="40"/>
      <c r="P31" s="40"/>
      <c r="Q31" s="40"/>
      <c r="R31" s="40"/>
      <c r="S31" s="40"/>
      <c r="T31" s="40"/>
      <c r="U31" s="40">
        <f>(U29/I29)-1</f>
        <v>4.8125112042443741E-2</v>
      </c>
      <c r="X31" s="40">
        <f>(X29/L29)-1</f>
        <v>0.17082768706901952</v>
      </c>
    </row>
    <row r="33" spans="1:24" x14ac:dyDescent="0.25">
      <c r="A33" s="25" t="s">
        <v>578</v>
      </c>
      <c r="G33" s="25" t="s">
        <v>484</v>
      </c>
      <c r="H33" s="25" t="s">
        <v>485</v>
      </c>
      <c r="I33" s="25" t="s">
        <v>486</v>
      </c>
      <c r="J33" s="25" t="s">
        <v>487</v>
      </c>
      <c r="K33" s="25" t="s">
        <v>488</v>
      </c>
      <c r="L33" s="25" t="s">
        <v>489</v>
      </c>
      <c r="M33" s="25" t="s">
        <v>490</v>
      </c>
      <c r="N33" s="25" t="s">
        <v>491</v>
      </c>
      <c r="O33" s="25" t="s">
        <v>492</v>
      </c>
      <c r="P33" s="25" t="s">
        <v>493</v>
      </c>
      <c r="Q33" s="25" t="s">
        <v>494</v>
      </c>
      <c r="R33" s="25" t="s">
        <v>495</v>
      </c>
      <c r="S33" s="25" t="s">
        <v>496</v>
      </c>
      <c r="T33" s="25" t="s">
        <v>497</v>
      </c>
      <c r="U33" s="25" t="s">
        <v>574</v>
      </c>
      <c r="V33" s="25" t="s">
        <v>731</v>
      </c>
      <c r="W33" s="25" t="s">
        <v>732</v>
      </c>
      <c r="X33" s="25" t="s">
        <v>733</v>
      </c>
    </row>
    <row r="34" spans="1:24" x14ac:dyDescent="0.25">
      <c r="A34" s="25" t="s">
        <v>576</v>
      </c>
      <c r="G34" s="62" t="str">
        <f>PTF!B5</f>
        <v>35,48</v>
      </c>
      <c r="H34" s="62">
        <f>PTF!C5</f>
        <v>36.119999999999997</v>
      </c>
      <c r="I34" s="62">
        <f>PTF!D5</f>
        <v>37.04</v>
      </c>
      <c r="J34" s="62">
        <f>PTF!E5</f>
        <v>38.049999999999997</v>
      </c>
      <c r="K34" s="62">
        <f>PTF!F5</f>
        <v>38.72</v>
      </c>
      <c r="L34" s="62">
        <f>PTF!G5</f>
        <v>39.369999999999997</v>
      </c>
      <c r="M34" s="62">
        <f>PTF!H5</f>
        <v>40.14</v>
      </c>
      <c r="N34" s="62">
        <f>PTF!I5</f>
        <v>40.75</v>
      </c>
      <c r="O34" s="62">
        <f>PTF!J5</f>
        <v>41.24</v>
      </c>
      <c r="P34" s="62">
        <f>PTF!K5</f>
        <v>41.75</v>
      </c>
      <c r="Q34" s="62">
        <f>PTF!L5</f>
        <v>42.2</v>
      </c>
      <c r="R34" s="62">
        <f>PTF!M5</f>
        <v>42.61</v>
      </c>
      <c r="S34" s="62">
        <f>PTF!N5</f>
        <v>43.14</v>
      </c>
      <c r="T34" s="62">
        <f>PTF!O5</f>
        <v>43.61</v>
      </c>
      <c r="U34" s="62">
        <f>PTF!P5</f>
        <v>44.1</v>
      </c>
      <c r="V34" s="62">
        <f>PTF!Q5</f>
        <v>44.68</v>
      </c>
      <c r="W34" s="62">
        <f>PTF!R5</f>
        <v>45.36</v>
      </c>
      <c r="X34" s="62">
        <f>PTF!S5</f>
        <v>46.17</v>
      </c>
    </row>
    <row r="40" spans="1:24" x14ac:dyDescent="0.25">
      <c r="A40" s="33" t="s">
        <v>44</v>
      </c>
    </row>
    <row r="41" spans="1:24" x14ac:dyDescent="0.25">
      <c r="A41" s="25" t="s">
        <v>220</v>
      </c>
    </row>
    <row r="42" spans="1:24" x14ac:dyDescent="0.25">
      <c r="A42" s="25" t="s">
        <v>225</v>
      </c>
    </row>
    <row r="43" spans="1:24" x14ac:dyDescent="0.25">
      <c r="A43" s="25" t="s">
        <v>226</v>
      </c>
    </row>
    <row r="45" spans="1:24" x14ac:dyDescent="0.25">
      <c r="A45" s="25" t="s">
        <v>525</v>
      </c>
    </row>
    <row r="1048576" spans="5:5" x14ac:dyDescent="0.25">
      <c r="E1048576" s="61">
        <v>133</v>
      </c>
    </row>
  </sheetData>
  <phoneticPr fontId="48" type="noConversion"/>
  <conditionalFormatting sqref="L23:U24">
    <cfRule type="colorScale" priority="6">
      <colorScale>
        <cfvo type="min"/>
        <cfvo type="percentile" val="50"/>
        <cfvo type="max"/>
        <color rgb="FFF8696B"/>
        <color rgb="FFFFEB84"/>
        <color rgb="FF63BE7B"/>
      </colorScale>
    </cfRule>
  </conditionalFormatting>
  <conditionalFormatting sqref="L30:U31">
    <cfRule type="colorScale" priority="5">
      <colorScale>
        <cfvo type="min"/>
        <cfvo type="percentile" val="50"/>
        <cfvo type="max"/>
        <color rgb="FFF8696B"/>
        <color rgb="FFFFEB84"/>
        <color rgb="FF63BE7B"/>
      </colorScale>
    </cfRule>
  </conditionalFormatting>
  <conditionalFormatting sqref="S16:X17">
    <cfRule type="colorScale" priority="7">
      <colorScale>
        <cfvo type="min"/>
        <cfvo type="percentile" val="50"/>
        <cfvo type="max"/>
        <color rgb="FFF8696B"/>
        <color rgb="FFFFEB84"/>
        <color rgb="FF63BE7B"/>
      </colorScale>
    </cfRule>
  </conditionalFormatting>
  <conditionalFormatting sqref="X23">
    <cfRule type="colorScale" priority="4">
      <colorScale>
        <cfvo type="min"/>
        <cfvo type="percentile" val="50"/>
        <cfvo type="max"/>
        <color rgb="FFF8696B"/>
        <color rgb="FFFFEB84"/>
        <color rgb="FF63BE7B"/>
      </colorScale>
    </cfRule>
  </conditionalFormatting>
  <conditionalFormatting sqref="X24">
    <cfRule type="colorScale" priority="3">
      <colorScale>
        <cfvo type="min"/>
        <cfvo type="percentile" val="50"/>
        <cfvo type="max"/>
        <color rgb="FFF8696B"/>
        <color rgb="FFFFEB84"/>
        <color rgb="FF63BE7B"/>
      </colorScale>
    </cfRule>
  </conditionalFormatting>
  <conditionalFormatting sqref="X30">
    <cfRule type="colorScale" priority="2">
      <colorScale>
        <cfvo type="min"/>
        <cfvo type="percentile" val="50"/>
        <cfvo type="max"/>
        <color rgb="FFF8696B"/>
        <color rgb="FFFFEB84"/>
        <color rgb="FF63BE7B"/>
      </colorScale>
    </cfRule>
  </conditionalFormatting>
  <conditionalFormatting sqref="X31">
    <cfRule type="colorScale" priority="1">
      <colorScale>
        <cfvo type="min"/>
        <cfvo type="percentile" val="50"/>
        <cfvo type="max"/>
        <color rgb="FFF8696B"/>
        <color rgb="FFFFEB84"/>
        <color rgb="FF63BE7B"/>
      </colorScale>
    </cfRule>
  </conditionalFormatting>
  <pageMargins left="0.7" right="0.7" top="0.75" bottom="0.75" header="0.3" footer="0.3"/>
  <legacyDrawing r:id="rId1"/>
  <tableParts count="3">
    <tablePart r:id="rId2"/>
    <tablePart r:id="rId3"/>
    <tablePart r:id="rId4"/>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39574-54E7-44B8-997C-BF09968D148E}">
  <dimension ref="A1:Y89"/>
  <sheetViews>
    <sheetView zoomScale="85" zoomScaleNormal="85" workbookViewId="0">
      <selection activeCell="I73" sqref="I73:I76"/>
    </sheetView>
  </sheetViews>
  <sheetFormatPr defaultRowHeight="15" x14ac:dyDescent="0.25"/>
  <cols>
    <col min="1" max="1" width="55" customWidth="1"/>
    <col min="2" max="2" width="11.5703125" customWidth="1"/>
    <col min="3" max="3" width="23" customWidth="1"/>
    <col min="4" max="4" width="11.28515625" customWidth="1"/>
    <col min="5" max="5" width="11.7109375" customWidth="1"/>
    <col min="6" max="6" width="15.42578125" customWidth="1"/>
    <col min="7" max="8" width="14.42578125" bestFit="1" customWidth="1"/>
    <col min="9" max="9" width="15.42578125" bestFit="1" customWidth="1"/>
    <col min="10" max="11" width="14.42578125" bestFit="1" customWidth="1"/>
    <col min="12" max="12" width="15.42578125" bestFit="1" customWidth="1"/>
    <col min="13" max="14" width="14.42578125" bestFit="1" customWidth="1"/>
    <col min="15" max="15" width="15.42578125" bestFit="1" customWidth="1"/>
    <col min="16" max="17" width="14.42578125" bestFit="1" customWidth="1"/>
    <col min="18" max="20" width="15.42578125" bestFit="1" customWidth="1"/>
    <col min="21" max="21" width="15.5703125" bestFit="1" customWidth="1"/>
    <col min="22" max="23" width="14.28515625" bestFit="1" customWidth="1"/>
    <col min="24" max="24" width="15.28515625" bestFit="1" customWidth="1"/>
  </cols>
  <sheetData>
    <row r="1" spans="1:24" x14ac:dyDescent="0.25">
      <c r="A1" s="46" t="s">
        <v>35</v>
      </c>
      <c r="B1" s="46" t="s">
        <v>111</v>
      </c>
      <c r="C1" s="46" t="s">
        <v>338</v>
      </c>
      <c r="D1" s="46" t="s">
        <v>454</v>
      </c>
      <c r="E1" s="46" t="s">
        <v>551</v>
      </c>
      <c r="F1" s="46" t="s">
        <v>552</v>
      </c>
      <c r="G1" s="46" t="s">
        <v>484</v>
      </c>
      <c r="H1" s="46" t="s">
        <v>485</v>
      </c>
      <c r="I1" s="46" t="s">
        <v>486</v>
      </c>
      <c r="J1" s="46" t="s">
        <v>487</v>
      </c>
      <c r="K1" s="46" t="s">
        <v>488</v>
      </c>
      <c r="L1" s="46" t="s">
        <v>489</v>
      </c>
      <c r="M1" s="46" t="s">
        <v>490</v>
      </c>
      <c r="N1" s="46" t="s">
        <v>491</v>
      </c>
      <c r="O1" s="46" t="s">
        <v>492</v>
      </c>
      <c r="P1" s="46" t="s">
        <v>493</v>
      </c>
      <c r="Q1" s="46" t="s">
        <v>494</v>
      </c>
      <c r="R1" s="46" t="s">
        <v>495</v>
      </c>
      <c r="S1" s="46" t="s">
        <v>496</v>
      </c>
      <c r="T1" s="46" t="s">
        <v>497</v>
      </c>
      <c r="U1" s="96" t="s">
        <v>574</v>
      </c>
      <c r="V1" s="246" t="s">
        <v>731</v>
      </c>
      <c r="W1" s="270" t="s">
        <v>732</v>
      </c>
      <c r="X1" s="270" t="s">
        <v>733</v>
      </c>
    </row>
    <row r="2" spans="1:24" x14ac:dyDescent="0.25">
      <c r="A2" s="46" t="s">
        <v>178</v>
      </c>
      <c r="B2" s="97">
        <f>28.78</f>
        <v>28.78</v>
      </c>
      <c r="C2" s="46" t="s">
        <v>377</v>
      </c>
      <c r="D2" s="46">
        <v>2546</v>
      </c>
      <c r="E2" s="46" t="s">
        <v>524</v>
      </c>
      <c r="F2" s="46" t="s">
        <v>543</v>
      </c>
      <c r="G2" s="46">
        <v>0</v>
      </c>
      <c r="H2" s="46">
        <v>0</v>
      </c>
      <c r="I2" s="46">
        <v>0</v>
      </c>
      <c r="J2" s="46">
        <v>0</v>
      </c>
      <c r="K2" s="46">
        <v>0</v>
      </c>
      <c r="L2" s="46">
        <v>5500.31</v>
      </c>
      <c r="M2" s="46">
        <v>13380.5</v>
      </c>
      <c r="N2" s="46">
        <v>1207.56</v>
      </c>
      <c r="O2" s="46">
        <v>0</v>
      </c>
      <c r="P2" s="46">
        <v>0</v>
      </c>
      <c r="Q2" s="46">
        <v>0</v>
      </c>
      <c r="R2" s="46">
        <v>0</v>
      </c>
      <c r="S2" s="46">
        <v>0</v>
      </c>
      <c r="T2" s="46">
        <v>6.58</v>
      </c>
      <c r="U2" s="46">
        <v>2331.37</v>
      </c>
      <c r="V2" s="245">
        <v>7702.77</v>
      </c>
      <c r="W2" s="270">
        <v>3318.39</v>
      </c>
      <c r="X2" s="270">
        <v>9810.2099999999991</v>
      </c>
    </row>
    <row r="3" spans="1:24" x14ac:dyDescent="0.25">
      <c r="A3" s="46" t="s">
        <v>179</v>
      </c>
      <c r="B3" s="97">
        <f>43.5</f>
        <v>43.5</v>
      </c>
      <c r="C3" s="46" t="s">
        <v>478</v>
      </c>
      <c r="D3" s="46">
        <v>1572</v>
      </c>
      <c r="E3" s="46" t="s">
        <v>524</v>
      </c>
      <c r="F3" s="46" t="s">
        <v>543</v>
      </c>
      <c r="G3" s="46">
        <v>4112.95</v>
      </c>
      <c r="H3" s="46">
        <v>1841.66</v>
      </c>
      <c r="I3" s="46">
        <v>3180.5</v>
      </c>
      <c r="J3" s="46">
        <v>5989.14</v>
      </c>
      <c r="K3" s="46">
        <v>9977.82</v>
      </c>
      <c r="L3" s="46">
        <v>2067.71</v>
      </c>
      <c r="M3" s="46">
        <v>190.66</v>
      </c>
      <c r="N3" s="46">
        <v>21.56</v>
      </c>
      <c r="O3" s="46">
        <v>35.86</v>
      </c>
      <c r="P3" s="46">
        <v>75.930000000000007</v>
      </c>
      <c r="Q3" s="46">
        <v>113.22</v>
      </c>
      <c r="R3" s="46">
        <v>1427.34</v>
      </c>
      <c r="S3" s="46">
        <v>5760.6</v>
      </c>
      <c r="T3" s="46">
        <v>22599.63</v>
      </c>
      <c r="U3" s="46">
        <v>19310.63</v>
      </c>
      <c r="V3" s="245">
        <v>19559.91</v>
      </c>
      <c r="W3" s="270">
        <v>10012.61</v>
      </c>
      <c r="X3" s="270">
        <v>6101.35</v>
      </c>
    </row>
    <row r="4" spans="1:24" x14ac:dyDescent="0.25">
      <c r="A4" s="46" t="s">
        <v>180</v>
      </c>
      <c r="B4" s="97">
        <f>27.2</f>
        <v>27.2</v>
      </c>
      <c r="C4" s="46" t="s">
        <v>479</v>
      </c>
      <c r="D4" s="46">
        <v>1413</v>
      </c>
      <c r="E4" s="46" t="s">
        <v>524</v>
      </c>
      <c r="F4" s="46" t="s">
        <v>543</v>
      </c>
      <c r="G4" s="46">
        <v>2790.66</v>
      </c>
      <c r="H4" s="46">
        <v>1234.8</v>
      </c>
      <c r="I4" s="46">
        <v>2107.46</v>
      </c>
      <c r="J4" s="46">
        <v>4259.13</v>
      </c>
      <c r="K4" s="46">
        <v>6218.66</v>
      </c>
      <c r="L4" s="46">
        <v>1444.76</v>
      </c>
      <c r="M4" s="46">
        <v>274</v>
      </c>
      <c r="N4" s="46">
        <v>21.17</v>
      </c>
      <c r="O4" s="46">
        <v>32.159999999999997</v>
      </c>
      <c r="P4" s="46">
        <v>44.53</v>
      </c>
      <c r="Q4" s="46">
        <v>67.95</v>
      </c>
      <c r="R4" s="46">
        <v>846.64</v>
      </c>
      <c r="S4" s="46">
        <v>3611.07</v>
      </c>
      <c r="T4" s="46">
        <v>14210.25</v>
      </c>
      <c r="U4" s="46">
        <v>12436.11</v>
      </c>
      <c r="V4" s="245">
        <v>12313.5</v>
      </c>
      <c r="W4" s="270">
        <v>6459.42</v>
      </c>
      <c r="X4" s="270">
        <v>4718.1099999999997</v>
      </c>
    </row>
    <row r="5" spans="1:24" x14ac:dyDescent="0.25">
      <c r="A5" s="46" t="s">
        <v>181</v>
      </c>
      <c r="B5" s="97">
        <f>4.6</f>
        <v>4.5999999999999996</v>
      </c>
      <c r="C5" s="46" t="s">
        <v>382</v>
      </c>
      <c r="D5" s="46">
        <v>1520</v>
      </c>
      <c r="E5" s="46" t="s">
        <v>524</v>
      </c>
      <c r="F5" s="46" t="s">
        <v>543</v>
      </c>
      <c r="G5" s="46">
        <v>0.7</v>
      </c>
      <c r="H5" s="46">
        <v>0</v>
      </c>
      <c r="I5" s="46">
        <v>0.09</v>
      </c>
      <c r="J5" s="46">
        <v>0</v>
      </c>
      <c r="K5" s="46">
        <v>738.24</v>
      </c>
      <c r="L5" s="46">
        <v>2088</v>
      </c>
      <c r="M5" s="46">
        <v>2228.27</v>
      </c>
      <c r="N5" s="46">
        <v>1414.19</v>
      </c>
      <c r="O5" s="46">
        <v>395.47</v>
      </c>
      <c r="P5" s="46">
        <v>0</v>
      </c>
      <c r="Q5" s="46">
        <v>0</v>
      </c>
      <c r="R5" s="46">
        <v>0</v>
      </c>
      <c r="S5" s="46">
        <v>0</v>
      </c>
      <c r="T5" s="46">
        <v>2554.7199999999998</v>
      </c>
      <c r="U5" s="46">
        <v>3232.96</v>
      </c>
      <c r="V5" s="245">
        <v>2691.38</v>
      </c>
      <c r="W5" s="270">
        <v>1032.8699999999999</v>
      </c>
      <c r="X5" s="270">
        <v>2663.15</v>
      </c>
    </row>
    <row r="6" spans="1:24" x14ac:dyDescent="0.25">
      <c r="A6" s="46" t="s">
        <v>182</v>
      </c>
      <c r="B6" s="97">
        <f>16</f>
        <v>16</v>
      </c>
      <c r="C6" s="46" t="s">
        <v>378</v>
      </c>
      <c r="D6" s="46">
        <v>2063</v>
      </c>
      <c r="E6" s="46">
        <v>73</v>
      </c>
      <c r="F6" s="46">
        <v>2027</v>
      </c>
      <c r="G6" s="46">
        <v>2886.91</v>
      </c>
      <c r="H6" s="46">
        <v>5328.16</v>
      </c>
      <c r="I6" s="46">
        <v>5371.33</v>
      </c>
      <c r="J6" s="46">
        <v>2561.39</v>
      </c>
      <c r="K6" s="46">
        <v>4034.37</v>
      </c>
      <c r="L6" s="46">
        <v>5696.46</v>
      </c>
      <c r="M6" s="46">
        <v>3310.95</v>
      </c>
      <c r="N6" s="46">
        <v>3778.34</v>
      </c>
      <c r="O6" s="46">
        <v>4144.1899999999996</v>
      </c>
      <c r="P6" s="46">
        <v>2718.5</v>
      </c>
      <c r="Q6" s="46">
        <v>3789.24</v>
      </c>
      <c r="R6" s="46">
        <v>3197.01</v>
      </c>
      <c r="S6" s="46">
        <v>5694.75</v>
      </c>
      <c r="T6" s="46">
        <v>4273.13</v>
      </c>
      <c r="U6" s="46">
        <v>4114.62</v>
      </c>
      <c r="V6" s="245">
        <v>2923.9</v>
      </c>
      <c r="W6" s="270">
        <v>3374.48</v>
      </c>
      <c r="X6" s="270">
        <v>3863.87</v>
      </c>
    </row>
    <row r="7" spans="1:24" x14ac:dyDescent="0.25">
      <c r="A7" s="46" t="s">
        <v>183</v>
      </c>
      <c r="B7" s="97">
        <f>15</f>
        <v>15</v>
      </c>
      <c r="C7" s="46" t="s">
        <v>381</v>
      </c>
      <c r="D7" s="46">
        <v>2040</v>
      </c>
      <c r="E7" s="46">
        <v>73</v>
      </c>
      <c r="F7" s="46">
        <v>2027</v>
      </c>
      <c r="G7" s="46">
        <v>2557.0100000000002</v>
      </c>
      <c r="H7" s="46">
        <v>4088.39</v>
      </c>
      <c r="I7" s="46">
        <v>4470.99</v>
      </c>
      <c r="J7" s="46">
        <v>2353.5100000000002</v>
      </c>
      <c r="K7" s="46">
        <v>3048.77</v>
      </c>
      <c r="L7" s="46">
        <v>4568.16</v>
      </c>
      <c r="M7" s="46">
        <v>2310.9699999999998</v>
      </c>
      <c r="N7" s="46">
        <v>3520.25</v>
      </c>
      <c r="O7" s="46">
        <v>3430.32</v>
      </c>
      <c r="P7" s="46">
        <v>2229.04</v>
      </c>
      <c r="Q7" s="46">
        <v>3408.56</v>
      </c>
      <c r="R7" s="46">
        <v>3124.05</v>
      </c>
      <c r="S7" s="46">
        <v>4465.22</v>
      </c>
      <c r="T7" s="46">
        <v>3932.48</v>
      </c>
      <c r="U7" s="46">
        <v>3718.34</v>
      </c>
      <c r="V7" s="245">
        <v>2438.5500000000002</v>
      </c>
      <c r="W7" s="270">
        <v>2701.51</v>
      </c>
      <c r="X7" s="270">
        <v>3363.24</v>
      </c>
    </row>
    <row r="8" spans="1:24" x14ac:dyDescent="0.25">
      <c r="A8" s="46" t="s">
        <v>184</v>
      </c>
      <c r="B8" s="97">
        <f>13.8</f>
        <v>13.8</v>
      </c>
      <c r="C8" s="46"/>
      <c r="D8" s="46"/>
      <c r="E8" s="46">
        <v>73</v>
      </c>
      <c r="F8" s="46">
        <v>2027</v>
      </c>
      <c r="G8" s="46"/>
      <c r="H8" s="46"/>
      <c r="I8" s="46"/>
      <c r="J8" s="46"/>
      <c r="K8" s="46"/>
      <c r="L8" s="46"/>
      <c r="M8" s="46"/>
      <c r="N8" s="46"/>
      <c r="O8" s="46"/>
      <c r="P8" s="46"/>
      <c r="Q8" s="46"/>
      <c r="R8" s="46"/>
      <c r="S8" s="46"/>
      <c r="T8" s="46"/>
      <c r="U8" s="46"/>
      <c r="V8" s="245"/>
      <c r="W8" s="270"/>
      <c r="X8" s="270"/>
    </row>
    <row r="9" spans="1:24" x14ac:dyDescent="0.25">
      <c r="A9" s="46" t="s">
        <v>185</v>
      </c>
      <c r="B9" s="97">
        <f>13</f>
        <v>13</v>
      </c>
      <c r="C9" s="46" t="s">
        <v>482</v>
      </c>
      <c r="D9" s="46">
        <v>2058</v>
      </c>
      <c r="E9" s="46">
        <v>73</v>
      </c>
      <c r="F9" s="46">
        <v>2027</v>
      </c>
      <c r="G9" s="46">
        <v>2817.81</v>
      </c>
      <c r="H9" s="46">
        <v>4471.57</v>
      </c>
      <c r="I9" s="46">
        <v>4305.13</v>
      </c>
      <c r="J9" s="46">
        <v>2703.03</v>
      </c>
      <c r="K9" s="46">
        <v>3323.35</v>
      </c>
      <c r="L9" s="46">
        <v>5517.05</v>
      </c>
      <c r="M9" s="46">
        <v>2982.42</v>
      </c>
      <c r="N9" s="46">
        <v>4221.21</v>
      </c>
      <c r="O9" s="46">
        <v>4180.5200000000004</v>
      </c>
      <c r="P9" s="46">
        <v>2768.02</v>
      </c>
      <c r="Q9" s="46">
        <v>3143.55</v>
      </c>
      <c r="R9" s="46">
        <v>3313.47</v>
      </c>
      <c r="S9" s="46">
        <v>5803.17</v>
      </c>
      <c r="T9" s="46">
        <v>4288.8</v>
      </c>
      <c r="U9" s="46">
        <v>4263.99</v>
      </c>
      <c r="V9" s="245">
        <v>3384.32</v>
      </c>
      <c r="W9" s="270">
        <v>3055.36</v>
      </c>
      <c r="X9" s="270">
        <v>3843.34</v>
      </c>
    </row>
    <row r="10" spans="1:24" x14ac:dyDescent="0.25">
      <c r="A10" s="46" t="s">
        <v>186</v>
      </c>
      <c r="B10" s="97">
        <f>10.8</f>
        <v>10.8</v>
      </c>
      <c r="C10" s="46" t="s">
        <v>379</v>
      </c>
      <c r="D10" s="46">
        <v>2050</v>
      </c>
      <c r="E10" s="46">
        <v>73</v>
      </c>
      <c r="F10" s="46">
        <v>2027</v>
      </c>
      <c r="G10" s="46">
        <v>2566.87</v>
      </c>
      <c r="H10" s="46">
        <v>3971.51</v>
      </c>
      <c r="I10" s="46">
        <v>3900.41</v>
      </c>
      <c r="J10" s="46">
        <v>2260.0300000000002</v>
      </c>
      <c r="K10" s="46">
        <v>3087.44</v>
      </c>
      <c r="L10" s="46">
        <v>3835.28</v>
      </c>
      <c r="M10" s="46">
        <v>2188.02</v>
      </c>
      <c r="N10" s="46">
        <v>3108.5</v>
      </c>
      <c r="O10" s="46">
        <v>3234.95</v>
      </c>
      <c r="P10" s="46">
        <v>2263.35</v>
      </c>
      <c r="Q10" s="46">
        <v>3081.71</v>
      </c>
      <c r="R10" s="46">
        <v>3097.53</v>
      </c>
      <c r="S10" s="46">
        <v>5334.81</v>
      </c>
      <c r="T10" s="46">
        <v>3909.75</v>
      </c>
      <c r="U10" s="46">
        <v>3412.8</v>
      </c>
      <c r="V10" s="245">
        <v>2512.37</v>
      </c>
      <c r="W10" s="270">
        <v>2729.15</v>
      </c>
      <c r="X10" s="270">
        <v>2883.63</v>
      </c>
    </row>
    <row r="11" spans="1:24" x14ac:dyDescent="0.25">
      <c r="A11" s="46" t="s">
        <v>187</v>
      </c>
      <c r="B11" s="97">
        <f>3.96</f>
        <v>3.96</v>
      </c>
      <c r="C11" s="46"/>
      <c r="D11" s="46">
        <v>2050</v>
      </c>
      <c r="E11" s="46">
        <v>133</v>
      </c>
      <c r="F11" s="46">
        <v>2028</v>
      </c>
      <c r="G11" s="46"/>
      <c r="H11" s="46"/>
      <c r="I11" s="46"/>
      <c r="J11" s="46"/>
      <c r="K11" s="46"/>
      <c r="L11" s="46"/>
      <c r="M11" s="46"/>
      <c r="N11" s="46"/>
      <c r="O11" s="46"/>
      <c r="P11" s="46"/>
      <c r="Q11" s="46"/>
      <c r="R11" s="46"/>
      <c r="S11" s="46"/>
      <c r="T11" s="46"/>
      <c r="U11" s="46"/>
      <c r="V11" s="245"/>
      <c r="W11" s="270"/>
      <c r="X11" s="270"/>
    </row>
    <row r="12" spans="1:24" x14ac:dyDescent="0.25">
      <c r="A12" s="46" t="s">
        <v>188</v>
      </c>
      <c r="B12" s="97">
        <f>3</f>
        <v>3</v>
      </c>
      <c r="C12" s="46"/>
      <c r="D12" s="46"/>
      <c r="E12" s="46">
        <v>133</v>
      </c>
      <c r="F12" s="46">
        <v>2030</v>
      </c>
      <c r="G12" s="46"/>
      <c r="H12" s="46"/>
      <c r="I12" s="46"/>
      <c r="J12" s="46"/>
      <c r="K12" s="46"/>
      <c r="L12" s="46"/>
      <c r="M12" s="46"/>
      <c r="N12" s="46"/>
      <c r="O12" s="46"/>
      <c r="P12" s="46"/>
      <c r="Q12" s="46"/>
      <c r="R12" s="46"/>
      <c r="S12" s="46"/>
      <c r="T12" s="46"/>
      <c r="U12" s="46"/>
      <c r="V12" s="245"/>
      <c r="W12" s="270"/>
      <c r="X12" s="270"/>
    </row>
    <row r="13" spans="1:24" x14ac:dyDescent="0.25">
      <c r="A13" s="46" t="s">
        <v>189</v>
      </c>
      <c r="B13" s="97">
        <f>1.98</f>
        <v>1.98</v>
      </c>
      <c r="C13" s="46"/>
      <c r="D13" s="46"/>
      <c r="E13" s="46">
        <v>133</v>
      </c>
      <c r="F13" s="46">
        <v>2028</v>
      </c>
      <c r="G13" s="46"/>
      <c r="H13" s="46"/>
      <c r="I13" s="46"/>
      <c r="J13" s="46"/>
      <c r="K13" s="46"/>
      <c r="L13" s="46"/>
      <c r="M13" s="46"/>
      <c r="N13" s="46"/>
      <c r="O13" s="46"/>
      <c r="P13" s="46"/>
      <c r="Q13" s="46"/>
      <c r="R13" s="46"/>
      <c r="S13" s="46"/>
      <c r="T13" s="46"/>
      <c r="U13" s="46"/>
      <c r="V13" s="245"/>
      <c r="W13" s="270"/>
      <c r="X13" s="270"/>
    </row>
    <row r="14" spans="1:24" x14ac:dyDescent="0.25">
      <c r="A14" s="46" t="s">
        <v>190</v>
      </c>
      <c r="B14" s="97">
        <f>7.5</f>
        <v>7.5</v>
      </c>
      <c r="C14" s="46" t="s">
        <v>380</v>
      </c>
      <c r="D14" s="46">
        <v>3016</v>
      </c>
      <c r="E14" s="46" t="s">
        <v>524</v>
      </c>
      <c r="F14" s="46"/>
      <c r="G14" s="46">
        <v>4246</v>
      </c>
      <c r="H14" s="46">
        <v>3920.6</v>
      </c>
      <c r="I14" s="46">
        <v>3924.8</v>
      </c>
      <c r="J14" s="46">
        <v>3757.9</v>
      </c>
      <c r="K14" s="46">
        <v>3549.2</v>
      </c>
      <c r="L14" s="46">
        <v>1495.7</v>
      </c>
      <c r="M14" s="46">
        <v>1646.8</v>
      </c>
      <c r="N14" s="46">
        <v>3179.4</v>
      </c>
      <c r="O14" s="46">
        <v>3896.2</v>
      </c>
      <c r="P14" s="46">
        <v>4318.6000000000004</v>
      </c>
      <c r="Q14" s="46">
        <v>4142.5</v>
      </c>
      <c r="R14" s="46">
        <v>4299.3</v>
      </c>
      <c r="S14" s="46">
        <v>4412.6000000000004</v>
      </c>
      <c r="T14" s="46">
        <v>4531.8999999999996</v>
      </c>
      <c r="U14" s="46">
        <v>5024.7</v>
      </c>
      <c r="V14" s="245">
        <v>4553.2</v>
      </c>
      <c r="W14" s="270">
        <v>4411.8999999999996</v>
      </c>
      <c r="X14" s="270">
        <v>3742</v>
      </c>
    </row>
    <row r="15" spans="1:24" x14ac:dyDescent="0.25">
      <c r="A15" s="46" t="s">
        <v>37</v>
      </c>
      <c r="B15" s="97">
        <f>SUM(B2:B14)</f>
        <v>189.12</v>
      </c>
      <c r="C15" s="46"/>
      <c r="D15" s="46"/>
      <c r="E15" s="46"/>
      <c r="F15" s="46"/>
      <c r="G15" s="46">
        <v>21978.91</v>
      </c>
      <c r="H15" s="46">
        <v>24856.69</v>
      </c>
      <c r="I15" s="46">
        <v>27260.71</v>
      </c>
      <c r="J15" s="46">
        <v>23884.13</v>
      </c>
      <c r="K15" s="46">
        <v>33977.85</v>
      </c>
      <c r="L15" s="46">
        <v>32213.43</v>
      </c>
      <c r="M15" s="46">
        <v>28512.59</v>
      </c>
      <c r="N15" s="46">
        <v>20472.18</v>
      </c>
      <c r="O15" s="46">
        <v>19349.669999999998</v>
      </c>
      <c r="P15" s="46">
        <v>14417.97</v>
      </c>
      <c r="Q15" s="46">
        <v>17746.73</v>
      </c>
      <c r="R15" s="46">
        <v>19305.34</v>
      </c>
      <c r="S15" s="46">
        <v>35082.22</v>
      </c>
      <c r="T15" s="46">
        <v>60307.24</v>
      </c>
      <c r="U15" s="46">
        <v>57845.52</v>
      </c>
      <c r="V15" s="245">
        <v>58079.9</v>
      </c>
      <c r="W15" s="270">
        <v>37095.69</v>
      </c>
      <c r="X15" s="270">
        <v>40988.9</v>
      </c>
    </row>
    <row r="16" spans="1:24" x14ac:dyDescent="0.25">
      <c r="A16" s="46"/>
      <c r="B16" s="46"/>
      <c r="C16" s="46"/>
      <c r="D16" s="46"/>
      <c r="E16" s="46"/>
      <c r="F16" s="46"/>
      <c r="G16" s="46"/>
      <c r="H16" s="46"/>
      <c r="I16" s="46"/>
      <c r="J16" s="46"/>
      <c r="K16" s="46"/>
      <c r="L16" s="46"/>
      <c r="M16" s="46"/>
      <c r="N16" s="46"/>
      <c r="O16" s="46"/>
      <c r="P16" s="46"/>
      <c r="Q16" s="46"/>
      <c r="R16" s="46"/>
      <c r="S16" s="46"/>
      <c r="T16" s="46"/>
      <c r="U16" s="46"/>
    </row>
    <row r="17" spans="1:25" x14ac:dyDescent="0.25">
      <c r="A17" s="47" t="s">
        <v>532</v>
      </c>
      <c r="S17" s="55">
        <f>(SUM(S2:S5)/SUM(G2:G5))-1</f>
        <v>0.35736518203846601</v>
      </c>
      <c r="T17" s="55">
        <f>(SUM(T2:T5)/SUM(H2:H5))-1</f>
        <v>11.797559532709675</v>
      </c>
      <c r="U17" s="55">
        <f>(SUM(U2:U5)/SUM(I2:I5))-1</f>
        <v>6.0557332097843251</v>
      </c>
      <c r="V17" s="55">
        <f t="shared" ref="V17:X17" si="0">(SUM(V2:V5)/SUM(J2:J5))-1</f>
        <v>3.1243605018212826</v>
      </c>
      <c r="W17" s="55">
        <f t="shared" si="0"/>
        <v>0.22962115700761498</v>
      </c>
      <c r="X17" s="55">
        <f t="shared" si="0"/>
        <v>1.0983048038065792</v>
      </c>
    </row>
    <row r="18" spans="1:25" x14ac:dyDescent="0.25">
      <c r="A18" s="47" t="s">
        <v>526</v>
      </c>
      <c r="S18" s="55"/>
      <c r="T18" s="55">
        <f>(SUM(S2:T5)/SUM(G2:H5))-1</f>
        <v>3.8836763095432518</v>
      </c>
      <c r="U18" s="55">
        <f>(SUM(S2:U5)/SUM(G2:I5))-1</f>
        <v>4.635924714548997</v>
      </c>
      <c r="V18" s="55">
        <f>(SUM(S2:V5)/SUM(G2:J5))-1</f>
        <v>4.028844590037501</v>
      </c>
      <c r="W18" s="55">
        <f>(SUM(S2:W5)/SUM(G2:K5))-1</f>
        <v>2.5132723433936044</v>
      </c>
      <c r="X18" s="55">
        <f>(SUM(S2:X5)/SUM(G2:L5))-1</f>
        <v>2.2199673255765973</v>
      </c>
    </row>
    <row r="19" spans="1:25" x14ac:dyDescent="0.25">
      <c r="A19" s="47" t="s">
        <v>531</v>
      </c>
      <c r="S19" s="55">
        <f>(SUM(S6:S7,S9:S10)/SUM(G6:G7,G9:G10))-1</f>
        <v>0.96682396616367794</v>
      </c>
      <c r="T19" s="55">
        <f>(SUM(T6:T7,T9:T10)/SUM(H6:H7,H9:H10))-1</f>
        <v>-8.1494969380664584E-2</v>
      </c>
      <c r="U19" s="55">
        <f>(SUM(U6:U7,U9:U10)/SUM(I6:I7,I9:I10))-1</f>
        <v>-0.14063218575498704</v>
      </c>
      <c r="V19" s="55">
        <f t="shared" ref="V19" si="1">(SUM(V6:V7,V9:V10)/SUM(J6:J7,J9:J10))-1</f>
        <v>0.13982441718735439</v>
      </c>
      <c r="W19" s="55">
        <f>(SUM(W6:W7,W9:W9)/SUM(K6:K7,K9:K10))-1</f>
        <v>-0.32329943908112757</v>
      </c>
      <c r="X19" s="55">
        <f>(SUM(X6:X7,X9:X9)/SUM(L6:L7,L9:L10))-1</f>
        <v>-0.43566915346167456</v>
      </c>
    </row>
    <row r="20" spans="1:25" x14ac:dyDescent="0.25">
      <c r="A20" s="47" t="s">
        <v>549</v>
      </c>
      <c r="S20" s="55"/>
      <c r="T20" s="55">
        <f>(SUM(S6:T7,S9:T10)/SUM(G6:H7,G9:H10))-1</f>
        <v>0.31420132925593558</v>
      </c>
      <c r="U20" s="55">
        <f>(SUM(S6:U7,S9:U10)/SUM(G6:I7,G9:I10))-1</f>
        <v>0.13856037165282742</v>
      </c>
      <c r="V20" s="55">
        <f>(SUM(S6:V7,S9:V10)/SUM(G6:J7,G9:J10))-1</f>
        <v>0.13878092099046091</v>
      </c>
      <c r="W20" s="55">
        <f>(SUM(S6:W7,S9:W10)/SUM(G6:K7,G9:K10))-1</f>
        <v>8.8770493744078527E-2</v>
      </c>
      <c r="X20" s="55">
        <f>(SUM(S6:X7,S9:X10)/SUM(G6:L7,G9:L10))-1</f>
        <v>6.2485420718634277E-3</v>
      </c>
    </row>
    <row r="21" spans="1:25" x14ac:dyDescent="0.25">
      <c r="A21" s="47" t="s">
        <v>542</v>
      </c>
      <c r="S21" s="55">
        <f>(S14/G14)-1</f>
        <v>3.9236928874234689E-2</v>
      </c>
      <c r="T21" s="55">
        <f>(T14/H14)-1</f>
        <v>0.15592001224302399</v>
      </c>
      <c r="U21" s="55">
        <f>(U14/I14)-1</f>
        <v>0.28024357929066435</v>
      </c>
      <c r="V21" s="55">
        <f t="shared" ref="V21:X21" si="2">(V14/J14)-1</f>
        <v>0.21163415737512969</v>
      </c>
      <c r="W21" s="55">
        <f t="shared" si="2"/>
        <v>0.24306886058830157</v>
      </c>
      <c r="X21" s="55">
        <f t="shared" si="2"/>
        <v>1.5018386039981277</v>
      </c>
    </row>
    <row r="22" spans="1:25" x14ac:dyDescent="0.25">
      <c r="A22" s="47" t="s">
        <v>544</v>
      </c>
      <c r="S22" s="55"/>
      <c r="T22" s="55">
        <f>(SUM(S14:T14)/SUM(G14:H14))-1</f>
        <v>9.5253838806847346E-2</v>
      </c>
      <c r="U22" s="55">
        <f>(SUM(S14:U14)/SUM(G14:I14))-1</f>
        <v>0.15530046148502241</v>
      </c>
      <c r="V22" s="55">
        <f>(SUM(S14:V14)/SUM(G14:J14))-1</f>
        <v>0.1686572908582713</v>
      </c>
      <c r="W22" s="55">
        <f>(SUM(S14:W14)/SUM(G14:K14))-1</f>
        <v>0.18227182514111928</v>
      </c>
      <c r="X22" s="55">
        <f>(SUM(S14:X14)/SUM(G14:L14))-1</f>
        <v>0.27673229891548856</v>
      </c>
    </row>
    <row r="23" spans="1:25" x14ac:dyDescent="0.25">
      <c r="A23" s="47" t="s">
        <v>529</v>
      </c>
      <c r="S23" s="55">
        <f>(S15/G15)-1</f>
        <v>0.59617651648785142</v>
      </c>
      <c r="T23" s="55">
        <f>(T15/H15)-1</f>
        <v>1.4261975347481908</v>
      </c>
      <c r="U23" s="55">
        <f>(U15/I15)-1</f>
        <v>1.1219373963480774</v>
      </c>
      <c r="V23" s="55">
        <f t="shared" ref="V23:X23" si="3">(V15/J15)-1</f>
        <v>1.4317360523494052</v>
      </c>
      <c r="W23" s="55">
        <f t="shared" si="3"/>
        <v>9.1760956034593333E-2</v>
      </c>
      <c r="X23" s="55">
        <f t="shared" si="3"/>
        <v>0.27241650454484367</v>
      </c>
    </row>
    <row r="24" spans="1:25" x14ac:dyDescent="0.25">
      <c r="A24" s="47" t="s">
        <v>530</v>
      </c>
      <c r="T24" s="55">
        <f>(SUM(S15:T15)/SUM(G15:H15))-1</f>
        <v>1.0366870500217784</v>
      </c>
      <c r="U24" s="55">
        <f>(SUM(S15:U15)/SUM(G15:I15))-1</f>
        <v>1.0680514319808907</v>
      </c>
      <c r="V24" s="55">
        <f>(SUM(S15:V15)/SUM(G15:J15))-1</f>
        <v>1.156704746375909</v>
      </c>
      <c r="W24" s="55">
        <f>(SUM(S15:W15)/SUM(G15:K15))-1</f>
        <v>0.88249309687174615</v>
      </c>
      <c r="X24" s="55">
        <f>(SUM(S15:X15)/SUM(G15:L15))-1</f>
        <v>0.76278514959823762</v>
      </c>
      <c r="Y24" s="55"/>
    </row>
    <row r="26" spans="1:25" x14ac:dyDescent="0.25">
      <c r="A26" s="119" t="s">
        <v>667</v>
      </c>
      <c r="B26" s="106" t="s">
        <v>683</v>
      </c>
      <c r="C26" s="106" t="s">
        <v>684</v>
      </c>
      <c r="D26" s="106" t="s">
        <v>685</v>
      </c>
      <c r="E26" s="106" t="s">
        <v>686</v>
      </c>
      <c r="F26" s="106" t="s">
        <v>687</v>
      </c>
      <c r="G26" s="120" t="s">
        <v>484</v>
      </c>
      <c r="H26" s="120" t="s">
        <v>485</v>
      </c>
      <c r="I26" s="120" t="s">
        <v>486</v>
      </c>
      <c r="J26" s="120" t="s">
        <v>487</v>
      </c>
      <c r="K26" s="120" t="s">
        <v>488</v>
      </c>
      <c r="L26" s="120" t="s">
        <v>489</v>
      </c>
      <c r="M26" s="120" t="s">
        <v>490</v>
      </c>
      <c r="N26" s="120" t="s">
        <v>491</v>
      </c>
      <c r="O26" s="120" t="s">
        <v>492</v>
      </c>
      <c r="P26" s="120" t="s">
        <v>493</v>
      </c>
      <c r="Q26" s="120" t="s">
        <v>494</v>
      </c>
      <c r="R26" s="120" t="s">
        <v>495</v>
      </c>
      <c r="S26" s="120" t="s">
        <v>496</v>
      </c>
      <c r="T26" s="120" t="s">
        <v>497</v>
      </c>
      <c r="U26" s="106" t="s">
        <v>574</v>
      </c>
      <c r="V26" s="272" t="s">
        <v>731</v>
      </c>
      <c r="W26" s="271" t="s">
        <v>732</v>
      </c>
      <c r="X26" s="271" t="s">
        <v>733</v>
      </c>
    </row>
    <row r="27" spans="1:25" x14ac:dyDescent="0.25">
      <c r="A27" s="120" t="s">
        <v>178</v>
      </c>
      <c r="B27" s="106"/>
      <c r="C27" s="106"/>
      <c r="D27" s="106"/>
      <c r="E27" s="106"/>
      <c r="F27" s="106"/>
      <c r="G27" s="106">
        <f t="shared" ref="G27:X27" si="4">G44*G2</f>
        <v>0</v>
      </c>
      <c r="H27" s="106">
        <f t="shared" si="4"/>
        <v>0</v>
      </c>
      <c r="I27" s="106">
        <f t="shared" si="4"/>
        <v>0</v>
      </c>
      <c r="J27" s="106">
        <f t="shared" si="4"/>
        <v>0</v>
      </c>
      <c r="K27" s="106">
        <f t="shared" si="4"/>
        <v>0</v>
      </c>
      <c r="L27" s="106">
        <f t="shared" si="4"/>
        <v>313242.65450000006</v>
      </c>
      <c r="M27" s="106">
        <f t="shared" si="4"/>
        <v>994973.98</v>
      </c>
      <c r="N27" s="106">
        <f t="shared" si="4"/>
        <v>87584.326799999995</v>
      </c>
      <c r="O27" s="106">
        <f t="shared" si="4"/>
        <v>0</v>
      </c>
      <c r="P27" s="106">
        <f t="shared" si="4"/>
        <v>0</v>
      </c>
      <c r="Q27" s="106">
        <f t="shared" si="4"/>
        <v>0</v>
      </c>
      <c r="R27" s="106">
        <f t="shared" si="4"/>
        <v>0</v>
      </c>
      <c r="S27" s="106">
        <f t="shared" si="4"/>
        <v>0</v>
      </c>
      <c r="T27" s="106">
        <f t="shared" si="4"/>
        <v>323.67019999999997</v>
      </c>
      <c r="U27" s="106">
        <f t="shared" si="4"/>
        <v>91459.645099999994</v>
      </c>
      <c r="V27" s="106">
        <f t="shared" ref="V27" si="5">V44*V2</f>
        <v>184558.36920000002</v>
      </c>
      <c r="W27" s="106">
        <f t="shared" si="4"/>
        <v>58304.112300000001</v>
      </c>
      <c r="X27" s="106">
        <f t="shared" si="4"/>
        <v>285280.90679999994</v>
      </c>
    </row>
    <row r="28" spans="1:25" x14ac:dyDescent="0.25">
      <c r="A28" s="120" t="s">
        <v>179</v>
      </c>
      <c r="B28" s="106"/>
      <c r="C28" s="106"/>
      <c r="D28" s="106"/>
      <c r="E28" s="106"/>
      <c r="F28" s="106"/>
      <c r="G28" s="106">
        <f t="shared" ref="G28:X28" si="6">G44*G3</f>
        <v>294651.73800000001</v>
      </c>
      <c r="H28" s="106">
        <f t="shared" si="6"/>
        <v>128050.61980000001</v>
      </c>
      <c r="I28" s="106">
        <f t="shared" si="6"/>
        <v>190066.68</v>
      </c>
      <c r="J28" s="106">
        <f t="shared" si="6"/>
        <v>392528.23560000007</v>
      </c>
      <c r="K28" s="106">
        <f t="shared" si="6"/>
        <v>638879.81460000004</v>
      </c>
      <c r="L28" s="106">
        <f t="shared" si="6"/>
        <v>117756.08450000001</v>
      </c>
      <c r="M28" s="106">
        <f t="shared" si="6"/>
        <v>14177.4776</v>
      </c>
      <c r="N28" s="106">
        <f t="shared" si="6"/>
        <v>1563.7467999999999</v>
      </c>
      <c r="O28" s="106">
        <f t="shared" si="6"/>
        <v>2407.2817999999997</v>
      </c>
      <c r="P28" s="106">
        <f t="shared" si="6"/>
        <v>5032.6404000000002</v>
      </c>
      <c r="Q28" s="106">
        <f t="shared" si="6"/>
        <v>7561.9638000000004</v>
      </c>
      <c r="R28" s="106">
        <f t="shared" si="6"/>
        <v>100770.20399999998</v>
      </c>
      <c r="S28" s="106">
        <f t="shared" si="6"/>
        <v>391720.80000000005</v>
      </c>
      <c r="T28" s="106">
        <f t="shared" si="6"/>
        <v>1111675.7997000001</v>
      </c>
      <c r="U28" s="106">
        <f t="shared" si="6"/>
        <v>757556.01489999995</v>
      </c>
      <c r="V28" s="106">
        <f t="shared" si="6"/>
        <v>468655.4436</v>
      </c>
      <c r="W28" s="106">
        <f t="shared" si="6"/>
        <v>175921.5577</v>
      </c>
      <c r="X28" s="106">
        <f t="shared" si="6"/>
        <v>177427.258</v>
      </c>
    </row>
    <row r="29" spans="1:25" x14ac:dyDescent="0.25">
      <c r="A29" s="120" t="s">
        <v>180</v>
      </c>
      <c r="B29" s="106"/>
      <c r="C29" s="106"/>
      <c r="D29" s="106"/>
      <c r="E29" s="106"/>
      <c r="F29" s="106"/>
      <c r="G29" s="106">
        <f t="shared" ref="G29:X29" si="7">G44*G4</f>
        <v>199922.8824</v>
      </c>
      <c r="H29" s="106">
        <f t="shared" si="7"/>
        <v>85855.644</v>
      </c>
      <c r="I29" s="106">
        <f t="shared" si="7"/>
        <v>125941.80959999999</v>
      </c>
      <c r="J29" s="106">
        <f t="shared" si="7"/>
        <v>279143.38020000001</v>
      </c>
      <c r="K29" s="106">
        <f t="shared" si="7"/>
        <v>398180.79979999998</v>
      </c>
      <c r="L29" s="106">
        <f t="shared" si="7"/>
        <v>82279.082000000009</v>
      </c>
      <c r="M29" s="106">
        <f t="shared" si="7"/>
        <v>20374.64</v>
      </c>
      <c r="N29" s="106">
        <f t="shared" si="7"/>
        <v>1535.4601000000002</v>
      </c>
      <c r="O29" s="106">
        <f t="shared" si="7"/>
        <v>2158.9007999999994</v>
      </c>
      <c r="P29" s="106">
        <f t="shared" si="7"/>
        <v>2951.4484000000002</v>
      </c>
      <c r="Q29" s="106">
        <f t="shared" si="7"/>
        <v>4538.3805000000002</v>
      </c>
      <c r="R29" s="106">
        <f t="shared" si="7"/>
        <v>59772.783999999992</v>
      </c>
      <c r="S29" s="106">
        <f t="shared" si="7"/>
        <v>245552.76</v>
      </c>
      <c r="T29" s="106">
        <f t="shared" si="7"/>
        <v>699002.19750000001</v>
      </c>
      <c r="U29" s="106">
        <f t="shared" si="7"/>
        <v>487868.59529999999</v>
      </c>
      <c r="V29" s="106">
        <f t="shared" si="7"/>
        <v>295031.46000000002</v>
      </c>
      <c r="W29" s="106">
        <f t="shared" si="7"/>
        <v>113492.00940000001</v>
      </c>
      <c r="X29" s="106">
        <f t="shared" si="7"/>
        <v>137202.63879999999</v>
      </c>
    </row>
    <row r="30" spans="1:25" x14ac:dyDescent="0.25">
      <c r="A30" s="120" t="s">
        <v>181</v>
      </c>
      <c r="B30" s="106"/>
      <c r="C30" s="106"/>
      <c r="D30" s="106"/>
      <c r="E30" s="106"/>
      <c r="F30" s="106"/>
      <c r="G30" s="106">
        <f t="shared" ref="G30:X30" si="8">G44*G5</f>
        <v>50.147999999999996</v>
      </c>
      <c r="H30" s="106">
        <f t="shared" si="8"/>
        <v>0</v>
      </c>
      <c r="I30" s="106">
        <f t="shared" si="8"/>
        <v>5.3783999999999992</v>
      </c>
      <c r="J30" s="106">
        <f t="shared" si="8"/>
        <v>0</v>
      </c>
      <c r="K30" s="106">
        <f t="shared" si="8"/>
        <v>47269.5072</v>
      </c>
      <c r="L30" s="106">
        <f t="shared" si="8"/>
        <v>118911.6</v>
      </c>
      <c r="M30" s="106">
        <f t="shared" si="8"/>
        <v>165694.15719999999</v>
      </c>
      <c r="N30" s="106">
        <f t="shared" si="8"/>
        <v>102571.2007</v>
      </c>
      <c r="O30" s="106">
        <f t="shared" si="8"/>
        <v>26547.901099999999</v>
      </c>
      <c r="P30" s="106">
        <f t="shared" si="8"/>
        <v>0</v>
      </c>
      <c r="Q30" s="106">
        <f t="shared" si="8"/>
        <v>0</v>
      </c>
      <c r="R30" s="106">
        <f t="shared" si="8"/>
        <v>0</v>
      </c>
      <c r="S30" s="106">
        <f t="shared" si="8"/>
        <v>0</v>
      </c>
      <c r="T30" s="106">
        <f t="shared" si="8"/>
        <v>125666.67679999999</v>
      </c>
      <c r="U30" s="106">
        <f t="shared" si="8"/>
        <v>126829.0208</v>
      </c>
      <c r="V30" s="106">
        <f t="shared" si="8"/>
        <v>64485.464800000002</v>
      </c>
      <c r="W30" s="106">
        <f t="shared" si="8"/>
        <v>18147.525899999997</v>
      </c>
      <c r="X30" s="106">
        <f t="shared" si="8"/>
        <v>77444.402000000002</v>
      </c>
    </row>
    <row r="31" spans="1:25" x14ac:dyDescent="0.25">
      <c r="A31" s="120" t="s">
        <v>182</v>
      </c>
      <c r="B31" s="106"/>
      <c r="C31" s="106"/>
      <c r="D31" s="106"/>
      <c r="E31" s="106"/>
      <c r="F31" s="106"/>
      <c r="G31" s="106">
        <f t="shared" ref="G31:X31" si="9">$E$6*G6</f>
        <v>210744.43</v>
      </c>
      <c r="H31" s="106">
        <f t="shared" si="9"/>
        <v>388955.68</v>
      </c>
      <c r="I31" s="106">
        <f t="shared" si="9"/>
        <v>392107.08999999997</v>
      </c>
      <c r="J31" s="106">
        <f t="shared" si="9"/>
        <v>186981.47</v>
      </c>
      <c r="K31" s="106">
        <f t="shared" si="9"/>
        <v>294509.01</v>
      </c>
      <c r="L31" s="106">
        <f t="shared" si="9"/>
        <v>415841.58</v>
      </c>
      <c r="M31" s="106">
        <f t="shared" si="9"/>
        <v>241699.34999999998</v>
      </c>
      <c r="N31" s="106">
        <f t="shared" si="9"/>
        <v>275818.82</v>
      </c>
      <c r="O31" s="106">
        <f t="shared" si="9"/>
        <v>302525.87</v>
      </c>
      <c r="P31" s="106">
        <f t="shared" si="9"/>
        <v>198450.5</v>
      </c>
      <c r="Q31" s="106">
        <f t="shared" si="9"/>
        <v>276614.51999999996</v>
      </c>
      <c r="R31" s="106">
        <f t="shared" si="9"/>
        <v>233381.73</v>
      </c>
      <c r="S31" s="106">
        <f t="shared" si="9"/>
        <v>415716.75</v>
      </c>
      <c r="T31" s="106">
        <f t="shared" si="9"/>
        <v>311938.49</v>
      </c>
      <c r="U31" s="106">
        <f t="shared" si="9"/>
        <v>300367.26</v>
      </c>
      <c r="V31" s="106">
        <f t="shared" si="9"/>
        <v>213444.7</v>
      </c>
      <c r="W31" s="106">
        <f t="shared" si="9"/>
        <v>246337.04</v>
      </c>
      <c r="X31" s="106">
        <f t="shared" si="9"/>
        <v>282062.51</v>
      </c>
    </row>
    <row r="32" spans="1:25" x14ac:dyDescent="0.25">
      <c r="A32" s="120" t="s">
        <v>183</v>
      </c>
      <c r="B32" s="106"/>
      <c r="C32" s="106"/>
      <c r="D32" s="106"/>
      <c r="E32" s="106"/>
      <c r="F32" s="106"/>
      <c r="G32" s="106">
        <f t="shared" ref="G32:X32" si="10">$E$7*G7</f>
        <v>186661.73</v>
      </c>
      <c r="H32" s="106">
        <f t="shared" si="10"/>
        <v>298452.46999999997</v>
      </c>
      <c r="I32" s="106">
        <f t="shared" si="10"/>
        <v>326382.26999999996</v>
      </c>
      <c r="J32" s="106">
        <f t="shared" si="10"/>
        <v>171806.23</v>
      </c>
      <c r="K32" s="106">
        <f t="shared" si="10"/>
        <v>222560.21</v>
      </c>
      <c r="L32" s="106">
        <f t="shared" si="10"/>
        <v>333475.68</v>
      </c>
      <c r="M32" s="106">
        <f t="shared" si="10"/>
        <v>168700.81</v>
      </c>
      <c r="N32" s="106">
        <f t="shared" si="10"/>
        <v>256978.25</v>
      </c>
      <c r="O32" s="106">
        <f t="shared" si="10"/>
        <v>250413.36000000002</v>
      </c>
      <c r="P32" s="106">
        <f t="shared" si="10"/>
        <v>162719.91999999998</v>
      </c>
      <c r="Q32" s="106">
        <f t="shared" si="10"/>
        <v>248824.88</v>
      </c>
      <c r="R32" s="106">
        <f t="shared" si="10"/>
        <v>228055.65000000002</v>
      </c>
      <c r="S32" s="106">
        <f t="shared" si="10"/>
        <v>325961.06</v>
      </c>
      <c r="T32" s="106">
        <f t="shared" si="10"/>
        <v>287071.03999999998</v>
      </c>
      <c r="U32" s="106">
        <f t="shared" si="10"/>
        <v>271438.82</v>
      </c>
      <c r="V32" s="106">
        <f t="shared" si="10"/>
        <v>178014.15000000002</v>
      </c>
      <c r="W32" s="106">
        <f t="shared" si="10"/>
        <v>197210.23</v>
      </c>
      <c r="X32" s="106">
        <f t="shared" si="10"/>
        <v>245516.52</v>
      </c>
    </row>
    <row r="33" spans="1:24" x14ac:dyDescent="0.25">
      <c r="A33" s="120" t="s">
        <v>185</v>
      </c>
      <c r="B33" s="106"/>
      <c r="C33" s="106"/>
      <c r="D33" s="106"/>
      <c r="E33" s="106"/>
      <c r="F33" s="106"/>
      <c r="G33" s="106">
        <f t="shared" ref="G33:X33" si="11">$E$9*G9</f>
        <v>205700.13</v>
      </c>
      <c r="H33" s="106">
        <f t="shared" si="11"/>
        <v>326424.61</v>
      </c>
      <c r="I33" s="106">
        <f t="shared" si="11"/>
        <v>314274.49</v>
      </c>
      <c r="J33" s="106">
        <f t="shared" si="11"/>
        <v>197321.19</v>
      </c>
      <c r="K33" s="106">
        <f t="shared" si="11"/>
        <v>242604.55</v>
      </c>
      <c r="L33" s="106">
        <f t="shared" si="11"/>
        <v>402744.65</v>
      </c>
      <c r="M33" s="106">
        <f t="shared" si="11"/>
        <v>217716.66</v>
      </c>
      <c r="N33" s="106">
        <f t="shared" si="11"/>
        <v>308148.33</v>
      </c>
      <c r="O33" s="106">
        <f t="shared" si="11"/>
        <v>305177.96000000002</v>
      </c>
      <c r="P33" s="106">
        <f t="shared" si="11"/>
        <v>202065.46</v>
      </c>
      <c r="Q33" s="106">
        <f t="shared" si="11"/>
        <v>229479.15000000002</v>
      </c>
      <c r="R33" s="106">
        <f t="shared" si="11"/>
        <v>241883.31</v>
      </c>
      <c r="S33" s="106">
        <f t="shared" si="11"/>
        <v>423631.41000000003</v>
      </c>
      <c r="T33" s="106">
        <f t="shared" si="11"/>
        <v>313082.40000000002</v>
      </c>
      <c r="U33" s="106">
        <f t="shared" si="11"/>
        <v>311271.26999999996</v>
      </c>
      <c r="V33" s="106">
        <f t="shared" si="11"/>
        <v>247055.36000000002</v>
      </c>
      <c r="W33" s="106">
        <f t="shared" si="11"/>
        <v>223041.28</v>
      </c>
      <c r="X33" s="106">
        <f t="shared" si="11"/>
        <v>280563.82</v>
      </c>
    </row>
    <row r="34" spans="1:24" x14ac:dyDescent="0.25">
      <c r="A34" s="120" t="s">
        <v>186</v>
      </c>
      <c r="B34" s="106"/>
      <c r="C34" s="106"/>
      <c r="D34" s="106"/>
      <c r="E34" s="106"/>
      <c r="F34" s="106"/>
      <c r="G34" s="106">
        <f t="shared" ref="G34:X34" si="12">$E$10*G10</f>
        <v>187381.50999999998</v>
      </c>
      <c r="H34" s="106">
        <f t="shared" si="12"/>
        <v>289920.23000000004</v>
      </c>
      <c r="I34" s="106">
        <f t="shared" si="12"/>
        <v>284729.93</v>
      </c>
      <c r="J34" s="106">
        <f t="shared" si="12"/>
        <v>164982.19</v>
      </c>
      <c r="K34" s="106">
        <f t="shared" si="12"/>
        <v>225383.12</v>
      </c>
      <c r="L34" s="106">
        <f t="shared" si="12"/>
        <v>279975.44</v>
      </c>
      <c r="M34" s="106">
        <f t="shared" si="12"/>
        <v>159725.46</v>
      </c>
      <c r="N34" s="106">
        <f t="shared" si="12"/>
        <v>226920.5</v>
      </c>
      <c r="O34" s="106">
        <f t="shared" si="12"/>
        <v>236151.34999999998</v>
      </c>
      <c r="P34" s="106">
        <f t="shared" si="12"/>
        <v>165224.54999999999</v>
      </c>
      <c r="Q34" s="106">
        <f t="shared" si="12"/>
        <v>224964.83000000002</v>
      </c>
      <c r="R34" s="106">
        <f t="shared" si="12"/>
        <v>226119.69</v>
      </c>
      <c r="S34" s="106">
        <f t="shared" si="12"/>
        <v>389441.13</v>
      </c>
      <c r="T34" s="106">
        <f t="shared" si="12"/>
        <v>285411.75</v>
      </c>
      <c r="U34" s="106">
        <f t="shared" si="12"/>
        <v>249134.40000000002</v>
      </c>
      <c r="V34" s="106">
        <f t="shared" si="12"/>
        <v>183403.00999999998</v>
      </c>
      <c r="W34" s="106">
        <f t="shared" si="12"/>
        <v>199227.95</v>
      </c>
      <c r="X34" s="106">
        <f t="shared" si="12"/>
        <v>210504.99000000002</v>
      </c>
    </row>
    <row r="35" spans="1:24" x14ac:dyDescent="0.25">
      <c r="A35" s="120" t="s">
        <v>190</v>
      </c>
      <c r="B35" s="106"/>
      <c r="C35" s="106"/>
      <c r="D35" s="106"/>
      <c r="E35" s="106"/>
      <c r="F35" s="106"/>
      <c r="G35" s="106">
        <f t="shared" ref="G35:X35" si="13">G44*G14</f>
        <v>304183.44</v>
      </c>
      <c r="H35" s="106">
        <f t="shared" si="13"/>
        <v>272599.31799999997</v>
      </c>
      <c r="I35" s="106">
        <f t="shared" si="13"/>
        <v>234546.04800000001</v>
      </c>
      <c r="J35" s="106">
        <f t="shared" si="13"/>
        <v>246292.76600000003</v>
      </c>
      <c r="K35" s="106">
        <f t="shared" si="13"/>
        <v>227255.27599999998</v>
      </c>
      <c r="L35" s="106">
        <f t="shared" si="13"/>
        <v>85180.115000000005</v>
      </c>
      <c r="M35" s="106">
        <f t="shared" si="13"/>
        <v>122456.048</v>
      </c>
      <c r="N35" s="106">
        <f t="shared" si="13"/>
        <v>230601.88200000001</v>
      </c>
      <c r="O35" s="106">
        <f t="shared" si="13"/>
        <v>261551.90599999996</v>
      </c>
      <c r="P35" s="106">
        <f t="shared" si="13"/>
        <v>286236.80800000002</v>
      </c>
      <c r="Q35" s="106">
        <f t="shared" si="13"/>
        <v>276677.57500000001</v>
      </c>
      <c r="R35" s="106">
        <f t="shared" si="13"/>
        <v>303530.58</v>
      </c>
      <c r="S35" s="106">
        <f t="shared" si="13"/>
        <v>300056.80000000005</v>
      </c>
      <c r="T35" s="106">
        <f t="shared" si="13"/>
        <v>222924.16099999996</v>
      </c>
      <c r="U35" s="106">
        <f t="shared" si="13"/>
        <v>197118.98099999997</v>
      </c>
      <c r="V35" s="106">
        <f t="shared" si="13"/>
        <v>109094.67200000001</v>
      </c>
      <c r="W35" s="106">
        <f t="shared" si="13"/>
        <v>77517.082999999999</v>
      </c>
      <c r="X35" s="106">
        <f t="shared" si="13"/>
        <v>108817.36</v>
      </c>
    </row>
    <row r="36" spans="1:24" x14ac:dyDescent="0.25">
      <c r="A36" s="121" t="s">
        <v>37</v>
      </c>
      <c r="B36" s="106"/>
      <c r="C36" s="106"/>
      <c r="D36" s="106"/>
      <c r="E36" s="106"/>
      <c r="F36" s="106"/>
      <c r="G36" s="106">
        <f>SUM(G27:G35)</f>
        <v>1589296.0083999999</v>
      </c>
      <c r="H36" s="106">
        <f t="shared" ref="H36:X36" si="14">SUM(H27:H35)</f>
        <v>1790258.5718</v>
      </c>
      <c r="I36" s="106">
        <f t="shared" si="14"/>
        <v>1868053.6959999998</v>
      </c>
      <c r="J36" s="106">
        <f t="shared" si="14"/>
        <v>1639055.4617999999</v>
      </c>
      <c r="K36" s="106">
        <f t="shared" si="14"/>
        <v>2296642.2876000004</v>
      </c>
      <c r="L36" s="106">
        <f t="shared" si="14"/>
        <v>2149406.8860000004</v>
      </c>
      <c r="M36" s="106">
        <f t="shared" si="14"/>
        <v>2105518.5828</v>
      </c>
      <c r="N36" s="106">
        <f t="shared" si="14"/>
        <v>1491722.5164000001</v>
      </c>
      <c r="O36" s="106">
        <f t="shared" si="14"/>
        <v>1386934.5296999998</v>
      </c>
      <c r="P36" s="106">
        <f t="shared" si="14"/>
        <v>1022681.3267999999</v>
      </c>
      <c r="Q36" s="106">
        <f t="shared" si="14"/>
        <v>1268661.2992999998</v>
      </c>
      <c r="R36" s="106">
        <f t="shared" si="14"/>
        <v>1393513.9480000001</v>
      </c>
      <c r="S36" s="106">
        <f t="shared" si="14"/>
        <v>2492080.71</v>
      </c>
      <c r="T36" s="106">
        <f t="shared" si="14"/>
        <v>3357096.1852000002</v>
      </c>
      <c r="U36" s="106">
        <f t="shared" si="14"/>
        <v>2793044.0071</v>
      </c>
      <c r="V36" s="106">
        <f t="shared" si="14"/>
        <v>1943742.6295999999</v>
      </c>
      <c r="W36" s="106">
        <f t="shared" si="14"/>
        <v>1309198.7883000001</v>
      </c>
      <c r="X36" s="106">
        <f t="shared" si="14"/>
        <v>1804820.4055999999</v>
      </c>
    </row>
    <row r="37" spans="1:24" x14ac:dyDescent="0.25">
      <c r="A37" s="98"/>
      <c r="B37" s="60"/>
      <c r="C37" s="60"/>
      <c r="D37" s="60"/>
      <c r="E37" s="60"/>
      <c r="F37" s="60"/>
      <c r="G37" s="60"/>
      <c r="H37" s="60"/>
      <c r="I37" s="60"/>
      <c r="J37" s="60"/>
      <c r="K37" s="60"/>
      <c r="L37" s="60"/>
      <c r="M37" s="60"/>
      <c r="N37" s="60"/>
      <c r="O37" s="60"/>
    </row>
    <row r="38" spans="1:24" x14ac:dyDescent="0.25">
      <c r="A38" s="47" t="s">
        <v>676</v>
      </c>
      <c r="I38" s="106">
        <f>SUM(G36:I36)</f>
        <v>5247608.2761999993</v>
      </c>
      <c r="J38" s="106"/>
      <c r="K38" s="106"/>
      <c r="L38" s="106">
        <f>SUM(J36:L36)</f>
        <v>6085104.635400001</v>
      </c>
      <c r="M38" s="106"/>
      <c r="N38" s="106"/>
      <c r="O38" s="106">
        <f>SUM(M36:O36)</f>
        <v>4984175.6288999999</v>
      </c>
      <c r="P38" s="106"/>
      <c r="Q38" s="106"/>
      <c r="R38" s="106">
        <f>SUM(P36:R36)</f>
        <v>3684856.5740999999</v>
      </c>
      <c r="S38" s="106"/>
      <c r="T38" s="106"/>
      <c r="U38" s="106">
        <f>SUM(S36:U36)</f>
        <v>8642220.9023000002</v>
      </c>
      <c r="X38" s="106">
        <f>SUM(V36:X36)</f>
        <v>5057761.8234999999</v>
      </c>
    </row>
    <row r="39" spans="1:24" x14ac:dyDescent="0.25">
      <c r="A39" s="47" t="s">
        <v>677</v>
      </c>
      <c r="L39" s="55">
        <f>(L38/I38)-1</f>
        <v>0.15959582253850435</v>
      </c>
      <c r="M39" s="55"/>
      <c r="N39" s="55"/>
      <c r="O39" s="55">
        <f>(O38/L38)-1</f>
        <v>-0.18092195162846725</v>
      </c>
      <c r="P39" s="55"/>
      <c r="Q39" s="55"/>
      <c r="R39" s="55">
        <f>(R38/O38)-1</f>
        <v>-0.26068885840741485</v>
      </c>
      <c r="S39" s="55"/>
      <c r="T39" s="55"/>
      <c r="U39" s="55">
        <f>(U38/R38)-1</f>
        <v>1.3453344054268386</v>
      </c>
      <c r="X39" s="55">
        <f>(X38/U38)-1</f>
        <v>-0.41476133499966994</v>
      </c>
    </row>
    <row r="40" spans="1:24" x14ac:dyDescent="0.25">
      <c r="A40" s="47" t="s">
        <v>678</v>
      </c>
      <c r="L40" s="55"/>
      <c r="M40" s="55"/>
      <c r="N40" s="55"/>
      <c r="O40" s="55"/>
      <c r="P40" s="55"/>
      <c r="Q40" s="55"/>
      <c r="R40" s="55"/>
      <c r="S40" s="55"/>
      <c r="T40" s="55"/>
      <c r="U40" s="55">
        <f>(U38/I38)-1</f>
        <v>0.64688758143322667</v>
      </c>
      <c r="X40" s="55">
        <f>(X38/L38)-1</f>
        <v>-0.16882911198000616</v>
      </c>
    </row>
    <row r="43" spans="1:24" x14ac:dyDescent="0.25">
      <c r="A43" s="25" t="s">
        <v>576</v>
      </c>
      <c r="B43" s="25"/>
      <c r="C43" s="25"/>
      <c r="D43" s="25"/>
      <c r="E43" s="25"/>
      <c r="F43" s="25"/>
      <c r="G43" s="25" t="s">
        <v>484</v>
      </c>
      <c r="H43" s="25" t="s">
        <v>485</v>
      </c>
      <c r="I43" s="25" t="s">
        <v>486</v>
      </c>
      <c r="J43" s="25" t="s">
        <v>487</v>
      </c>
      <c r="K43" s="25" t="s">
        <v>488</v>
      </c>
      <c r="L43" s="25" t="s">
        <v>489</v>
      </c>
      <c r="M43" s="25" t="s">
        <v>490</v>
      </c>
      <c r="N43" s="25" t="s">
        <v>491</v>
      </c>
      <c r="O43" s="25" t="s">
        <v>492</v>
      </c>
      <c r="P43" s="25" t="s">
        <v>493</v>
      </c>
      <c r="Q43" s="25" t="s">
        <v>494</v>
      </c>
      <c r="R43" s="25" t="s">
        <v>495</v>
      </c>
      <c r="S43" s="25" t="s">
        <v>496</v>
      </c>
      <c r="T43" s="25" t="s">
        <v>497</v>
      </c>
      <c r="U43" s="25" t="s">
        <v>574</v>
      </c>
      <c r="V43" s="25" t="s">
        <v>731</v>
      </c>
      <c r="W43" s="25" t="s">
        <v>732</v>
      </c>
      <c r="X43" s="25" t="s">
        <v>733</v>
      </c>
    </row>
    <row r="44" spans="1:24" x14ac:dyDescent="0.25">
      <c r="A44" s="24" t="s">
        <v>573</v>
      </c>
      <c r="B44" s="25"/>
      <c r="C44" s="25"/>
      <c r="D44" s="25"/>
      <c r="E44" s="25"/>
      <c r="F44" s="25"/>
      <c r="G44" s="62">
        <f>PTF!B8</f>
        <v>71.64</v>
      </c>
      <c r="H44" s="62">
        <f>PTF!C8</f>
        <v>69.53</v>
      </c>
      <c r="I44" s="62">
        <f>PTF!D8</f>
        <v>59.76</v>
      </c>
      <c r="J44" s="62">
        <f>PTF!E8</f>
        <v>65.540000000000006</v>
      </c>
      <c r="K44" s="62">
        <f>PTF!F8</f>
        <v>64.03</v>
      </c>
      <c r="L44" s="62">
        <f>PTF!G8</f>
        <v>56.95</v>
      </c>
      <c r="M44" s="62">
        <f>PTF!H8</f>
        <v>74.36</v>
      </c>
      <c r="N44" s="62">
        <f>PTF!I8</f>
        <v>72.53</v>
      </c>
      <c r="O44" s="62">
        <f>PTF!J8</f>
        <v>67.13</v>
      </c>
      <c r="P44" s="62">
        <f>PTF!K8</f>
        <v>66.28</v>
      </c>
      <c r="Q44" s="62">
        <f>PTF!L8</f>
        <v>66.790000000000006</v>
      </c>
      <c r="R44" s="62">
        <f>PTF!M8</f>
        <v>70.599999999999994</v>
      </c>
      <c r="S44" s="62">
        <f>PTF!N8</f>
        <v>68</v>
      </c>
      <c r="T44" s="62">
        <f>PTF!O8</f>
        <v>49.19</v>
      </c>
      <c r="U44" s="62">
        <f>PTF!P8</f>
        <v>39.229999999999997</v>
      </c>
      <c r="V44" s="62">
        <f>PTF!Q8</f>
        <v>23.96</v>
      </c>
      <c r="W44" s="62">
        <f>PTF!R8</f>
        <v>17.57</v>
      </c>
      <c r="X44" s="62">
        <f>PTF!S8</f>
        <v>29.08</v>
      </c>
    </row>
    <row r="46" spans="1:24" x14ac:dyDescent="0.25">
      <c r="A46" s="119" t="s">
        <v>681</v>
      </c>
      <c r="B46" s="106" t="s">
        <v>683</v>
      </c>
      <c r="C46" s="106" t="s">
        <v>684</v>
      </c>
      <c r="D46" s="106" t="s">
        <v>685</v>
      </c>
      <c r="E46" s="106" t="s">
        <v>686</v>
      </c>
      <c r="F46" s="106" t="s">
        <v>687</v>
      </c>
      <c r="G46" s="120" t="s">
        <v>484</v>
      </c>
      <c r="H46" s="120" t="s">
        <v>485</v>
      </c>
      <c r="I46" s="120" t="s">
        <v>486</v>
      </c>
      <c r="J46" s="120" t="s">
        <v>487</v>
      </c>
      <c r="K46" s="120" t="s">
        <v>488</v>
      </c>
      <c r="L46" s="120" t="s">
        <v>489</v>
      </c>
      <c r="M46" s="120" t="s">
        <v>490</v>
      </c>
      <c r="N46" s="120" t="s">
        <v>491</v>
      </c>
      <c r="O46" s="120" t="s">
        <v>492</v>
      </c>
      <c r="P46" s="120" t="s">
        <v>493</v>
      </c>
      <c r="Q46" s="120" t="s">
        <v>494</v>
      </c>
      <c r="R46" s="120" t="s">
        <v>495</v>
      </c>
      <c r="S46" s="120" t="s">
        <v>496</v>
      </c>
      <c r="T46" s="120" t="s">
        <v>497</v>
      </c>
      <c r="U46" s="106" t="s">
        <v>574</v>
      </c>
      <c r="V46" s="272" t="s">
        <v>731</v>
      </c>
      <c r="W46" s="271" t="s">
        <v>732</v>
      </c>
      <c r="X46" s="271" t="s">
        <v>733</v>
      </c>
    </row>
    <row r="47" spans="1:24" x14ac:dyDescent="0.25">
      <c r="A47" s="120" t="s">
        <v>178</v>
      </c>
      <c r="B47" s="106"/>
      <c r="C47" s="106"/>
      <c r="D47" s="106"/>
      <c r="E47" s="106"/>
      <c r="F47" s="106"/>
      <c r="G47" s="106">
        <f>$G$63*G27</f>
        <v>0</v>
      </c>
      <c r="H47" s="106">
        <f>$H$63*H27</f>
        <v>0</v>
      </c>
      <c r="I47" s="106">
        <f>$I$63*I27</f>
        <v>0</v>
      </c>
      <c r="J47" s="106">
        <f>$J$63*J27</f>
        <v>0</v>
      </c>
      <c r="K47" s="106">
        <f>$K$63*K27</f>
        <v>0</v>
      </c>
      <c r="L47" s="106">
        <f>$L$63*L27</f>
        <v>12332363.307665002</v>
      </c>
      <c r="M47" s="106">
        <f>$M$63*M27</f>
        <v>39938255.5572</v>
      </c>
      <c r="N47" s="106">
        <f>$N$63*N27</f>
        <v>3569061.3170999996</v>
      </c>
      <c r="O47" s="106">
        <f>$O$63*O27</f>
        <v>0</v>
      </c>
      <c r="P47" s="106">
        <f>$P$63*P27</f>
        <v>0</v>
      </c>
      <c r="Q47" s="106">
        <f>$Q$63*Q27</f>
        <v>0</v>
      </c>
      <c r="R47" s="106">
        <f>$R$63*R27</f>
        <v>0</v>
      </c>
      <c r="S47" s="106">
        <f>$S$63*S27</f>
        <v>0</v>
      </c>
      <c r="T47" s="106">
        <f>$T$63*T27</f>
        <v>14115.257421999999</v>
      </c>
      <c r="U47" s="106">
        <f>$U$63*U27</f>
        <v>4033370.3489099997</v>
      </c>
      <c r="V47" s="106">
        <f t="shared" ref="V47:X47" si="15">$U$63*V27</f>
        <v>8139024.0817200011</v>
      </c>
      <c r="W47" s="106">
        <f t="shared" si="15"/>
        <v>2571211.35243</v>
      </c>
      <c r="X47" s="106">
        <f t="shared" si="15"/>
        <v>12580887.989879997</v>
      </c>
    </row>
    <row r="48" spans="1:24" x14ac:dyDescent="0.25">
      <c r="A48" s="120" t="s">
        <v>179</v>
      </c>
      <c r="B48" s="106"/>
      <c r="C48" s="106"/>
      <c r="D48" s="106"/>
      <c r="E48" s="106"/>
      <c r="F48" s="106"/>
      <c r="G48" s="106">
        <f t="shared" ref="G48:G55" si="16">$G$63*G28</f>
        <v>10454243.664239999</v>
      </c>
      <c r="H48" s="106">
        <f t="shared" ref="H48:H55" si="17">$H$63*H28</f>
        <v>4625188.3871760005</v>
      </c>
      <c r="I48" s="106">
        <f t="shared" ref="I48:I55" si="18">$I$63*I28</f>
        <v>7040069.8271999992</v>
      </c>
      <c r="J48" s="106">
        <f t="shared" ref="J48:J55" si="19">$J$63*J28</f>
        <v>14935699.364580002</v>
      </c>
      <c r="K48" s="106">
        <f t="shared" ref="K48:K55" si="20">$K$63*K28</f>
        <v>24737426.421312001</v>
      </c>
      <c r="L48" s="106">
        <f t="shared" ref="L48:L55" si="21">$L$63*L28</f>
        <v>4636057.0467650006</v>
      </c>
      <c r="M48" s="106">
        <f t="shared" ref="M48:M55" si="22">$M$63*M28</f>
        <v>569083.95086400001</v>
      </c>
      <c r="N48" s="106">
        <f t="shared" ref="N48:N55" si="23">$N$63*N28</f>
        <v>63722.682099999998</v>
      </c>
      <c r="O48" s="106">
        <f t="shared" ref="O48:O55" si="24">$O$63*O28</f>
        <v>99276.301431999993</v>
      </c>
      <c r="P48" s="106">
        <f t="shared" ref="P48:P55" si="25">$P$63*P28</f>
        <v>210112.73670000001</v>
      </c>
      <c r="Q48" s="106">
        <f t="shared" ref="Q48:Q55" si="26">$Q$63*Q28</f>
        <v>319114.87236000004</v>
      </c>
      <c r="R48" s="106">
        <f t="shared" ref="R48:R55" si="27">$R$63*R28</f>
        <v>4293818.3924399996</v>
      </c>
      <c r="S48" s="106">
        <f t="shared" ref="S48:S55" si="28">$S$63*S28</f>
        <v>16898835.312000003</v>
      </c>
      <c r="T48" s="106">
        <f t="shared" ref="T48:T55" si="29">$T$63*T28</f>
        <v>48480181.624917001</v>
      </c>
      <c r="U48" s="106">
        <f t="shared" ref="U48:X55" si="30">$U$63*U28</f>
        <v>33408220.257089999</v>
      </c>
      <c r="V48" s="106">
        <f t="shared" si="30"/>
        <v>20667705.062759999</v>
      </c>
      <c r="W48" s="106">
        <f t="shared" si="30"/>
        <v>7758140.6945700003</v>
      </c>
      <c r="X48" s="106">
        <f t="shared" si="30"/>
        <v>7824542.0778000001</v>
      </c>
    </row>
    <row r="49" spans="1:24" x14ac:dyDescent="0.25">
      <c r="A49" s="120" t="s">
        <v>180</v>
      </c>
      <c r="B49" s="106"/>
      <c r="C49" s="106"/>
      <c r="D49" s="106"/>
      <c r="E49" s="106"/>
      <c r="F49" s="106"/>
      <c r="G49" s="106">
        <f t="shared" si="16"/>
        <v>7093263.8675519992</v>
      </c>
      <c r="H49" s="106">
        <f t="shared" si="17"/>
        <v>3101105.8612799998</v>
      </c>
      <c r="I49" s="106">
        <f t="shared" si="18"/>
        <v>4664884.6275839992</v>
      </c>
      <c r="J49" s="106">
        <f t="shared" si="19"/>
        <v>10621405.61661</v>
      </c>
      <c r="K49" s="106">
        <f t="shared" si="20"/>
        <v>15417560.568255998</v>
      </c>
      <c r="L49" s="106">
        <f t="shared" si="21"/>
        <v>3239327.4583400004</v>
      </c>
      <c r="M49" s="106">
        <f t="shared" si="22"/>
        <v>817838.04960000003</v>
      </c>
      <c r="N49" s="106">
        <f t="shared" si="23"/>
        <v>62569.999075000007</v>
      </c>
      <c r="O49" s="106">
        <f t="shared" si="24"/>
        <v>89033.068991999986</v>
      </c>
      <c r="P49" s="106">
        <f t="shared" si="25"/>
        <v>123222.97070000001</v>
      </c>
      <c r="Q49" s="106">
        <f t="shared" si="26"/>
        <v>191519.65710000001</v>
      </c>
      <c r="R49" s="106">
        <f t="shared" si="27"/>
        <v>2546918.3262399998</v>
      </c>
      <c r="S49" s="106">
        <f t="shared" si="28"/>
        <v>10593146.066400001</v>
      </c>
      <c r="T49" s="106">
        <f t="shared" si="29"/>
        <v>30483485.832975</v>
      </c>
      <c r="U49" s="106">
        <f t="shared" si="30"/>
        <v>21515005.052730002</v>
      </c>
      <c r="V49" s="106">
        <f t="shared" si="30"/>
        <v>13010887.386000002</v>
      </c>
      <c r="W49" s="106">
        <f t="shared" si="30"/>
        <v>5004997.6145400004</v>
      </c>
      <c r="X49" s="106">
        <f t="shared" si="30"/>
        <v>6050636.37108</v>
      </c>
    </row>
    <row r="50" spans="1:24" x14ac:dyDescent="0.25">
      <c r="A50" s="120" t="s">
        <v>181</v>
      </c>
      <c r="B50" s="106"/>
      <c r="C50" s="106"/>
      <c r="D50" s="106"/>
      <c r="E50" s="106"/>
      <c r="F50" s="106"/>
      <c r="G50" s="106">
        <f t="shared" si="16"/>
        <v>1779.2510399999996</v>
      </c>
      <c r="H50" s="106">
        <f t="shared" si="17"/>
        <v>0</v>
      </c>
      <c r="I50" s="106">
        <f t="shared" si="18"/>
        <v>199.21593599999997</v>
      </c>
      <c r="J50" s="106">
        <f t="shared" si="19"/>
        <v>0</v>
      </c>
      <c r="K50" s="106">
        <f t="shared" si="20"/>
        <v>1830275.3187839999</v>
      </c>
      <c r="L50" s="106">
        <f t="shared" si="21"/>
        <v>4681549.6919999998</v>
      </c>
      <c r="M50" s="106">
        <f t="shared" si="22"/>
        <v>6650963.4700079998</v>
      </c>
      <c r="N50" s="106">
        <f t="shared" si="23"/>
        <v>4179776.4285249999</v>
      </c>
      <c r="O50" s="106">
        <f t="shared" si="24"/>
        <v>1094835.4413640001</v>
      </c>
      <c r="P50" s="106">
        <f t="shared" si="25"/>
        <v>0</v>
      </c>
      <c r="Q50" s="106">
        <f t="shared" si="26"/>
        <v>0</v>
      </c>
      <c r="R50" s="106">
        <f t="shared" si="27"/>
        <v>0</v>
      </c>
      <c r="S50" s="106">
        <f t="shared" si="28"/>
        <v>0</v>
      </c>
      <c r="T50" s="106">
        <f t="shared" si="29"/>
        <v>5480323.7752479995</v>
      </c>
      <c r="U50" s="106">
        <f t="shared" si="30"/>
        <v>5593159.8172800001</v>
      </c>
      <c r="V50" s="106">
        <f t="shared" si="30"/>
        <v>2843808.99768</v>
      </c>
      <c r="W50" s="106">
        <f t="shared" si="30"/>
        <v>800305.89218999993</v>
      </c>
      <c r="X50" s="106">
        <f t="shared" si="30"/>
        <v>3415298.1282000002</v>
      </c>
    </row>
    <row r="51" spans="1:24" x14ac:dyDescent="0.25">
      <c r="A51" s="120" t="s">
        <v>182</v>
      </c>
      <c r="B51" s="106"/>
      <c r="C51" s="106"/>
      <c r="D51" s="106"/>
      <c r="E51" s="106"/>
      <c r="F51" s="106"/>
      <c r="G51" s="106">
        <f t="shared" si="16"/>
        <v>7477212.3763999995</v>
      </c>
      <c r="H51" s="106">
        <f t="shared" si="17"/>
        <v>14049079.161599999</v>
      </c>
      <c r="I51" s="106">
        <f t="shared" si="18"/>
        <v>14523646.613599999</v>
      </c>
      <c r="J51" s="106">
        <f t="shared" si="19"/>
        <v>7114644.9334999993</v>
      </c>
      <c r="K51" s="106">
        <f t="shared" si="20"/>
        <v>11403388.8672</v>
      </c>
      <c r="L51" s="106">
        <f t="shared" si="21"/>
        <v>16371683.0046</v>
      </c>
      <c r="M51" s="106">
        <f t="shared" si="22"/>
        <v>9701811.909</v>
      </c>
      <c r="N51" s="106">
        <f t="shared" si="23"/>
        <v>11239616.915000001</v>
      </c>
      <c r="O51" s="106">
        <f t="shared" si="24"/>
        <v>12476166.878800001</v>
      </c>
      <c r="P51" s="106">
        <f t="shared" si="25"/>
        <v>8285308.375</v>
      </c>
      <c r="Q51" s="106">
        <f t="shared" si="26"/>
        <v>11673132.743999999</v>
      </c>
      <c r="R51" s="106">
        <f t="shared" si="27"/>
        <v>9944395.5153000001</v>
      </c>
      <c r="S51" s="106">
        <f t="shared" si="28"/>
        <v>17934020.594999999</v>
      </c>
      <c r="T51" s="106">
        <f t="shared" si="29"/>
        <v>13603637.548899999</v>
      </c>
      <c r="U51" s="106">
        <f t="shared" si="30"/>
        <v>13246196.166000001</v>
      </c>
      <c r="V51" s="106">
        <f t="shared" si="30"/>
        <v>9412911.2700000014</v>
      </c>
      <c r="W51" s="106">
        <f t="shared" si="30"/>
        <v>10863463.464000002</v>
      </c>
      <c r="X51" s="106">
        <f t="shared" si="30"/>
        <v>12438956.691000002</v>
      </c>
    </row>
    <row r="52" spans="1:24" x14ac:dyDescent="0.25">
      <c r="A52" s="120" t="s">
        <v>183</v>
      </c>
      <c r="B52" s="106"/>
      <c r="C52" s="106"/>
      <c r="D52" s="106"/>
      <c r="E52" s="106"/>
      <c r="F52" s="106"/>
      <c r="G52" s="106">
        <f t="shared" si="16"/>
        <v>6622758.1804</v>
      </c>
      <c r="H52" s="106">
        <f t="shared" si="17"/>
        <v>10780103.216399997</v>
      </c>
      <c r="I52" s="106">
        <f t="shared" si="18"/>
        <v>12089199.280799998</v>
      </c>
      <c r="J52" s="106">
        <f t="shared" si="19"/>
        <v>6537227.0515000001</v>
      </c>
      <c r="K52" s="106">
        <f t="shared" si="20"/>
        <v>8617531.3311999999</v>
      </c>
      <c r="L52" s="106">
        <f t="shared" si="21"/>
        <v>13128937.521599999</v>
      </c>
      <c r="M52" s="106">
        <f t="shared" si="22"/>
        <v>6771650.5133999996</v>
      </c>
      <c r="N52" s="106">
        <f t="shared" si="23"/>
        <v>10471863.6875</v>
      </c>
      <c r="O52" s="106">
        <f t="shared" si="24"/>
        <v>10327046.966400001</v>
      </c>
      <c r="P52" s="106">
        <f t="shared" si="25"/>
        <v>6793556.6599999992</v>
      </c>
      <c r="Q52" s="106">
        <f t="shared" si="26"/>
        <v>10500409.936000001</v>
      </c>
      <c r="R52" s="106">
        <f t="shared" si="27"/>
        <v>9717451.2465000004</v>
      </c>
      <c r="S52" s="106">
        <f t="shared" si="28"/>
        <v>14061960.1284</v>
      </c>
      <c r="T52" s="106">
        <f t="shared" si="29"/>
        <v>12519168.054399999</v>
      </c>
      <c r="U52" s="106">
        <f t="shared" si="30"/>
        <v>11970451.962000001</v>
      </c>
      <c r="V52" s="106">
        <f t="shared" si="30"/>
        <v>7850424.0150000015</v>
      </c>
      <c r="W52" s="106">
        <f t="shared" si="30"/>
        <v>8696971.1430000011</v>
      </c>
      <c r="X52" s="106">
        <f t="shared" si="30"/>
        <v>10827278.532</v>
      </c>
    </row>
    <row r="53" spans="1:24" x14ac:dyDescent="0.25">
      <c r="A53" s="120" t="s">
        <v>185</v>
      </c>
      <c r="B53" s="106"/>
      <c r="C53" s="106"/>
      <c r="D53" s="106"/>
      <c r="E53" s="106"/>
      <c r="F53" s="106"/>
      <c r="G53" s="106">
        <f t="shared" si="16"/>
        <v>7298240.6124</v>
      </c>
      <c r="H53" s="106">
        <f t="shared" si="17"/>
        <v>11790456.913199998</v>
      </c>
      <c r="I53" s="106">
        <f t="shared" si="18"/>
        <v>11640727.1096</v>
      </c>
      <c r="J53" s="106">
        <f t="shared" si="19"/>
        <v>7508071.2794999992</v>
      </c>
      <c r="K53" s="106">
        <f t="shared" si="20"/>
        <v>9393648.175999999</v>
      </c>
      <c r="L53" s="106">
        <f t="shared" si="21"/>
        <v>15856056.8705</v>
      </c>
      <c r="M53" s="106">
        <f t="shared" si="22"/>
        <v>8739146.7324000001</v>
      </c>
      <c r="N53" s="106">
        <f t="shared" si="23"/>
        <v>12557044.4475</v>
      </c>
      <c r="O53" s="106">
        <f t="shared" si="24"/>
        <v>12585539.070400001</v>
      </c>
      <c r="P53" s="106">
        <f t="shared" si="25"/>
        <v>8436232.9550000001</v>
      </c>
      <c r="Q53" s="106">
        <f t="shared" si="26"/>
        <v>9684020.1300000008</v>
      </c>
      <c r="R53" s="106">
        <f t="shared" si="27"/>
        <v>10306647.8391</v>
      </c>
      <c r="S53" s="106">
        <f t="shared" si="28"/>
        <v>18275459.027400002</v>
      </c>
      <c r="T53" s="106">
        <f t="shared" si="29"/>
        <v>13653523.464000002</v>
      </c>
      <c r="U53" s="106">
        <f t="shared" si="30"/>
        <v>13727063.006999999</v>
      </c>
      <c r="V53" s="106">
        <f t="shared" si="30"/>
        <v>10895141.376</v>
      </c>
      <c r="W53" s="106">
        <f t="shared" si="30"/>
        <v>9836120.4480000008</v>
      </c>
      <c r="X53" s="106">
        <f t="shared" si="30"/>
        <v>12372864.462000001</v>
      </c>
    </row>
    <row r="54" spans="1:24" x14ac:dyDescent="0.25">
      <c r="A54" s="120" t="s">
        <v>186</v>
      </c>
      <c r="B54" s="106"/>
      <c r="C54" s="106"/>
      <c r="D54" s="106"/>
      <c r="E54" s="106"/>
      <c r="F54" s="106"/>
      <c r="G54" s="106">
        <f t="shared" si="16"/>
        <v>6648295.974799999</v>
      </c>
      <c r="H54" s="106">
        <f t="shared" si="17"/>
        <v>10471918.707600001</v>
      </c>
      <c r="I54" s="106">
        <f t="shared" si="18"/>
        <v>10546396.607199999</v>
      </c>
      <c r="J54" s="106">
        <f t="shared" si="19"/>
        <v>6277572.3295</v>
      </c>
      <c r="K54" s="106">
        <f t="shared" si="20"/>
        <v>8726834.4063999988</v>
      </c>
      <c r="L54" s="106">
        <f t="shared" si="21"/>
        <v>11022633.072799999</v>
      </c>
      <c r="M54" s="106">
        <f t="shared" si="22"/>
        <v>6411379.9643999999</v>
      </c>
      <c r="N54" s="106">
        <f t="shared" si="23"/>
        <v>9247010.375</v>
      </c>
      <c r="O54" s="106">
        <f t="shared" si="24"/>
        <v>9738881.6739999987</v>
      </c>
      <c r="P54" s="106">
        <f t="shared" si="25"/>
        <v>6898124.9624999994</v>
      </c>
      <c r="Q54" s="106">
        <f t="shared" si="26"/>
        <v>9493515.8260000013</v>
      </c>
      <c r="R54" s="106">
        <f t="shared" si="27"/>
        <v>9634959.9909000006</v>
      </c>
      <c r="S54" s="106">
        <f t="shared" si="28"/>
        <v>16800490.348200001</v>
      </c>
      <c r="T54" s="106">
        <f t="shared" si="29"/>
        <v>12446806.4175</v>
      </c>
      <c r="U54" s="106">
        <f t="shared" si="30"/>
        <v>10986827.040000001</v>
      </c>
      <c r="V54" s="106">
        <f t="shared" si="30"/>
        <v>8088072.7409999995</v>
      </c>
      <c r="W54" s="106">
        <f t="shared" si="30"/>
        <v>8785952.5950000007</v>
      </c>
      <c r="X54" s="106">
        <f t="shared" si="30"/>
        <v>9283270.0590000004</v>
      </c>
    </row>
    <row r="55" spans="1:24" x14ac:dyDescent="0.25">
      <c r="A55" s="120" t="s">
        <v>190</v>
      </c>
      <c r="B55" s="106"/>
      <c r="C55" s="106"/>
      <c r="D55" s="106"/>
      <c r="E55" s="106"/>
      <c r="F55" s="106"/>
      <c r="G55" s="106">
        <f t="shared" si="16"/>
        <v>10792428.451199999</v>
      </c>
      <c r="H55" s="106">
        <f t="shared" si="17"/>
        <v>9846287.3661599979</v>
      </c>
      <c r="I55" s="106">
        <f t="shared" si="18"/>
        <v>8687585.6179200001</v>
      </c>
      <c r="J55" s="106">
        <f t="shared" si="19"/>
        <v>9371439.7463000007</v>
      </c>
      <c r="K55" s="106">
        <f t="shared" si="20"/>
        <v>8799324.2867199983</v>
      </c>
      <c r="L55" s="106">
        <f t="shared" si="21"/>
        <v>3353541.1275499999</v>
      </c>
      <c r="M55" s="106">
        <f t="shared" si="22"/>
        <v>4915385.7667199997</v>
      </c>
      <c r="N55" s="106">
        <f t="shared" si="23"/>
        <v>9397026.6915000007</v>
      </c>
      <c r="O55" s="106">
        <f t="shared" si="24"/>
        <v>10786400.60344</v>
      </c>
      <c r="P55" s="106">
        <f t="shared" si="25"/>
        <v>11950386.734000001</v>
      </c>
      <c r="Q55" s="106">
        <f t="shared" si="26"/>
        <v>11675793.665000001</v>
      </c>
      <c r="R55" s="106">
        <f t="shared" si="27"/>
        <v>12933438.013800001</v>
      </c>
      <c r="S55" s="106">
        <f t="shared" si="28"/>
        <v>12944450.352000002</v>
      </c>
      <c r="T55" s="106">
        <f t="shared" si="29"/>
        <v>9721722.6612099987</v>
      </c>
      <c r="U55" s="106">
        <f t="shared" si="30"/>
        <v>8692947.0620999988</v>
      </c>
      <c r="V55" s="106">
        <f t="shared" si="30"/>
        <v>4811075.0352000007</v>
      </c>
      <c r="W55" s="106">
        <f t="shared" si="30"/>
        <v>3418503.3602999998</v>
      </c>
      <c r="X55" s="106">
        <f t="shared" si="30"/>
        <v>4798845.5760000004</v>
      </c>
    </row>
    <row r="56" spans="1:24" x14ac:dyDescent="0.25">
      <c r="A56" s="121" t="s">
        <v>37</v>
      </c>
      <c r="B56" s="106"/>
      <c r="C56" s="106"/>
      <c r="D56" s="106"/>
      <c r="E56" s="106"/>
      <c r="F56" s="106"/>
      <c r="G56" s="106">
        <f>SUM(G47:G55)</f>
        <v>56388222.378031999</v>
      </c>
      <c r="H56" s="106">
        <f t="shared" ref="H56:X56" si="31">SUM(H47:H55)</f>
        <v>64664139.613415994</v>
      </c>
      <c r="I56" s="106">
        <f t="shared" si="31"/>
        <v>69192708.899839997</v>
      </c>
      <c r="J56" s="106">
        <f t="shared" si="31"/>
        <v>62366060.321490005</v>
      </c>
      <c r="K56" s="106">
        <f t="shared" si="31"/>
        <v>88925989.375871986</v>
      </c>
      <c r="L56" s="106">
        <f t="shared" si="31"/>
        <v>84622149.101820007</v>
      </c>
      <c r="M56" s="106">
        <f t="shared" si="31"/>
        <v>84515515.913591996</v>
      </c>
      <c r="N56" s="106">
        <f t="shared" si="31"/>
        <v>60787692.543300003</v>
      </c>
      <c r="O56" s="106">
        <f t="shared" si="31"/>
        <v>57197180.004828006</v>
      </c>
      <c r="P56" s="106">
        <f t="shared" si="31"/>
        <v>42696945.393899992</v>
      </c>
      <c r="Q56" s="106">
        <f t="shared" si="31"/>
        <v>53537506.830460005</v>
      </c>
      <c r="R56" s="106">
        <f t="shared" si="31"/>
        <v>59377629.324280009</v>
      </c>
      <c r="S56" s="106">
        <f t="shared" si="31"/>
        <v>107508361.8294</v>
      </c>
      <c r="T56" s="106">
        <f t="shared" si="31"/>
        <v>146402964.636572</v>
      </c>
      <c r="U56" s="106">
        <f t="shared" si="31"/>
        <v>123173240.71311</v>
      </c>
      <c r="V56" s="106">
        <f t="shared" si="31"/>
        <v>85719049.965360001</v>
      </c>
      <c r="W56" s="106">
        <f t="shared" si="31"/>
        <v>57735666.564029999</v>
      </c>
      <c r="X56" s="106">
        <f t="shared" si="31"/>
        <v>79592579.88696</v>
      </c>
    </row>
    <row r="58" spans="1:24" x14ac:dyDescent="0.25">
      <c r="A58" s="47" t="s">
        <v>676</v>
      </c>
      <c r="I58" s="106">
        <f>SUM(G56:I56)</f>
        <v>190245070.89128798</v>
      </c>
      <c r="J58" s="106"/>
      <c r="K58" s="106"/>
      <c r="L58" s="106">
        <f>SUM(J56:L56)</f>
        <v>235914198.799182</v>
      </c>
      <c r="M58" s="106"/>
      <c r="N58" s="106"/>
      <c r="O58" s="106">
        <f>SUM(M56:O56)</f>
        <v>202500388.46172002</v>
      </c>
      <c r="P58" s="106"/>
      <c r="Q58" s="106"/>
      <c r="R58" s="106">
        <f>SUM(P56:R56)</f>
        <v>155612081.54864001</v>
      </c>
      <c r="S58" s="106"/>
      <c r="T58" s="106"/>
      <c r="U58" s="106">
        <f>SUM(S56:U56)</f>
        <v>377084567.17908204</v>
      </c>
      <c r="X58" s="106">
        <f>SUM(V56:X56)</f>
        <v>223047296.41635001</v>
      </c>
    </row>
    <row r="59" spans="1:24" x14ac:dyDescent="0.25">
      <c r="A59" s="47" t="s">
        <v>677</v>
      </c>
      <c r="L59" s="55">
        <f>(L58/I58)-1</f>
        <v>0.24005419795601846</v>
      </c>
      <c r="M59" s="55"/>
      <c r="N59" s="55"/>
      <c r="O59" s="55">
        <f>(O58/L58)-1</f>
        <v>-0.14163543571154413</v>
      </c>
      <c r="P59" s="55"/>
      <c r="Q59" s="55"/>
      <c r="R59" s="55">
        <f>(R58/O58)-1</f>
        <v>-0.2315467504495361</v>
      </c>
      <c r="S59" s="55"/>
      <c r="T59" s="55"/>
      <c r="U59" s="55">
        <f>(U58/R58)-1</f>
        <v>1.4232345164100635</v>
      </c>
      <c r="X59" s="55">
        <f>(X58/U58)-1</f>
        <v>-0.40849529301892074</v>
      </c>
    </row>
    <row r="60" spans="1:24" x14ac:dyDescent="0.25">
      <c r="A60" s="47" t="s">
        <v>678</v>
      </c>
      <c r="L60" s="55"/>
      <c r="M60" s="55"/>
      <c r="N60" s="55"/>
      <c r="O60" s="55"/>
      <c r="P60" s="55"/>
      <c r="Q60" s="55"/>
      <c r="R60" s="55"/>
      <c r="S60" s="55"/>
      <c r="T60" s="55"/>
      <c r="U60" s="55">
        <f>(U58/I58)-1</f>
        <v>0.98209901267066213</v>
      </c>
      <c r="X60" s="55">
        <f>(X58/L58)-1</f>
        <v>-5.4540601830349034E-2</v>
      </c>
    </row>
    <row r="62" spans="1:24" x14ac:dyDescent="0.25">
      <c r="A62" s="25" t="s">
        <v>578</v>
      </c>
      <c r="B62" s="25"/>
      <c r="C62" s="25"/>
      <c r="D62" s="25"/>
      <c r="E62" s="25"/>
      <c r="F62" s="25"/>
      <c r="G62" s="25" t="s">
        <v>484</v>
      </c>
      <c r="H62" s="25" t="s">
        <v>485</v>
      </c>
      <c r="I62" s="25" t="s">
        <v>486</v>
      </c>
      <c r="J62" s="25" t="s">
        <v>487</v>
      </c>
      <c r="K62" s="25" t="s">
        <v>488</v>
      </c>
      <c r="L62" s="25" t="s">
        <v>489</v>
      </c>
      <c r="M62" s="25" t="s">
        <v>490</v>
      </c>
      <c r="N62" s="25" t="s">
        <v>491</v>
      </c>
      <c r="O62" s="25" t="s">
        <v>492</v>
      </c>
      <c r="P62" s="25" t="s">
        <v>493</v>
      </c>
      <c r="Q62" s="25" t="s">
        <v>494</v>
      </c>
      <c r="R62" s="25" t="s">
        <v>495</v>
      </c>
      <c r="S62" s="25" t="s">
        <v>496</v>
      </c>
      <c r="T62" s="25" t="s">
        <v>497</v>
      </c>
      <c r="U62" s="25" t="s">
        <v>574</v>
      </c>
      <c r="V62" s="25" t="s">
        <v>731</v>
      </c>
      <c r="W62" s="25" t="s">
        <v>732</v>
      </c>
      <c r="X62" s="25" t="s">
        <v>733</v>
      </c>
    </row>
    <row r="63" spans="1:24" x14ac:dyDescent="0.25">
      <c r="A63" s="25" t="s">
        <v>576</v>
      </c>
      <c r="B63" s="25"/>
      <c r="C63" s="25"/>
      <c r="D63" s="25"/>
      <c r="E63" s="25"/>
      <c r="F63" s="25"/>
      <c r="G63" s="62" t="str">
        <f>PTF!B5</f>
        <v>35,48</v>
      </c>
      <c r="H63" s="62">
        <f>PTF!C5</f>
        <v>36.119999999999997</v>
      </c>
      <c r="I63" s="62">
        <f>PTF!D5</f>
        <v>37.04</v>
      </c>
      <c r="J63" s="62">
        <f>PTF!E5</f>
        <v>38.049999999999997</v>
      </c>
      <c r="K63" s="62">
        <f>PTF!F5</f>
        <v>38.72</v>
      </c>
      <c r="L63" s="62">
        <f>PTF!G5</f>
        <v>39.369999999999997</v>
      </c>
      <c r="M63" s="62">
        <f>PTF!H5</f>
        <v>40.14</v>
      </c>
      <c r="N63" s="62">
        <f>PTF!I5</f>
        <v>40.75</v>
      </c>
      <c r="O63" s="62">
        <f>PTF!J5</f>
        <v>41.24</v>
      </c>
      <c r="P63" s="62">
        <f>PTF!K5</f>
        <v>41.75</v>
      </c>
      <c r="Q63" s="62">
        <f>PTF!L5</f>
        <v>42.2</v>
      </c>
      <c r="R63" s="62">
        <f>PTF!M5</f>
        <v>42.61</v>
      </c>
      <c r="S63" s="62">
        <f>PTF!N5</f>
        <v>43.14</v>
      </c>
      <c r="T63" s="62">
        <f>PTF!O5</f>
        <v>43.61</v>
      </c>
      <c r="U63" s="62">
        <f>PTF!P5</f>
        <v>44.1</v>
      </c>
      <c r="V63" s="62">
        <f>PTF!Q5</f>
        <v>44.68</v>
      </c>
      <c r="W63" s="62">
        <f>PTF!R5</f>
        <v>45.36</v>
      </c>
      <c r="X63" s="62">
        <f>PTF!S5</f>
        <v>46.17</v>
      </c>
    </row>
    <row r="66" spans="7:25" x14ac:dyDescent="0.25">
      <c r="G66" t="s">
        <v>766</v>
      </c>
      <c r="H66" s="25" t="s">
        <v>484</v>
      </c>
      <c r="I66" s="25" t="s">
        <v>485</v>
      </c>
      <c r="J66" s="25" t="s">
        <v>486</v>
      </c>
      <c r="K66" s="25" t="s">
        <v>487</v>
      </c>
      <c r="L66" s="25" t="s">
        <v>488</v>
      </c>
      <c r="M66" s="25" t="s">
        <v>489</v>
      </c>
      <c r="N66" s="25" t="s">
        <v>490</v>
      </c>
      <c r="O66" s="25" t="s">
        <v>491</v>
      </c>
      <c r="P66" s="25" t="s">
        <v>492</v>
      </c>
      <c r="Q66" s="25" t="s">
        <v>493</v>
      </c>
      <c r="R66" s="25" t="s">
        <v>494</v>
      </c>
      <c r="S66" s="25" t="s">
        <v>495</v>
      </c>
      <c r="T66" s="25" t="s">
        <v>496</v>
      </c>
      <c r="U66" s="25" t="s">
        <v>497</v>
      </c>
      <c r="V66" s="25" t="s">
        <v>574</v>
      </c>
      <c r="W66" s="25" t="s">
        <v>731</v>
      </c>
      <c r="X66" s="25" t="s">
        <v>732</v>
      </c>
      <c r="Y66" s="25" t="s">
        <v>733</v>
      </c>
    </row>
    <row r="67" spans="7:25" x14ac:dyDescent="0.25">
      <c r="G67" t="s">
        <v>29</v>
      </c>
      <c r="H67">
        <f>SUM(G2:G5)</f>
        <v>6904.3099999999995</v>
      </c>
      <c r="I67">
        <f t="shared" ref="I67:Y67" si="32">SUM(H2:H5)</f>
        <v>3076.46</v>
      </c>
      <c r="J67">
        <f t="shared" si="32"/>
        <v>5288.05</v>
      </c>
      <c r="K67">
        <f t="shared" si="32"/>
        <v>10248.27</v>
      </c>
      <c r="L67">
        <f t="shared" si="32"/>
        <v>16934.72</v>
      </c>
      <c r="M67">
        <f t="shared" si="32"/>
        <v>11100.78</v>
      </c>
      <c r="N67">
        <f t="shared" si="32"/>
        <v>16073.43</v>
      </c>
      <c r="O67">
        <f t="shared" si="32"/>
        <v>2664.48</v>
      </c>
      <c r="P67">
        <f t="shared" si="32"/>
        <v>463.49</v>
      </c>
      <c r="Q67">
        <f t="shared" si="32"/>
        <v>120.46000000000001</v>
      </c>
      <c r="R67">
        <f t="shared" si="32"/>
        <v>181.17000000000002</v>
      </c>
      <c r="S67">
        <f t="shared" si="32"/>
        <v>2273.98</v>
      </c>
      <c r="T67">
        <f t="shared" si="32"/>
        <v>9371.67</v>
      </c>
      <c r="U67">
        <f t="shared" si="32"/>
        <v>39371.180000000008</v>
      </c>
      <c r="V67">
        <f t="shared" si="32"/>
        <v>37311.07</v>
      </c>
      <c r="W67">
        <f t="shared" si="32"/>
        <v>42267.56</v>
      </c>
      <c r="X67">
        <f t="shared" si="32"/>
        <v>20823.289999999997</v>
      </c>
      <c r="Y67">
        <f t="shared" si="32"/>
        <v>23292.82</v>
      </c>
    </row>
    <row r="68" spans="7:25" x14ac:dyDescent="0.25">
      <c r="G68" t="s">
        <v>28</v>
      </c>
      <c r="H68">
        <f>SUM(G6:G7,G9:G10)</f>
        <v>10828.599999999999</v>
      </c>
      <c r="I68">
        <f t="shared" ref="I68:Y68" si="33">SUM(H6:H7,H9:H10)</f>
        <v>17859.629999999997</v>
      </c>
      <c r="J68">
        <f t="shared" si="33"/>
        <v>18047.86</v>
      </c>
      <c r="K68">
        <f t="shared" si="33"/>
        <v>9877.9600000000009</v>
      </c>
      <c r="L68">
        <f t="shared" si="33"/>
        <v>13493.93</v>
      </c>
      <c r="M68">
        <f t="shared" si="33"/>
        <v>19616.949999999997</v>
      </c>
      <c r="N68">
        <f t="shared" si="33"/>
        <v>10792.36</v>
      </c>
      <c r="O68">
        <f t="shared" si="33"/>
        <v>14628.3</v>
      </c>
      <c r="P68">
        <f t="shared" si="33"/>
        <v>14989.98</v>
      </c>
      <c r="Q68">
        <f t="shared" si="33"/>
        <v>9978.91</v>
      </c>
      <c r="R68">
        <f t="shared" si="33"/>
        <v>13423.059999999998</v>
      </c>
      <c r="S68">
        <f t="shared" si="33"/>
        <v>12732.060000000001</v>
      </c>
      <c r="T68">
        <f t="shared" si="33"/>
        <v>21297.95</v>
      </c>
      <c r="U68">
        <f t="shared" si="33"/>
        <v>16404.16</v>
      </c>
      <c r="V68">
        <f t="shared" si="33"/>
        <v>15509.75</v>
      </c>
      <c r="W68">
        <f t="shared" si="33"/>
        <v>11259.14</v>
      </c>
      <c r="X68">
        <f t="shared" si="33"/>
        <v>11860.5</v>
      </c>
      <c r="Y68">
        <f t="shared" si="33"/>
        <v>13954.080000000002</v>
      </c>
    </row>
    <row r="69" spans="7:25" x14ac:dyDescent="0.25">
      <c r="G69" t="s">
        <v>31</v>
      </c>
      <c r="H69">
        <f>G14</f>
        <v>4246</v>
      </c>
      <c r="I69">
        <f t="shared" ref="I69:Y69" si="34">H14</f>
        <v>3920.6</v>
      </c>
      <c r="J69">
        <f t="shared" si="34"/>
        <v>3924.8</v>
      </c>
      <c r="K69">
        <f t="shared" si="34"/>
        <v>3757.9</v>
      </c>
      <c r="L69">
        <f t="shared" si="34"/>
        <v>3549.2</v>
      </c>
      <c r="M69">
        <f t="shared" si="34"/>
        <v>1495.7</v>
      </c>
      <c r="N69">
        <f t="shared" si="34"/>
        <v>1646.8</v>
      </c>
      <c r="O69">
        <f t="shared" si="34"/>
        <v>3179.4</v>
      </c>
      <c r="P69">
        <f t="shared" si="34"/>
        <v>3896.2</v>
      </c>
      <c r="Q69">
        <f t="shared" si="34"/>
        <v>4318.6000000000004</v>
      </c>
      <c r="R69">
        <f t="shared" si="34"/>
        <v>4142.5</v>
      </c>
      <c r="S69">
        <f t="shared" si="34"/>
        <v>4299.3</v>
      </c>
      <c r="T69">
        <f t="shared" si="34"/>
        <v>4412.6000000000004</v>
      </c>
      <c r="U69">
        <f t="shared" si="34"/>
        <v>4531.8999999999996</v>
      </c>
      <c r="V69">
        <f t="shared" si="34"/>
        <v>5024.7</v>
      </c>
      <c r="W69">
        <f t="shared" si="34"/>
        <v>4553.2</v>
      </c>
      <c r="X69">
        <f t="shared" si="34"/>
        <v>4411.8999999999996</v>
      </c>
      <c r="Y69">
        <f t="shared" si="34"/>
        <v>3742</v>
      </c>
    </row>
    <row r="70" spans="7:25" x14ac:dyDescent="0.25">
      <c r="G70" t="s">
        <v>522</v>
      </c>
      <c r="H70">
        <f>SUM(H67:H69)</f>
        <v>21978.909999999996</v>
      </c>
      <c r="I70">
        <f t="shared" ref="I70:Y70" si="35">SUM(I67:I69)</f>
        <v>24856.689999999995</v>
      </c>
      <c r="J70">
        <f t="shared" si="35"/>
        <v>27260.71</v>
      </c>
      <c r="K70">
        <f t="shared" si="35"/>
        <v>23884.130000000005</v>
      </c>
      <c r="L70">
        <f t="shared" si="35"/>
        <v>33977.85</v>
      </c>
      <c r="M70">
        <f t="shared" si="35"/>
        <v>32213.429999999997</v>
      </c>
      <c r="N70">
        <f t="shared" si="35"/>
        <v>28512.59</v>
      </c>
      <c r="O70">
        <f t="shared" si="35"/>
        <v>20472.18</v>
      </c>
      <c r="P70">
        <f t="shared" si="35"/>
        <v>19349.669999999998</v>
      </c>
      <c r="Q70">
        <f t="shared" si="35"/>
        <v>14417.97</v>
      </c>
      <c r="R70">
        <f t="shared" si="35"/>
        <v>17746.729999999996</v>
      </c>
      <c r="S70">
        <f t="shared" si="35"/>
        <v>19305.34</v>
      </c>
      <c r="T70">
        <f t="shared" si="35"/>
        <v>35082.22</v>
      </c>
      <c r="U70">
        <f t="shared" si="35"/>
        <v>60307.240000000013</v>
      </c>
      <c r="V70">
        <f t="shared" si="35"/>
        <v>57845.52</v>
      </c>
      <c r="W70">
        <f t="shared" si="35"/>
        <v>58079.899999999994</v>
      </c>
      <c r="X70">
        <f t="shared" si="35"/>
        <v>37095.689999999995</v>
      </c>
      <c r="Y70">
        <f t="shared" si="35"/>
        <v>40988.9</v>
      </c>
    </row>
    <row r="72" spans="7:25" x14ac:dyDescent="0.25">
      <c r="G72" t="s">
        <v>766</v>
      </c>
      <c r="H72" s="25" t="s">
        <v>756</v>
      </c>
      <c r="I72" s="25" t="s">
        <v>757</v>
      </c>
      <c r="J72" s="25" t="s">
        <v>758</v>
      </c>
      <c r="K72" s="25" t="s">
        <v>759</v>
      </c>
      <c r="L72" s="25" t="s">
        <v>760</v>
      </c>
      <c r="M72" s="25" t="s">
        <v>761</v>
      </c>
    </row>
    <row r="73" spans="7:25" x14ac:dyDescent="0.25">
      <c r="G73" t="s">
        <v>29</v>
      </c>
      <c r="H73">
        <f>SUM(H67:J67)</f>
        <v>15268.82</v>
      </c>
      <c r="I73">
        <f>SUM(K67:M67)</f>
        <v>38283.770000000004</v>
      </c>
      <c r="J73">
        <f>SUM(N67:P67)</f>
        <v>19201.400000000001</v>
      </c>
      <c r="K73">
        <f>SUM(Q67:S67)</f>
        <v>2575.61</v>
      </c>
      <c r="L73">
        <f>SUM(T67:V67)</f>
        <v>86053.920000000013</v>
      </c>
      <c r="M73">
        <f>SUM(W67:Y67)</f>
        <v>86383.669999999984</v>
      </c>
    </row>
    <row r="74" spans="7:25" x14ac:dyDescent="0.25">
      <c r="G74" t="s">
        <v>31</v>
      </c>
      <c r="H74">
        <f t="shared" ref="H74:H76" si="36">SUM(H68:J68)</f>
        <v>46736.09</v>
      </c>
      <c r="I74">
        <f t="shared" ref="I74:I76" si="37">SUM(K68:M68)</f>
        <v>42988.84</v>
      </c>
      <c r="J74">
        <f t="shared" ref="J74:J76" si="38">SUM(N68:P68)</f>
        <v>40410.639999999999</v>
      </c>
      <c r="K74">
        <f t="shared" ref="K74:K76" si="39">SUM(Q68:S68)</f>
        <v>36134.03</v>
      </c>
      <c r="L74">
        <f t="shared" ref="L74:L76" si="40">SUM(T68:V68)</f>
        <v>53211.86</v>
      </c>
      <c r="M74">
        <f t="shared" ref="M74:M76" si="41">SUM(W68:Y68)</f>
        <v>37073.72</v>
      </c>
    </row>
    <row r="75" spans="7:25" x14ac:dyDescent="0.25">
      <c r="G75" t="s">
        <v>28</v>
      </c>
      <c r="H75">
        <f t="shared" si="36"/>
        <v>12091.400000000001</v>
      </c>
      <c r="I75">
        <f t="shared" si="37"/>
        <v>8802.8000000000011</v>
      </c>
      <c r="J75">
        <f t="shared" si="38"/>
        <v>8722.4</v>
      </c>
      <c r="K75">
        <f t="shared" si="39"/>
        <v>12760.400000000001</v>
      </c>
      <c r="L75">
        <f t="shared" si="40"/>
        <v>13969.2</v>
      </c>
      <c r="M75">
        <f t="shared" si="41"/>
        <v>12707.099999999999</v>
      </c>
    </row>
    <row r="76" spans="7:25" x14ac:dyDescent="0.25">
      <c r="G76" t="s">
        <v>522</v>
      </c>
      <c r="H76">
        <f t="shared" si="36"/>
        <v>74096.31</v>
      </c>
      <c r="I76">
        <f t="shared" si="37"/>
        <v>90075.41</v>
      </c>
      <c r="J76">
        <f t="shared" si="38"/>
        <v>68334.44</v>
      </c>
      <c r="K76">
        <f t="shared" si="39"/>
        <v>51470.039999999994</v>
      </c>
      <c r="L76">
        <f t="shared" si="40"/>
        <v>153234.98000000001</v>
      </c>
      <c r="M76">
        <f t="shared" si="41"/>
        <v>136164.49</v>
      </c>
    </row>
    <row r="84" spans="1:1" x14ac:dyDescent="0.25">
      <c r="A84" s="58" t="s">
        <v>44</v>
      </c>
    </row>
    <row r="85" spans="1:1" x14ac:dyDescent="0.25">
      <c r="A85" t="s">
        <v>191</v>
      </c>
    </row>
    <row r="86" spans="1:1" x14ac:dyDescent="0.25">
      <c r="A86" t="s">
        <v>192</v>
      </c>
    </row>
    <row r="89" spans="1:1" x14ac:dyDescent="0.25">
      <c r="A89" t="s">
        <v>193</v>
      </c>
    </row>
  </sheetData>
  <phoneticPr fontId="48" type="noConversion"/>
  <conditionalFormatting sqref="L39:U40">
    <cfRule type="colorScale" priority="8">
      <colorScale>
        <cfvo type="min"/>
        <cfvo type="percentile" val="50"/>
        <cfvo type="max"/>
        <color rgb="FFF8696B"/>
        <color rgb="FFFFEB84"/>
        <color rgb="FF63BE7B"/>
      </colorScale>
    </cfRule>
  </conditionalFormatting>
  <conditionalFormatting sqref="L59:U60">
    <cfRule type="colorScale" priority="7">
      <colorScale>
        <cfvo type="min"/>
        <cfvo type="percentile" val="50"/>
        <cfvo type="max"/>
        <color rgb="FFF8696B"/>
        <color rgb="FFFFEB84"/>
        <color rgb="FF63BE7B"/>
      </colorScale>
    </cfRule>
  </conditionalFormatting>
  <conditionalFormatting sqref="L39:X40">
    <cfRule type="colorScale" priority="4">
      <colorScale>
        <cfvo type="min"/>
        <cfvo type="percentile" val="50"/>
        <cfvo type="max"/>
        <color rgb="FFF8696B"/>
        <color rgb="FFFFEB84"/>
        <color rgb="FF63BE7B"/>
      </colorScale>
    </cfRule>
  </conditionalFormatting>
  <conditionalFormatting sqref="L59:X60">
    <cfRule type="colorScale" priority="1">
      <colorScale>
        <cfvo type="min"/>
        <cfvo type="percentile" val="50"/>
        <cfvo type="max"/>
        <color rgb="FFF8696B"/>
        <color rgb="FFFFEB84"/>
        <color rgb="FF63BE7B"/>
      </colorScale>
    </cfRule>
  </conditionalFormatting>
  <conditionalFormatting sqref="S17:U24 V17:X23 V24:Y24">
    <cfRule type="colorScale" priority="9">
      <colorScale>
        <cfvo type="min"/>
        <cfvo type="percentile" val="50"/>
        <cfvo type="max"/>
        <color rgb="FFF8696B"/>
        <color rgb="FFFFEB84"/>
        <color rgb="FF63BE7B"/>
      </colorScale>
    </cfRule>
  </conditionalFormatting>
  <conditionalFormatting sqref="S17:X23">
    <cfRule type="colorScale" priority="10">
      <colorScale>
        <cfvo type="min"/>
        <cfvo type="percentile" val="50"/>
        <cfvo type="max"/>
        <color rgb="FFF8696B"/>
        <color rgb="FFFFEB84"/>
        <color rgb="FF63BE7B"/>
      </colorScale>
    </cfRule>
  </conditionalFormatting>
  <conditionalFormatting sqref="X39">
    <cfRule type="colorScale" priority="6">
      <colorScale>
        <cfvo type="min"/>
        <cfvo type="percentile" val="50"/>
        <cfvo type="max"/>
        <color rgb="FFF8696B"/>
        <color rgb="FFFFEB84"/>
        <color rgb="FF63BE7B"/>
      </colorScale>
    </cfRule>
  </conditionalFormatting>
  <conditionalFormatting sqref="X40">
    <cfRule type="colorScale" priority="5">
      <colorScale>
        <cfvo type="min"/>
        <cfvo type="percentile" val="50"/>
        <cfvo type="max"/>
        <color rgb="FFF8696B"/>
        <color rgb="FFFFEB84"/>
        <color rgb="FF63BE7B"/>
      </colorScale>
    </cfRule>
  </conditionalFormatting>
  <conditionalFormatting sqref="X59">
    <cfRule type="colorScale" priority="3">
      <colorScale>
        <cfvo type="min"/>
        <cfvo type="percentile" val="50"/>
        <cfvo type="max"/>
        <color rgb="FFF8696B"/>
        <color rgb="FFFFEB84"/>
        <color rgb="FF63BE7B"/>
      </colorScale>
    </cfRule>
  </conditionalFormatting>
  <conditionalFormatting sqref="X60">
    <cfRule type="colorScale" priority="2">
      <colorScale>
        <cfvo type="min"/>
        <cfvo type="percentile" val="50"/>
        <cfvo type="max"/>
        <color rgb="FFF8696B"/>
        <color rgb="FFFFEB84"/>
        <color rgb="FF63BE7B"/>
      </colorScale>
    </cfRule>
  </conditionalFormatting>
  <pageMargins left="0.7" right="0.7" top="0.75" bottom="0.75" header="0.3" footer="0.3"/>
  <legacyDrawing r:id="rId1"/>
  <tableParts count="3">
    <tablePart r:id="rId2"/>
    <tablePart r:id="rId3"/>
    <tablePart r:id="rId4"/>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EC0DA-93F2-4C09-83E5-129411647EFB}">
  <dimension ref="A1:AB65"/>
  <sheetViews>
    <sheetView topLeftCell="N35" zoomScale="89" zoomScaleNormal="100" workbookViewId="0">
      <selection activeCell="X48" sqref="X48"/>
    </sheetView>
  </sheetViews>
  <sheetFormatPr defaultColWidth="9.140625" defaultRowHeight="15" x14ac:dyDescent="0.25"/>
  <cols>
    <col min="1" max="1" width="43.7109375" style="25" customWidth="1"/>
    <col min="2" max="2" width="11.5703125" style="25" customWidth="1"/>
    <col min="3" max="3" width="22.28515625" style="25" customWidth="1"/>
    <col min="4" max="4" width="12.85546875" style="25" customWidth="1"/>
    <col min="5" max="5" width="12.28515625" style="25" customWidth="1"/>
    <col min="6" max="6" width="16.28515625" style="25" customWidth="1"/>
    <col min="7" max="11" width="15.42578125" style="25" bestFit="1" customWidth="1"/>
    <col min="12" max="12" width="17.42578125" style="25" bestFit="1" customWidth="1"/>
    <col min="13" max="14" width="15.85546875" style="25" bestFit="1" customWidth="1"/>
    <col min="15" max="15" width="16.85546875" style="25" bestFit="1" customWidth="1"/>
    <col min="16" max="21" width="15.85546875" style="25" bestFit="1" customWidth="1"/>
    <col min="22" max="24" width="15.7109375" style="25" bestFit="1" customWidth="1"/>
    <col min="25" max="16384" width="9.140625" style="25"/>
  </cols>
  <sheetData>
    <row r="1" spans="1:28" x14ac:dyDescent="0.25">
      <c r="A1" s="41" t="s">
        <v>35</v>
      </c>
      <c r="B1" s="41" t="s">
        <v>111</v>
      </c>
      <c r="C1" s="41" t="s">
        <v>338</v>
      </c>
      <c r="D1" s="41" t="s">
        <v>454</v>
      </c>
      <c r="E1" s="41" t="s">
        <v>551</v>
      </c>
      <c r="F1" s="41" t="s">
        <v>569</v>
      </c>
      <c r="G1" s="41" t="s">
        <v>484</v>
      </c>
      <c r="H1" s="41" t="s">
        <v>485</v>
      </c>
      <c r="I1" s="41" t="s">
        <v>486</v>
      </c>
      <c r="J1" s="41" t="s">
        <v>487</v>
      </c>
      <c r="K1" s="41" t="s">
        <v>488</v>
      </c>
      <c r="L1" s="41" t="s">
        <v>489</v>
      </c>
      <c r="M1" s="41" t="s">
        <v>490</v>
      </c>
      <c r="N1" s="41" t="s">
        <v>491</v>
      </c>
      <c r="O1" s="41" t="s">
        <v>492</v>
      </c>
      <c r="P1" s="41" t="s">
        <v>493</v>
      </c>
      <c r="Q1" s="41" t="s">
        <v>494</v>
      </c>
      <c r="R1" s="41" t="s">
        <v>495</v>
      </c>
      <c r="S1" s="41" t="s">
        <v>496</v>
      </c>
      <c r="T1" s="41" t="s">
        <v>497</v>
      </c>
      <c r="U1" s="95" t="s">
        <v>574</v>
      </c>
      <c r="V1" s="247" t="s">
        <v>731</v>
      </c>
      <c r="W1" s="273" t="s">
        <v>732</v>
      </c>
      <c r="X1" s="273" t="s">
        <v>733</v>
      </c>
      <c r="Y1" s="41"/>
      <c r="Z1" s="41"/>
      <c r="AA1" s="41"/>
      <c r="AB1" s="41"/>
    </row>
    <row r="2" spans="1:28" x14ac:dyDescent="0.25">
      <c r="A2" s="247" t="s">
        <v>480</v>
      </c>
      <c r="B2" s="41">
        <v>140.62</v>
      </c>
      <c r="C2" s="41" t="s">
        <v>481</v>
      </c>
      <c r="D2" s="43">
        <v>2178</v>
      </c>
      <c r="E2" s="45">
        <v>73</v>
      </c>
      <c r="F2" s="45">
        <v>2025</v>
      </c>
      <c r="G2" s="41">
        <v>25020.77</v>
      </c>
      <c r="H2" s="41">
        <v>22254.03</v>
      </c>
      <c r="I2" s="41">
        <v>42387.53</v>
      </c>
      <c r="J2" s="41">
        <v>92892.18</v>
      </c>
      <c r="K2" s="41">
        <v>93876.03</v>
      </c>
      <c r="L2" s="41">
        <v>38254.65</v>
      </c>
      <c r="M2" s="41">
        <v>25792.23</v>
      </c>
      <c r="N2" s="41">
        <v>20967.349999999999</v>
      </c>
      <c r="O2" s="41">
        <v>22092.720000000001</v>
      </c>
      <c r="P2" s="41">
        <v>22965.73</v>
      </c>
      <c r="Q2" s="41">
        <v>23670.84</v>
      </c>
      <c r="R2" s="41">
        <v>21940.94</v>
      </c>
      <c r="S2" s="41">
        <v>26201.47</v>
      </c>
      <c r="T2" s="41">
        <v>42432.37</v>
      </c>
      <c r="U2" s="41">
        <v>43370.67</v>
      </c>
      <c r="V2" s="245">
        <v>75109.17</v>
      </c>
      <c r="W2" s="273">
        <v>60563.37</v>
      </c>
      <c r="X2" s="273">
        <v>69274.55</v>
      </c>
      <c r="Y2" s="41"/>
      <c r="Z2" s="41"/>
      <c r="AA2" s="41"/>
      <c r="AB2" s="41"/>
    </row>
    <row r="3" spans="1:28" x14ac:dyDescent="0.25">
      <c r="A3" s="41" t="s">
        <v>167</v>
      </c>
      <c r="B3" s="41">
        <v>70</v>
      </c>
      <c r="C3" s="41" t="s">
        <v>412</v>
      </c>
      <c r="D3" s="41">
        <v>1079</v>
      </c>
      <c r="E3" s="41" t="s">
        <v>524</v>
      </c>
      <c r="F3" s="41" t="s">
        <v>543</v>
      </c>
      <c r="G3" s="41">
        <v>10744.99</v>
      </c>
      <c r="H3" s="41">
        <v>7097.2</v>
      </c>
      <c r="I3" s="41">
        <v>13097.97</v>
      </c>
      <c r="J3" s="41">
        <v>20640.48</v>
      </c>
      <c r="K3" s="41">
        <v>22570.74</v>
      </c>
      <c r="L3" s="41">
        <v>12841.96</v>
      </c>
      <c r="M3" s="41">
        <v>8331.6200000000008</v>
      </c>
      <c r="N3" s="41">
        <v>6430.02</v>
      </c>
      <c r="O3" s="41">
        <v>5359.28</v>
      </c>
      <c r="P3" s="41">
        <v>5105.16</v>
      </c>
      <c r="Q3" s="41">
        <v>4578.78</v>
      </c>
      <c r="R3" s="41">
        <v>6449.55</v>
      </c>
      <c r="S3" s="41">
        <v>8086.04</v>
      </c>
      <c r="T3" s="41">
        <v>29937.43</v>
      </c>
      <c r="U3" s="41">
        <v>35208.75</v>
      </c>
      <c r="V3" s="245">
        <v>37734.160000000003</v>
      </c>
      <c r="W3" s="273">
        <v>24491.45</v>
      </c>
      <c r="X3" s="273">
        <v>39770.51</v>
      </c>
      <c r="Y3" s="41"/>
      <c r="Z3" s="41"/>
      <c r="AA3" s="41"/>
      <c r="AB3" s="41"/>
    </row>
    <row r="4" spans="1:28" x14ac:dyDescent="0.25">
      <c r="A4" s="41" t="s">
        <v>166</v>
      </c>
      <c r="B4" s="41">
        <v>56</v>
      </c>
      <c r="C4" s="41" t="s">
        <v>413</v>
      </c>
      <c r="D4" s="41">
        <v>1080</v>
      </c>
      <c r="E4" s="41" t="s">
        <v>524</v>
      </c>
      <c r="F4" s="41" t="s">
        <v>543</v>
      </c>
      <c r="G4" s="41">
        <v>8240.1</v>
      </c>
      <c r="H4" s="41">
        <v>5476.22</v>
      </c>
      <c r="I4" s="41">
        <v>9447.48</v>
      </c>
      <c r="J4" s="41">
        <v>15331.96</v>
      </c>
      <c r="K4" s="41">
        <v>16726.46</v>
      </c>
      <c r="L4" s="41">
        <v>9203.6</v>
      </c>
      <c r="M4" s="41">
        <v>5834.33</v>
      </c>
      <c r="N4" s="41">
        <v>4515.6000000000004</v>
      </c>
      <c r="O4" s="41">
        <v>3834.93</v>
      </c>
      <c r="P4" s="41">
        <v>3597.65</v>
      </c>
      <c r="Q4" s="41">
        <v>3184</v>
      </c>
      <c r="R4" s="245">
        <v>4492.29</v>
      </c>
      <c r="S4" s="41">
        <v>5946.84</v>
      </c>
      <c r="T4" s="41">
        <v>22950.880000000001</v>
      </c>
      <c r="U4" s="41">
        <v>28023.200000000001</v>
      </c>
      <c r="V4" s="245">
        <v>30452.21</v>
      </c>
      <c r="W4" s="273">
        <v>18835.86</v>
      </c>
      <c r="X4" s="273">
        <v>29995.34</v>
      </c>
      <c r="Y4" s="41"/>
      <c r="Z4" s="41"/>
      <c r="AA4" s="41"/>
      <c r="AB4" s="41"/>
    </row>
    <row r="5" spans="1:28" x14ac:dyDescent="0.25">
      <c r="A5" s="41" t="s">
        <v>168</v>
      </c>
      <c r="B5" s="41">
        <v>40.159999999999997</v>
      </c>
      <c r="C5" s="41" t="s">
        <v>414</v>
      </c>
      <c r="D5" s="41">
        <v>1259</v>
      </c>
      <c r="E5" s="41" t="s">
        <v>524</v>
      </c>
      <c r="F5" s="41" t="s">
        <v>543</v>
      </c>
      <c r="G5" s="41">
        <v>10079</v>
      </c>
      <c r="H5" s="41">
        <v>11198.34</v>
      </c>
      <c r="I5" s="41">
        <v>13628.43</v>
      </c>
      <c r="J5" s="41">
        <v>19948.669999999998</v>
      </c>
      <c r="K5" s="41">
        <v>22964.48</v>
      </c>
      <c r="L5" s="41">
        <v>16746.560000000001</v>
      </c>
      <c r="M5" s="41">
        <v>17187.400000000001</v>
      </c>
      <c r="N5" s="41">
        <v>13917.64</v>
      </c>
      <c r="O5" s="41">
        <v>12028.32</v>
      </c>
      <c r="P5" s="41">
        <v>6846.71</v>
      </c>
      <c r="Q5" s="41">
        <v>12047.97</v>
      </c>
      <c r="R5" s="41">
        <v>16263.09</v>
      </c>
      <c r="S5" s="41">
        <v>17199.330000000002</v>
      </c>
      <c r="T5" s="41">
        <v>18843.96</v>
      </c>
      <c r="U5" s="41">
        <v>24753.29</v>
      </c>
      <c r="V5" s="245">
        <v>21836.77</v>
      </c>
      <c r="W5" s="273">
        <v>9337.25</v>
      </c>
      <c r="X5" s="273">
        <v>20554.169999999998</v>
      </c>
      <c r="Y5" s="41"/>
      <c r="Z5" s="41"/>
      <c r="AA5" s="41"/>
      <c r="AB5" s="41"/>
    </row>
    <row r="6" spans="1:28" x14ac:dyDescent="0.25">
      <c r="A6" s="41" t="s">
        <v>169</v>
      </c>
      <c r="B6" s="41">
        <v>23.125</v>
      </c>
      <c r="C6" s="41" t="s">
        <v>415</v>
      </c>
      <c r="D6" s="41">
        <v>1940</v>
      </c>
      <c r="E6" s="41">
        <v>73</v>
      </c>
      <c r="F6" s="41">
        <v>2025</v>
      </c>
      <c r="G6" s="41">
        <v>2002.59</v>
      </c>
      <c r="H6" s="41">
        <v>1411.87</v>
      </c>
      <c r="I6" s="41">
        <v>9551.7000000000007</v>
      </c>
      <c r="J6" s="41">
        <v>13510.45</v>
      </c>
      <c r="K6" s="41">
        <v>8717.57</v>
      </c>
      <c r="L6" s="41">
        <v>1984.88</v>
      </c>
      <c r="M6" s="41">
        <v>922.23</v>
      </c>
      <c r="N6" s="41">
        <v>221.62</v>
      </c>
      <c r="O6" s="41">
        <v>2557.7399999999998</v>
      </c>
      <c r="P6" s="41">
        <v>3177.14</v>
      </c>
      <c r="Q6" s="41">
        <v>3774.04</v>
      </c>
      <c r="R6" s="41">
        <v>2603.0100000000002</v>
      </c>
      <c r="S6" s="41">
        <v>1874.99</v>
      </c>
      <c r="T6" s="41">
        <v>1825.19</v>
      </c>
      <c r="U6" s="41">
        <v>5619.32</v>
      </c>
      <c r="V6" s="245">
        <v>7517.84</v>
      </c>
      <c r="W6" s="273">
        <v>5613.05</v>
      </c>
      <c r="X6" s="273">
        <v>5230.2</v>
      </c>
      <c r="Y6" s="41"/>
      <c r="Z6" s="41"/>
      <c r="AA6" s="41"/>
      <c r="AB6" s="41"/>
    </row>
    <row r="7" spans="1:28" x14ac:dyDescent="0.25">
      <c r="A7" s="41" t="s">
        <v>170</v>
      </c>
      <c r="B7" s="41">
        <v>16.64</v>
      </c>
      <c r="C7" s="41" t="s">
        <v>416</v>
      </c>
      <c r="D7" s="41">
        <v>1357</v>
      </c>
      <c r="E7" s="41" t="s">
        <v>524</v>
      </c>
      <c r="F7" s="41" t="s">
        <v>543</v>
      </c>
      <c r="G7" s="41">
        <v>967.36</v>
      </c>
      <c r="H7" s="41">
        <v>659.98</v>
      </c>
      <c r="I7" s="41">
        <v>5784.37</v>
      </c>
      <c r="J7" s="41">
        <v>9812.6299999999992</v>
      </c>
      <c r="K7" s="41">
        <v>8983.07</v>
      </c>
      <c r="L7" s="41">
        <v>2333.5100000000002</v>
      </c>
      <c r="M7" s="41">
        <v>1402.43</v>
      </c>
      <c r="N7" s="41">
        <v>415.54</v>
      </c>
      <c r="O7" s="41">
        <v>2495.36</v>
      </c>
      <c r="P7" s="41">
        <v>2387.96</v>
      </c>
      <c r="Q7" s="41">
        <v>655.15</v>
      </c>
      <c r="R7" s="41">
        <v>417.15</v>
      </c>
      <c r="S7" s="41">
        <v>841.12</v>
      </c>
      <c r="T7" s="41">
        <v>1799.77</v>
      </c>
      <c r="U7" s="41">
        <v>1295.94</v>
      </c>
      <c r="V7" s="245">
        <v>1525.16</v>
      </c>
      <c r="W7" s="273">
        <v>1938.59</v>
      </c>
      <c r="X7" s="273">
        <v>3434.86</v>
      </c>
      <c r="Y7" s="41"/>
      <c r="Z7" s="41"/>
      <c r="AA7" s="41"/>
      <c r="AB7" s="41"/>
    </row>
    <row r="8" spans="1:28" x14ac:dyDescent="0.25">
      <c r="A8" s="41" t="s">
        <v>171</v>
      </c>
      <c r="B8" s="41">
        <v>15.497999999999999</v>
      </c>
      <c r="C8" s="41" t="s">
        <v>417</v>
      </c>
      <c r="D8" s="41">
        <v>1636</v>
      </c>
      <c r="E8" s="41" t="s">
        <v>524</v>
      </c>
      <c r="F8" s="41" t="s">
        <v>543</v>
      </c>
      <c r="G8" s="41">
        <v>714.66</v>
      </c>
      <c r="H8" s="41">
        <v>549.19000000000005</v>
      </c>
      <c r="I8" s="41">
        <v>4593.17</v>
      </c>
      <c r="J8" s="41">
        <v>9509.02</v>
      </c>
      <c r="K8" s="41">
        <v>9344.06</v>
      </c>
      <c r="L8" s="41">
        <v>2471.8000000000002</v>
      </c>
      <c r="M8" s="41">
        <v>1369.89</v>
      </c>
      <c r="N8" s="41">
        <v>398.24</v>
      </c>
      <c r="O8" s="41">
        <v>1988.43</v>
      </c>
      <c r="P8" s="41">
        <v>1883.49</v>
      </c>
      <c r="Q8" s="41">
        <v>828.25</v>
      </c>
      <c r="R8" s="41">
        <v>423.76</v>
      </c>
      <c r="S8" s="41">
        <v>527.29999999999995</v>
      </c>
      <c r="T8" s="41">
        <v>1233.08</v>
      </c>
      <c r="U8" s="41">
        <v>1443.47</v>
      </c>
      <c r="V8" s="245">
        <v>2583.62</v>
      </c>
      <c r="W8" s="273">
        <v>3511.62</v>
      </c>
      <c r="X8" s="273">
        <v>5606.84</v>
      </c>
      <c r="Y8" s="41"/>
      <c r="Z8" s="41"/>
      <c r="AA8" s="41"/>
      <c r="AB8" s="41"/>
    </row>
    <row r="9" spans="1:28" x14ac:dyDescent="0.25">
      <c r="A9" s="41" t="s">
        <v>418</v>
      </c>
      <c r="B9" s="41">
        <v>14</v>
      </c>
      <c r="C9" s="41" t="s">
        <v>419</v>
      </c>
      <c r="D9" s="41">
        <v>2212</v>
      </c>
      <c r="E9" s="41" t="s">
        <v>524</v>
      </c>
      <c r="F9" s="41" t="s">
        <v>543</v>
      </c>
      <c r="G9" s="41">
        <v>1745.38</v>
      </c>
      <c r="H9" s="41">
        <v>1417.56</v>
      </c>
      <c r="I9" s="41">
        <v>2151.62</v>
      </c>
      <c r="J9" s="41">
        <v>5550.82</v>
      </c>
      <c r="K9" s="41">
        <v>8962.7099999999991</v>
      </c>
      <c r="L9" s="41">
        <v>4726.3599999999997</v>
      </c>
      <c r="M9" s="41">
        <v>3310.18</v>
      </c>
      <c r="N9" s="41">
        <v>2817.95</v>
      </c>
      <c r="O9" s="41">
        <v>2296.4499999999998</v>
      </c>
      <c r="P9" s="41">
        <v>1946.41</v>
      </c>
      <c r="Q9" s="41">
        <v>1555.15</v>
      </c>
      <c r="R9" s="41">
        <v>1597.42</v>
      </c>
      <c r="S9" s="41">
        <v>1426.1</v>
      </c>
      <c r="T9" s="41">
        <v>1267.98</v>
      </c>
      <c r="U9" s="41">
        <v>1283.06</v>
      </c>
      <c r="V9" s="245">
        <v>1865.43</v>
      </c>
      <c r="W9" s="273">
        <v>3695.34</v>
      </c>
      <c r="X9" s="273">
        <v>6692.06</v>
      </c>
      <c r="Y9" s="41"/>
      <c r="Z9" s="41"/>
      <c r="AA9" s="41"/>
      <c r="AB9" s="41"/>
    </row>
    <row r="10" spans="1:28" x14ac:dyDescent="0.25">
      <c r="A10" s="41" t="s">
        <v>172</v>
      </c>
      <c r="B10" s="41">
        <v>11.939</v>
      </c>
      <c r="C10" s="41" t="s">
        <v>483</v>
      </c>
      <c r="D10" s="41">
        <v>1639</v>
      </c>
      <c r="E10" s="41" t="s">
        <v>524</v>
      </c>
      <c r="F10" s="41" t="s">
        <v>543</v>
      </c>
      <c r="G10" s="41">
        <v>574.74</v>
      </c>
      <c r="H10" s="41">
        <v>446.82</v>
      </c>
      <c r="I10" s="41">
        <v>2655.11</v>
      </c>
      <c r="J10" s="41">
        <v>7333.2</v>
      </c>
      <c r="K10" s="41">
        <v>7139.22</v>
      </c>
      <c r="L10" s="41">
        <v>1869.83</v>
      </c>
      <c r="M10" s="41">
        <v>1025.24</v>
      </c>
      <c r="N10" s="41">
        <v>334.19</v>
      </c>
      <c r="O10" s="41">
        <v>1473.34</v>
      </c>
      <c r="P10" s="41">
        <v>1367.8</v>
      </c>
      <c r="Q10" s="41">
        <v>636.33000000000004</v>
      </c>
      <c r="R10" s="41">
        <v>344.9</v>
      </c>
      <c r="S10" s="41">
        <v>398.42</v>
      </c>
      <c r="T10" s="41">
        <v>969.25</v>
      </c>
      <c r="U10" s="41">
        <v>1116.1400000000001</v>
      </c>
      <c r="V10" s="245">
        <v>2093.81</v>
      </c>
      <c r="W10" s="273">
        <v>2534.69</v>
      </c>
      <c r="X10" s="273">
        <v>4313.62</v>
      </c>
      <c r="Y10" s="41"/>
      <c r="Z10" s="41"/>
      <c r="AA10" s="41"/>
      <c r="AB10" s="41"/>
    </row>
    <row r="11" spans="1:28" x14ac:dyDescent="0.25">
      <c r="A11" s="41" t="s">
        <v>173</v>
      </c>
      <c r="B11" s="41">
        <v>100</v>
      </c>
      <c r="C11" s="41"/>
      <c r="D11" s="41"/>
      <c r="E11" s="41" t="s">
        <v>524</v>
      </c>
      <c r="F11" s="41" t="s">
        <v>543</v>
      </c>
      <c r="G11" s="41"/>
      <c r="H11" s="41"/>
      <c r="I11" s="41"/>
      <c r="J11" s="41"/>
      <c r="K11" s="41"/>
      <c r="L11" s="41"/>
      <c r="M11" s="41"/>
      <c r="N11" s="41"/>
      <c r="O11" s="41"/>
      <c r="P11" s="41"/>
      <c r="Q11" s="41"/>
      <c r="R11" s="41"/>
      <c r="S11" s="41"/>
      <c r="T11" s="41"/>
      <c r="U11" s="41"/>
      <c r="V11" s="245"/>
      <c r="W11" s="273"/>
      <c r="X11" s="273"/>
      <c r="Y11" s="41"/>
      <c r="Z11" s="41"/>
      <c r="AA11" s="41"/>
      <c r="AB11" s="41"/>
    </row>
    <row r="12" spans="1:28" x14ac:dyDescent="0.25">
      <c r="A12" s="41" t="s">
        <v>174</v>
      </c>
      <c r="B12" s="41">
        <v>487.98200000000003</v>
      </c>
      <c r="C12" s="41"/>
      <c r="D12" s="41"/>
      <c r="E12" s="41"/>
      <c r="F12" s="41"/>
      <c r="G12" s="41">
        <v>60089.59</v>
      </c>
      <c r="H12" s="41">
        <v>50511.21</v>
      </c>
      <c r="I12" s="41">
        <v>103297.38</v>
      </c>
      <c r="J12" s="41">
        <v>194529.41</v>
      </c>
      <c r="K12" s="41">
        <v>199284.34</v>
      </c>
      <c r="L12" s="41">
        <v>90433.15</v>
      </c>
      <c r="M12" s="41">
        <v>65175.55</v>
      </c>
      <c r="N12" s="41">
        <v>50018.15</v>
      </c>
      <c r="O12" s="41">
        <v>54126.57</v>
      </c>
      <c r="P12" s="41">
        <v>49278.05</v>
      </c>
      <c r="Q12" s="41">
        <v>50930.51</v>
      </c>
      <c r="R12" s="41">
        <v>54532.11</v>
      </c>
      <c r="S12" s="41">
        <v>62501.61</v>
      </c>
      <c r="T12" s="41">
        <v>121259.91</v>
      </c>
      <c r="U12" s="41">
        <v>142113.84</v>
      </c>
      <c r="V12" s="245">
        <v>180718.17</v>
      </c>
      <c r="W12" s="273">
        <v>130521.22</v>
      </c>
      <c r="X12" s="273">
        <v>184872.15</v>
      </c>
      <c r="Y12" s="41"/>
      <c r="Z12" s="41"/>
      <c r="AA12" s="41"/>
      <c r="AB12" s="41"/>
    </row>
    <row r="13" spans="1:28" x14ac:dyDescent="0.25">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row>
    <row r="14" spans="1:28" x14ac:dyDescent="0.25">
      <c r="A14" s="34" t="s">
        <v>532</v>
      </c>
      <c r="B14" s="41"/>
      <c r="C14" s="41"/>
      <c r="D14" s="41"/>
      <c r="E14" s="41"/>
      <c r="F14" s="41"/>
      <c r="G14" s="41"/>
      <c r="H14" s="41"/>
      <c r="I14" s="41"/>
      <c r="J14" s="41"/>
      <c r="K14" s="41"/>
      <c r="L14" s="41"/>
      <c r="M14" s="41"/>
      <c r="N14" s="41"/>
      <c r="O14" s="41"/>
      <c r="P14" s="41"/>
      <c r="Q14" s="41"/>
      <c r="R14" s="41"/>
      <c r="S14" s="99">
        <f>(SUM(S2:S10)/SUM(G2:G10))-1</f>
        <v>4.0140397030500763E-2</v>
      </c>
      <c r="T14" s="99">
        <f>(SUM(T2:T10)/SUM(H2:H10))-1</f>
        <v>1.4006534391078738</v>
      </c>
      <c r="U14" s="99">
        <f>(SUM(U2:U10)/SUM(I2:I10))-1</f>
        <v>0.37577390636626062</v>
      </c>
      <c r="V14" s="99">
        <f t="shared" ref="V14:X14" si="0">(SUM(V2:V10)/SUM(J2:J10))-1</f>
        <v>-7.0998210501949433E-2</v>
      </c>
      <c r="W14" s="99">
        <f t="shared" si="0"/>
        <v>-0.34505029346510629</v>
      </c>
      <c r="X14" s="99">
        <f t="shared" si="0"/>
        <v>1.0442962564059748</v>
      </c>
      <c r="Y14" s="41"/>
      <c r="Z14" s="41"/>
      <c r="AA14" s="41"/>
      <c r="AB14" s="41"/>
    </row>
    <row r="15" spans="1:28" x14ac:dyDescent="0.25">
      <c r="A15" s="34" t="s">
        <v>526</v>
      </c>
      <c r="B15" s="41"/>
      <c r="C15" s="41"/>
      <c r="D15" s="41"/>
      <c r="E15" s="41"/>
      <c r="F15" s="41"/>
      <c r="G15" s="41"/>
      <c r="H15" s="41"/>
      <c r="I15" s="41"/>
      <c r="J15" s="41"/>
      <c r="K15" s="41"/>
      <c r="L15" s="41"/>
      <c r="M15" s="41"/>
      <c r="N15" s="41"/>
      <c r="O15" s="41"/>
      <c r="P15" s="41"/>
      <c r="Q15" s="41"/>
      <c r="R15" s="41"/>
      <c r="S15" s="99"/>
      <c r="T15" s="99">
        <f>(SUM(S12:T12)/SUM(G12:H12))-1</f>
        <v>0.66148454622389741</v>
      </c>
      <c r="U15" s="99">
        <f>(SUM(S12:U12)/SUM(G12:I12))-1</f>
        <v>0.52350693213004429</v>
      </c>
      <c r="V15" s="99">
        <f>(SUM(S12:V12)/SUM(G12:J12))-1</f>
        <v>0.24035090283690197</v>
      </c>
      <c r="W15" s="99">
        <f>(SUM(S12:W12)/SUM(G12:K12))-1</f>
        <v>4.8382825066475288E-2</v>
      </c>
      <c r="X15" s="99">
        <f>(SUM(S12:X12)/SUM(G12:L12))-1</f>
        <v>0.17738694083470463</v>
      </c>
      <c r="Y15" s="41"/>
      <c r="Z15" s="41"/>
      <c r="AA15" s="41"/>
      <c r="AB15" s="41"/>
    </row>
    <row r="16" spans="1:28" x14ac:dyDescent="0.25">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row>
    <row r="17" spans="1:28" x14ac:dyDescent="0.25">
      <c r="A17" s="34" t="s">
        <v>667</v>
      </c>
      <c r="B17" s="25" t="s">
        <v>683</v>
      </c>
      <c r="C17" s="25" t="s">
        <v>684</v>
      </c>
      <c r="D17" s="25" t="s">
        <v>685</v>
      </c>
      <c r="E17" s="25" t="s">
        <v>686</v>
      </c>
      <c r="F17" s="25" t="s">
        <v>687</v>
      </c>
      <c r="G17" s="41" t="s">
        <v>484</v>
      </c>
      <c r="H17" s="41" t="s">
        <v>485</v>
      </c>
      <c r="I17" s="41" t="s">
        <v>486</v>
      </c>
      <c r="J17" s="41" t="s">
        <v>487</v>
      </c>
      <c r="K17" s="41" t="s">
        <v>488</v>
      </c>
      <c r="L17" s="41" t="s">
        <v>489</v>
      </c>
      <c r="M17" s="41" t="s">
        <v>490</v>
      </c>
      <c r="N17" s="41" t="s">
        <v>491</v>
      </c>
      <c r="O17" s="41" t="s">
        <v>492</v>
      </c>
      <c r="P17" s="41" t="s">
        <v>493</v>
      </c>
      <c r="Q17" s="41" t="s">
        <v>494</v>
      </c>
      <c r="R17" s="41" t="s">
        <v>495</v>
      </c>
      <c r="S17" s="41" t="s">
        <v>496</v>
      </c>
      <c r="T17" s="41" t="s">
        <v>497</v>
      </c>
      <c r="U17" s="100" t="s">
        <v>574</v>
      </c>
      <c r="V17" s="273" t="s">
        <v>731</v>
      </c>
      <c r="W17" s="273" t="s">
        <v>732</v>
      </c>
      <c r="X17" s="273" t="s">
        <v>733</v>
      </c>
      <c r="Y17" s="41"/>
      <c r="Z17" s="41"/>
      <c r="AA17" s="41"/>
      <c r="AB17" s="41"/>
    </row>
    <row r="18" spans="1:28" x14ac:dyDescent="0.25">
      <c r="A18" s="41" t="s">
        <v>480</v>
      </c>
      <c r="G18" s="107">
        <f t="shared" ref="G18:R18" si="1">$E$2*G2</f>
        <v>1826516.21</v>
      </c>
      <c r="H18" s="107">
        <f t="shared" si="1"/>
        <v>1624544.19</v>
      </c>
      <c r="I18" s="107">
        <f t="shared" si="1"/>
        <v>3094289.69</v>
      </c>
      <c r="J18" s="107">
        <f t="shared" si="1"/>
        <v>6781129.1399999997</v>
      </c>
      <c r="K18" s="107">
        <f t="shared" si="1"/>
        <v>6852950.1899999995</v>
      </c>
      <c r="L18" s="107">
        <f t="shared" si="1"/>
        <v>2792589.45</v>
      </c>
      <c r="M18" s="107">
        <f t="shared" si="1"/>
        <v>1882832.79</v>
      </c>
      <c r="N18" s="107">
        <f t="shared" si="1"/>
        <v>1530616.5499999998</v>
      </c>
      <c r="O18" s="107">
        <f t="shared" si="1"/>
        <v>1612768.56</v>
      </c>
      <c r="P18" s="107">
        <f t="shared" si="1"/>
        <v>1676498.29</v>
      </c>
      <c r="Q18" s="107">
        <f t="shared" si="1"/>
        <v>1727971.32</v>
      </c>
      <c r="R18" s="107">
        <f t="shared" si="1"/>
        <v>1601688.6199999999</v>
      </c>
      <c r="S18" s="107">
        <f>S34*S2</f>
        <v>1781699.96</v>
      </c>
      <c r="T18" s="107">
        <f>T34*T2</f>
        <v>2087248.2803</v>
      </c>
      <c r="U18" s="107">
        <f>U34*U2</f>
        <v>1701431.3840999999</v>
      </c>
      <c r="V18" s="107">
        <f t="shared" ref="V18:X18" si="2">V34*V2</f>
        <v>1799615.7132000001</v>
      </c>
      <c r="W18" s="107">
        <f t="shared" si="2"/>
        <v>1064098.4109</v>
      </c>
      <c r="X18" s="107">
        <f t="shared" si="2"/>
        <v>2014503.9139999999</v>
      </c>
      <c r="Z18" s="41"/>
      <c r="AA18" s="41"/>
      <c r="AB18" s="41"/>
    </row>
    <row r="19" spans="1:28" x14ac:dyDescent="0.25">
      <c r="A19" s="41" t="s">
        <v>167</v>
      </c>
      <c r="G19" s="107">
        <f t="shared" ref="G19:X19" si="3">G34*G3</f>
        <v>769771.08360000001</v>
      </c>
      <c r="H19" s="107">
        <f t="shared" si="3"/>
        <v>493468.31599999999</v>
      </c>
      <c r="I19" s="107">
        <f t="shared" si="3"/>
        <v>782734.68719999993</v>
      </c>
      <c r="J19" s="107">
        <f t="shared" si="3"/>
        <v>1352777.0592</v>
      </c>
      <c r="K19" s="107">
        <f t="shared" si="3"/>
        <v>1445204.4822000002</v>
      </c>
      <c r="L19" s="107">
        <f t="shared" si="3"/>
        <v>731349.62199999997</v>
      </c>
      <c r="M19" s="107">
        <f t="shared" si="3"/>
        <v>619539.26320000004</v>
      </c>
      <c r="N19" s="107">
        <f t="shared" si="3"/>
        <v>466369.35060000006</v>
      </c>
      <c r="O19" s="107">
        <f t="shared" si="3"/>
        <v>359768.46639999998</v>
      </c>
      <c r="P19" s="107">
        <f t="shared" si="3"/>
        <v>338370.0048</v>
      </c>
      <c r="Q19" s="107">
        <f t="shared" si="3"/>
        <v>305816.71620000002</v>
      </c>
      <c r="R19" s="107">
        <f t="shared" si="3"/>
        <v>455338.23</v>
      </c>
      <c r="S19" s="107">
        <f t="shared" si="3"/>
        <v>549850.72</v>
      </c>
      <c r="T19" s="107">
        <f t="shared" si="3"/>
        <v>1472622.1816999998</v>
      </c>
      <c r="U19" s="107">
        <f t="shared" si="3"/>
        <v>1381239.2625</v>
      </c>
      <c r="V19" s="107">
        <f t="shared" si="3"/>
        <v>904110.47360000014</v>
      </c>
      <c r="W19" s="107">
        <f t="shared" si="3"/>
        <v>430314.77650000004</v>
      </c>
      <c r="X19" s="107">
        <f t="shared" si="3"/>
        <v>1156526.4308</v>
      </c>
      <c r="Z19" s="41"/>
      <c r="AA19" s="41"/>
      <c r="AB19" s="41"/>
    </row>
    <row r="20" spans="1:28" x14ac:dyDescent="0.25">
      <c r="A20" s="41" t="s">
        <v>166</v>
      </c>
      <c r="G20" s="107">
        <f t="shared" ref="G20:X20" si="4">G34*G4</f>
        <v>590320.76400000008</v>
      </c>
      <c r="H20" s="107">
        <f t="shared" si="4"/>
        <v>380761.57660000003</v>
      </c>
      <c r="I20" s="107">
        <f t="shared" si="4"/>
        <v>564581.4047999999</v>
      </c>
      <c r="J20" s="107">
        <f t="shared" si="4"/>
        <v>1004856.6584000001</v>
      </c>
      <c r="K20" s="107">
        <f t="shared" si="4"/>
        <v>1070995.2338</v>
      </c>
      <c r="L20" s="107">
        <f t="shared" si="4"/>
        <v>524145.02</v>
      </c>
      <c r="M20" s="107">
        <f t="shared" si="4"/>
        <v>433840.77879999997</v>
      </c>
      <c r="N20" s="107">
        <f t="shared" si="4"/>
        <v>327516.46800000005</v>
      </c>
      <c r="O20" s="107">
        <f t="shared" si="4"/>
        <v>257438.85089999996</v>
      </c>
      <c r="P20" s="107">
        <f t="shared" si="4"/>
        <v>238452.242</v>
      </c>
      <c r="Q20" s="107">
        <f t="shared" si="4"/>
        <v>212659.36000000002</v>
      </c>
      <c r="R20" s="107">
        <f t="shared" si="4"/>
        <v>317155.674</v>
      </c>
      <c r="S20" s="107">
        <f t="shared" si="4"/>
        <v>404385.12</v>
      </c>
      <c r="T20" s="107">
        <f t="shared" si="4"/>
        <v>1128953.7871999999</v>
      </c>
      <c r="U20" s="107">
        <f t="shared" si="4"/>
        <v>1099350.1359999999</v>
      </c>
      <c r="V20" s="107">
        <f t="shared" si="4"/>
        <v>729634.95160000003</v>
      </c>
      <c r="W20" s="107">
        <f t="shared" si="4"/>
        <v>330946.06020000001</v>
      </c>
      <c r="X20" s="107">
        <f t="shared" si="4"/>
        <v>872264.48719999997</v>
      </c>
      <c r="Z20" s="41"/>
      <c r="AA20" s="41"/>
      <c r="AB20" s="41"/>
    </row>
    <row r="21" spans="1:28" x14ac:dyDescent="0.25">
      <c r="A21" s="41" t="s">
        <v>168</v>
      </c>
      <c r="G21" s="107">
        <f t="shared" ref="G21:X21" si="5">G34*G5</f>
        <v>722059.56</v>
      </c>
      <c r="H21" s="107">
        <f t="shared" si="5"/>
        <v>778620.58019999997</v>
      </c>
      <c r="I21" s="107">
        <f t="shared" si="5"/>
        <v>814434.97679999995</v>
      </c>
      <c r="J21" s="107">
        <f t="shared" si="5"/>
        <v>1307435.8318</v>
      </c>
      <c r="K21" s="107">
        <f t="shared" si="5"/>
        <v>1470415.6543999999</v>
      </c>
      <c r="L21" s="107">
        <f t="shared" si="5"/>
        <v>953716.59200000018</v>
      </c>
      <c r="M21" s="107">
        <f t="shared" si="5"/>
        <v>1278055.064</v>
      </c>
      <c r="N21" s="107">
        <f t="shared" si="5"/>
        <v>1009446.4292</v>
      </c>
      <c r="O21" s="107">
        <f t="shared" si="5"/>
        <v>807461.12159999995</v>
      </c>
      <c r="P21" s="107">
        <f t="shared" si="5"/>
        <v>453799.9388</v>
      </c>
      <c r="Q21" s="107">
        <f t="shared" si="5"/>
        <v>804683.91630000004</v>
      </c>
      <c r="R21" s="107">
        <f t="shared" si="5"/>
        <v>1148174.1539999999</v>
      </c>
      <c r="S21" s="107">
        <f t="shared" si="5"/>
        <v>1169554.4400000002</v>
      </c>
      <c r="T21" s="107">
        <f t="shared" si="5"/>
        <v>926934.3923999999</v>
      </c>
      <c r="U21" s="107">
        <f t="shared" si="5"/>
        <v>971071.56669999997</v>
      </c>
      <c r="V21" s="107">
        <f t="shared" si="5"/>
        <v>523209.00920000003</v>
      </c>
      <c r="W21" s="107">
        <f t="shared" si="5"/>
        <v>164055.48250000001</v>
      </c>
      <c r="X21" s="107">
        <f t="shared" si="5"/>
        <v>597715.26359999995</v>
      </c>
      <c r="Z21" s="41"/>
      <c r="AA21" s="41"/>
      <c r="AB21" s="41"/>
    </row>
    <row r="22" spans="1:28" x14ac:dyDescent="0.25">
      <c r="A22" s="41" t="s">
        <v>169</v>
      </c>
      <c r="G22" s="122">
        <f t="shared" ref="G22:R22" si="6">$E$6*G6</f>
        <v>146189.07</v>
      </c>
      <c r="H22" s="122">
        <f t="shared" si="6"/>
        <v>103066.51</v>
      </c>
      <c r="I22" s="122">
        <f t="shared" si="6"/>
        <v>697274.10000000009</v>
      </c>
      <c r="J22" s="122">
        <f t="shared" si="6"/>
        <v>986262.85000000009</v>
      </c>
      <c r="K22" s="122">
        <f t="shared" si="6"/>
        <v>636382.61</v>
      </c>
      <c r="L22" s="122">
        <f t="shared" si="6"/>
        <v>144896.24000000002</v>
      </c>
      <c r="M22" s="122">
        <f t="shared" si="6"/>
        <v>67322.790000000008</v>
      </c>
      <c r="N22" s="122">
        <f t="shared" si="6"/>
        <v>16178.26</v>
      </c>
      <c r="O22" s="122">
        <f t="shared" si="6"/>
        <v>186715.02</v>
      </c>
      <c r="P22" s="122">
        <f t="shared" si="6"/>
        <v>231931.22</v>
      </c>
      <c r="Q22" s="122">
        <f t="shared" si="6"/>
        <v>275504.92</v>
      </c>
      <c r="R22" s="122">
        <f t="shared" si="6"/>
        <v>190019.73</v>
      </c>
      <c r="S22" s="122">
        <f>S34*S6</f>
        <v>127499.32</v>
      </c>
      <c r="T22" s="122">
        <f>T34*T6</f>
        <v>89781.096099999995</v>
      </c>
      <c r="U22" s="122">
        <f>U34*U6</f>
        <v>220445.92359999998</v>
      </c>
      <c r="V22" s="122">
        <f t="shared" ref="V22:X22" si="7">V34*V6</f>
        <v>180127.44640000002</v>
      </c>
      <c r="W22" s="122">
        <f t="shared" si="7"/>
        <v>98621.28850000001</v>
      </c>
      <c r="X22" s="122">
        <f t="shared" si="7"/>
        <v>152094.21599999999</v>
      </c>
      <c r="Y22" s="41"/>
      <c r="Z22" s="41"/>
      <c r="AA22" s="41"/>
      <c r="AB22" s="41"/>
    </row>
    <row r="23" spans="1:28" x14ac:dyDescent="0.25">
      <c r="A23" s="41" t="s">
        <v>170</v>
      </c>
      <c r="G23" s="122">
        <f t="shared" ref="G23:X23" si="8">G34*G7</f>
        <v>69301.670400000003</v>
      </c>
      <c r="H23" s="122">
        <f t="shared" si="8"/>
        <v>45888.409400000004</v>
      </c>
      <c r="I23" s="122">
        <f t="shared" si="8"/>
        <v>345673.95120000001</v>
      </c>
      <c r="J23" s="122">
        <f t="shared" si="8"/>
        <v>643119.77020000003</v>
      </c>
      <c r="K23" s="122">
        <f t="shared" si="8"/>
        <v>575185.97210000001</v>
      </c>
      <c r="L23" s="122">
        <f t="shared" si="8"/>
        <v>132893.39450000002</v>
      </c>
      <c r="M23" s="122">
        <f t="shared" si="8"/>
        <v>104284.6948</v>
      </c>
      <c r="N23" s="122">
        <f t="shared" si="8"/>
        <v>30139.1162</v>
      </c>
      <c r="O23" s="122">
        <f t="shared" si="8"/>
        <v>167513.51679999998</v>
      </c>
      <c r="P23" s="122">
        <f t="shared" si="8"/>
        <v>158273.98879999999</v>
      </c>
      <c r="Q23" s="122">
        <f t="shared" si="8"/>
        <v>43757.468500000003</v>
      </c>
      <c r="R23" s="122">
        <f t="shared" si="8"/>
        <v>29450.789999999997</v>
      </c>
      <c r="S23" s="122">
        <f t="shared" si="8"/>
        <v>57196.160000000003</v>
      </c>
      <c r="T23" s="122">
        <f t="shared" si="8"/>
        <v>88530.686300000001</v>
      </c>
      <c r="U23" s="122">
        <f t="shared" si="8"/>
        <v>50839.726199999997</v>
      </c>
      <c r="V23" s="122">
        <f t="shared" si="8"/>
        <v>36542.833600000005</v>
      </c>
      <c r="W23" s="122">
        <f t="shared" si="8"/>
        <v>34061.026299999998</v>
      </c>
      <c r="X23" s="122">
        <f t="shared" si="8"/>
        <v>99885.728799999997</v>
      </c>
      <c r="Y23" s="41"/>
      <c r="Z23" s="41"/>
      <c r="AA23" s="41"/>
      <c r="AB23" s="41"/>
    </row>
    <row r="24" spans="1:28" x14ac:dyDescent="0.25">
      <c r="A24" s="41" t="s">
        <v>171</v>
      </c>
      <c r="G24" s="118">
        <f t="shared" ref="G24:X24" si="9">G34*G8</f>
        <v>51198.242399999996</v>
      </c>
      <c r="H24" s="118">
        <f t="shared" si="9"/>
        <v>38185.180700000004</v>
      </c>
      <c r="I24" s="118">
        <f t="shared" si="9"/>
        <v>274487.83919999999</v>
      </c>
      <c r="J24" s="118">
        <f t="shared" si="9"/>
        <v>623221.17080000008</v>
      </c>
      <c r="K24" s="118">
        <f t="shared" si="9"/>
        <v>598300.1618</v>
      </c>
      <c r="L24" s="118">
        <f t="shared" si="9"/>
        <v>140769.01</v>
      </c>
      <c r="M24" s="118">
        <f t="shared" si="9"/>
        <v>101865.02040000001</v>
      </c>
      <c r="N24" s="118">
        <f t="shared" si="9"/>
        <v>28884.3472</v>
      </c>
      <c r="O24" s="118">
        <f t="shared" si="9"/>
        <v>133483.30590000001</v>
      </c>
      <c r="P24" s="118">
        <f t="shared" si="9"/>
        <v>124837.7172</v>
      </c>
      <c r="Q24" s="118">
        <f t="shared" si="9"/>
        <v>55318.817500000005</v>
      </c>
      <c r="R24" s="118">
        <f t="shared" si="9"/>
        <v>29917.455999999998</v>
      </c>
      <c r="S24" s="118">
        <f t="shared" si="9"/>
        <v>35856.399999999994</v>
      </c>
      <c r="T24" s="118">
        <f t="shared" si="9"/>
        <v>60655.205199999997</v>
      </c>
      <c r="U24" s="118">
        <f t="shared" si="9"/>
        <v>56627.328099999999</v>
      </c>
      <c r="V24" s="118">
        <f t="shared" si="9"/>
        <v>61903.535199999998</v>
      </c>
      <c r="W24" s="118">
        <f t="shared" si="9"/>
        <v>61699.163399999998</v>
      </c>
      <c r="X24" s="118">
        <f t="shared" si="9"/>
        <v>163046.90719999999</v>
      </c>
    </row>
    <row r="25" spans="1:28" x14ac:dyDescent="0.25">
      <c r="A25" s="41" t="s">
        <v>418</v>
      </c>
      <c r="G25" s="107">
        <f t="shared" ref="G25:X25" si="10">G34*G9</f>
        <v>125039.02320000001</v>
      </c>
      <c r="H25" s="107">
        <f t="shared" si="10"/>
        <v>98562.946799999991</v>
      </c>
      <c r="I25" s="107">
        <f t="shared" si="10"/>
        <v>128580.8112</v>
      </c>
      <c r="J25" s="107">
        <f t="shared" si="10"/>
        <v>363800.74280000001</v>
      </c>
      <c r="K25" s="107">
        <f t="shared" si="10"/>
        <v>573882.32129999995</v>
      </c>
      <c r="L25" s="107">
        <f t="shared" si="10"/>
        <v>269166.20199999999</v>
      </c>
      <c r="M25" s="107">
        <f t="shared" si="10"/>
        <v>246144.98479999998</v>
      </c>
      <c r="N25" s="107">
        <f t="shared" si="10"/>
        <v>204385.9135</v>
      </c>
      <c r="O25" s="107">
        <f t="shared" si="10"/>
        <v>154160.68849999999</v>
      </c>
      <c r="P25" s="107">
        <f t="shared" si="10"/>
        <v>129008.05480000001</v>
      </c>
      <c r="Q25" s="107">
        <f t="shared" si="10"/>
        <v>103868.46850000002</v>
      </c>
      <c r="R25" s="107">
        <f t="shared" si="10"/>
        <v>112777.852</v>
      </c>
      <c r="S25" s="107">
        <f t="shared" si="10"/>
        <v>96974.799999999988</v>
      </c>
      <c r="T25" s="107">
        <f t="shared" si="10"/>
        <v>62371.936199999996</v>
      </c>
      <c r="U25" s="107">
        <f t="shared" si="10"/>
        <v>50334.443799999994</v>
      </c>
      <c r="V25" s="107">
        <f t="shared" si="10"/>
        <v>44695.702800000006</v>
      </c>
      <c r="W25" s="107">
        <f t="shared" si="10"/>
        <v>64927.123800000001</v>
      </c>
      <c r="X25" s="107">
        <f t="shared" si="10"/>
        <v>194605.1048</v>
      </c>
    </row>
    <row r="26" spans="1:28" x14ac:dyDescent="0.25">
      <c r="A26" s="41" t="s">
        <v>172</v>
      </c>
      <c r="G26" s="107">
        <f t="shared" ref="G26:X26" si="11">G34*G10</f>
        <v>41174.373599999999</v>
      </c>
      <c r="H26" s="107">
        <f t="shared" si="11"/>
        <v>31067.3946</v>
      </c>
      <c r="I26" s="107">
        <f t="shared" si="11"/>
        <v>158669.37359999999</v>
      </c>
      <c r="J26" s="107">
        <f t="shared" si="11"/>
        <v>480617.92800000001</v>
      </c>
      <c r="K26" s="107">
        <f t="shared" si="11"/>
        <v>457124.25660000002</v>
      </c>
      <c r="L26" s="107">
        <f t="shared" si="11"/>
        <v>106486.81849999999</v>
      </c>
      <c r="M26" s="107">
        <f t="shared" si="11"/>
        <v>76236.846399999995</v>
      </c>
      <c r="N26" s="107">
        <f t="shared" si="11"/>
        <v>24238.8007</v>
      </c>
      <c r="O26" s="107">
        <f t="shared" si="11"/>
        <v>98905.314199999993</v>
      </c>
      <c r="P26" s="107">
        <f t="shared" si="11"/>
        <v>90657.784</v>
      </c>
      <c r="Q26" s="107">
        <f t="shared" si="11"/>
        <v>42500.480700000007</v>
      </c>
      <c r="R26" s="107">
        <f t="shared" si="11"/>
        <v>24349.939999999995</v>
      </c>
      <c r="S26" s="107">
        <f t="shared" si="11"/>
        <v>27092.560000000001</v>
      </c>
      <c r="T26" s="107">
        <f t="shared" si="11"/>
        <v>47677.407500000001</v>
      </c>
      <c r="U26" s="107">
        <f t="shared" si="11"/>
        <v>43786.172200000001</v>
      </c>
      <c r="V26" s="107">
        <f t="shared" si="11"/>
        <v>50167.687599999997</v>
      </c>
      <c r="W26" s="107">
        <f t="shared" si="11"/>
        <v>44534.503300000004</v>
      </c>
      <c r="X26" s="107">
        <f t="shared" si="11"/>
        <v>125440.06959999999</v>
      </c>
    </row>
    <row r="27" spans="1:28" x14ac:dyDescent="0.25">
      <c r="A27" s="91" t="s">
        <v>37</v>
      </c>
      <c r="G27" s="107">
        <f>SUM(G18:G26)</f>
        <v>4341569.9971999992</v>
      </c>
      <c r="H27" s="107">
        <f t="shared" ref="H27:X27" si="12">SUM(H18:H26)</f>
        <v>3594165.1042999998</v>
      </c>
      <c r="I27" s="107">
        <f t="shared" si="12"/>
        <v>6860726.8339999998</v>
      </c>
      <c r="J27" s="107">
        <f t="shared" si="12"/>
        <v>13543221.151199998</v>
      </c>
      <c r="K27" s="107">
        <f t="shared" si="12"/>
        <v>13680440.882200001</v>
      </c>
      <c r="L27" s="107">
        <f t="shared" si="12"/>
        <v>5796012.3490000004</v>
      </c>
      <c r="M27" s="107">
        <f t="shared" si="12"/>
        <v>4810122.2323999992</v>
      </c>
      <c r="N27" s="107">
        <f t="shared" si="12"/>
        <v>3637775.2353999997</v>
      </c>
      <c r="O27" s="107">
        <f t="shared" si="12"/>
        <v>3778214.8443</v>
      </c>
      <c r="P27" s="107">
        <f t="shared" si="12"/>
        <v>3441829.2404</v>
      </c>
      <c r="Q27" s="107">
        <f t="shared" si="12"/>
        <v>3572081.4676999999</v>
      </c>
      <c r="R27" s="107">
        <f t="shared" si="12"/>
        <v>3908872.4459999991</v>
      </c>
      <c r="S27" s="107">
        <f t="shared" si="12"/>
        <v>4250109.4799999995</v>
      </c>
      <c r="T27" s="107">
        <f t="shared" si="12"/>
        <v>5964774.9728999995</v>
      </c>
      <c r="U27" s="107">
        <f t="shared" si="12"/>
        <v>5575125.9431999996</v>
      </c>
      <c r="V27" s="107">
        <f t="shared" si="12"/>
        <v>4330007.3532000007</v>
      </c>
      <c r="W27" s="107">
        <f t="shared" si="12"/>
        <v>2293257.8354000002</v>
      </c>
      <c r="X27" s="107">
        <f t="shared" si="12"/>
        <v>5376082.1219999995</v>
      </c>
    </row>
    <row r="28" spans="1:28" x14ac:dyDescent="0.25">
      <c r="A28" s="91"/>
      <c r="G28" s="107"/>
      <c r="H28" s="107"/>
      <c r="I28" s="107"/>
      <c r="J28" s="107"/>
      <c r="K28" s="107"/>
      <c r="L28" s="107"/>
      <c r="M28" s="107"/>
      <c r="N28" s="107"/>
      <c r="O28" s="107"/>
      <c r="P28" s="107"/>
      <c r="Q28" s="107"/>
      <c r="R28" s="107"/>
      <c r="S28" s="107"/>
      <c r="T28" s="107"/>
      <c r="U28" s="107"/>
    </row>
    <row r="29" spans="1:28" x14ac:dyDescent="0.25">
      <c r="A29" s="34" t="s">
        <v>676</v>
      </c>
      <c r="G29" s="107"/>
      <c r="H29" s="107"/>
      <c r="I29" s="107">
        <f>SUM(G27:I27)</f>
        <v>14796461.9355</v>
      </c>
      <c r="J29" s="107"/>
      <c r="K29" s="107"/>
      <c r="L29" s="107">
        <f>SUM(J27:L27)</f>
        <v>33019674.382399999</v>
      </c>
      <c r="M29" s="107"/>
      <c r="N29" s="107"/>
      <c r="O29" s="107">
        <f>SUM(M27:O27)</f>
        <v>12226112.312099999</v>
      </c>
      <c r="P29" s="107"/>
      <c r="Q29" s="122"/>
      <c r="R29" s="107">
        <f>SUM(P27:R27)</f>
        <v>10922783.154099999</v>
      </c>
      <c r="S29" s="122"/>
      <c r="T29" s="122"/>
      <c r="U29" s="107">
        <f>SUM(S27:U27)</f>
        <v>15790010.3961</v>
      </c>
      <c r="V29" s="41"/>
      <c r="W29" s="41"/>
      <c r="X29" s="107">
        <f>SUM(V27:X27)</f>
        <v>11999347.310600001</v>
      </c>
      <c r="Y29" s="41"/>
    </row>
    <row r="30" spans="1:28" x14ac:dyDescent="0.25">
      <c r="A30" s="34" t="s">
        <v>677</v>
      </c>
      <c r="L30" s="40">
        <f>(L29/I29)-1</f>
        <v>1.2315925608660856</v>
      </c>
      <c r="M30" s="40"/>
      <c r="N30" s="40"/>
      <c r="O30" s="40">
        <f>(O29/L29)-1</f>
        <v>-0.62973249916066076</v>
      </c>
      <c r="P30" s="40"/>
      <c r="Q30" s="99"/>
      <c r="R30" s="40">
        <f>(R29/O29)-1</f>
        <v>-0.10660209269549359</v>
      </c>
      <c r="S30" s="99"/>
      <c r="T30" s="99"/>
      <c r="U30" s="40">
        <f>(U29/R29)-1</f>
        <v>0.44560321058585028</v>
      </c>
      <c r="V30" s="41"/>
      <c r="W30" s="41"/>
      <c r="X30" s="40">
        <f>(X29/U29)-1</f>
        <v>-0.24006716844444009</v>
      </c>
      <c r="Y30" s="41"/>
    </row>
    <row r="31" spans="1:28" x14ac:dyDescent="0.25">
      <c r="A31" s="34" t="s">
        <v>678</v>
      </c>
      <c r="D31" s="41"/>
      <c r="E31" s="41"/>
      <c r="F31" s="41"/>
      <c r="G31" s="41"/>
      <c r="H31" s="41"/>
      <c r="I31" s="41"/>
      <c r="J31" s="41"/>
      <c r="K31" s="41"/>
      <c r="L31" s="99"/>
      <c r="M31" s="99"/>
      <c r="N31" s="99"/>
      <c r="O31" s="99"/>
      <c r="P31" s="99"/>
      <c r="Q31" s="99"/>
      <c r="R31" s="99"/>
      <c r="S31" s="99"/>
      <c r="T31" s="99"/>
      <c r="U31" s="99">
        <f>(U29/I29)-1</f>
        <v>6.7147704966972865E-2</v>
      </c>
      <c r="V31" s="41"/>
      <c r="W31" s="41"/>
      <c r="X31" s="99">
        <f>(X29/L29)-1</f>
        <v>-0.63660007147145459</v>
      </c>
      <c r="Y31" s="41"/>
    </row>
    <row r="32" spans="1:28" x14ac:dyDescent="0.25">
      <c r="D32" s="41"/>
      <c r="E32" s="41"/>
      <c r="F32" s="41"/>
      <c r="G32" s="41"/>
      <c r="H32" s="41"/>
      <c r="I32" s="41"/>
      <c r="J32" s="41"/>
      <c r="K32" s="41"/>
      <c r="L32" s="41"/>
      <c r="M32" s="41"/>
      <c r="N32" s="41"/>
      <c r="O32" s="41"/>
      <c r="P32" s="41"/>
      <c r="Q32" s="41"/>
      <c r="R32" s="41"/>
      <c r="S32" s="41"/>
      <c r="T32" s="41"/>
      <c r="U32" s="41"/>
      <c r="V32" s="41"/>
      <c r="W32" s="41"/>
      <c r="X32" s="41"/>
      <c r="Y32" s="41"/>
    </row>
    <row r="33" spans="1:24" x14ac:dyDescent="0.25">
      <c r="A33" s="25" t="s">
        <v>576</v>
      </c>
      <c r="G33" s="25" t="s">
        <v>484</v>
      </c>
      <c r="H33" s="25" t="s">
        <v>485</v>
      </c>
      <c r="I33" s="25" t="s">
        <v>486</v>
      </c>
      <c r="J33" s="25" t="s">
        <v>487</v>
      </c>
      <c r="K33" s="25" t="s">
        <v>488</v>
      </c>
      <c r="L33" s="25" t="s">
        <v>489</v>
      </c>
      <c r="M33" s="25" t="s">
        <v>490</v>
      </c>
      <c r="N33" s="25" t="s">
        <v>491</v>
      </c>
      <c r="O33" s="25" t="s">
        <v>492</v>
      </c>
      <c r="P33" s="25" t="s">
        <v>493</v>
      </c>
      <c r="Q33" s="25" t="s">
        <v>494</v>
      </c>
      <c r="R33" s="25" t="s">
        <v>495</v>
      </c>
      <c r="S33" s="25" t="s">
        <v>496</v>
      </c>
      <c r="T33" s="25" t="s">
        <v>497</v>
      </c>
      <c r="U33" s="25" t="s">
        <v>574</v>
      </c>
      <c r="V33" s="25" t="s">
        <v>731</v>
      </c>
      <c r="W33" s="25" t="s">
        <v>732</v>
      </c>
      <c r="X33" s="25" t="s">
        <v>733</v>
      </c>
    </row>
    <row r="34" spans="1:24" x14ac:dyDescent="0.25">
      <c r="A34" s="24" t="s">
        <v>573</v>
      </c>
      <c r="G34" s="62">
        <f>PTF!B8</f>
        <v>71.64</v>
      </c>
      <c r="H34" s="62">
        <f>PTF!C8</f>
        <v>69.53</v>
      </c>
      <c r="I34" s="62">
        <f>PTF!D8</f>
        <v>59.76</v>
      </c>
      <c r="J34" s="62">
        <f>PTF!E8</f>
        <v>65.540000000000006</v>
      </c>
      <c r="K34" s="62">
        <f>PTF!F8</f>
        <v>64.03</v>
      </c>
      <c r="L34" s="62">
        <f>PTF!G8</f>
        <v>56.95</v>
      </c>
      <c r="M34" s="62">
        <f>PTF!H8</f>
        <v>74.36</v>
      </c>
      <c r="N34" s="62">
        <f>PTF!I8</f>
        <v>72.53</v>
      </c>
      <c r="O34" s="62">
        <f>PTF!J8</f>
        <v>67.13</v>
      </c>
      <c r="P34" s="62">
        <f>PTF!K8</f>
        <v>66.28</v>
      </c>
      <c r="Q34" s="62">
        <f>PTF!L8</f>
        <v>66.790000000000006</v>
      </c>
      <c r="R34" s="62">
        <f>PTF!M8</f>
        <v>70.599999999999994</v>
      </c>
      <c r="S34" s="62">
        <f>PTF!N8</f>
        <v>68</v>
      </c>
      <c r="T34" s="62">
        <f>PTF!O8</f>
        <v>49.19</v>
      </c>
      <c r="U34" s="62">
        <f>PTF!P8</f>
        <v>39.229999999999997</v>
      </c>
      <c r="V34" s="62">
        <f>PTF!Q8</f>
        <v>23.96</v>
      </c>
      <c r="W34" s="62">
        <f>PTF!R8</f>
        <v>17.57</v>
      </c>
      <c r="X34" s="62">
        <f>PTF!S8</f>
        <v>29.08</v>
      </c>
    </row>
    <row r="36" spans="1:24" x14ac:dyDescent="0.25">
      <c r="A36" s="34" t="s">
        <v>681</v>
      </c>
      <c r="B36" s="25" t="s">
        <v>683</v>
      </c>
      <c r="C36" s="25" t="s">
        <v>684</v>
      </c>
      <c r="D36" s="25" t="s">
        <v>685</v>
      </c>
      <c r="E36" s="25" t="s">
        <v>686</v>
      </c>
      <c r="F36" s="25" t="s">
        <v>687</v>
      </c>
      <c r="G36" s="41" t="s">
        <v>484</v>
      </c>
      <c r="H36" s="41" t="s">
        <v>485</v>
      </c>
      <c r="I36" s="41" t="s">
        <v>486</v>
      </c>
      <c r="J36" s="41" t="s">
        <v>487</v>
      </c>
      <c r="K36" s="41" t="s">
        <v>488</v>
      </c>
      <c r="L36" s="41" t="s">
        <v>489</v>
      </c>
      <c r="M36" s="41" t="s">
        <v>490</v>
      </c>
      <c r="N36" s="41" t="s">
        <v>491</v>
      </c>
      <c r="O36" s="41" t="s">
        <v>492</v>
      </c>
      <c r="P36" s="41" t="s">
        <v>493</v>
      </c>
      <c r="Q36" s="41" t="s">
        <v>494</v>
      </c>
      <c r="R36" s="41" t="s">
        <v>495</v>
      </c>
      <c r="S36" s="41" t="s">
        <v>496</v>
      </c>
      <c r="T36" s="41" t="s">
        <v>497</v>
      </c>
      <c r="U36" s="100" t="s">
        <v>574</v>
      </c>
      <c r="V36" s="273" t="s">
        <v>731</v>
      </c>
      <c r="W36" s="273" t="s">
        <v>732</v>
      </c>
      <c r="X36" s="273" t="s">
        <v>733</v>
      </c>
    </row>
    <row r="37" spans="1:24" x14ac:dyDescent="0.25">
      <c r="A37" s="108" t="s">
        <v>480</v>
      </c>
      <c r="G37" s="107">
        <f>$G$53*G18</f>
        <v>64804795.130799994</v>
      </c>
      <c r="H37" s="107">
        <f>$H$53*H18</f>
        <v>58678536.142799996</v>
      </c>
      <c r="I37" s="107">
        <f>$I$53*I18</f>
        <v>114612490.11759999</v>
      </c>
      <c r="J37" s="107">
        <f>$J$53*J18</f>
        <v>258021963.77699998</v>
      </c>
      <c r="K37" s="107">
        <f>$K$53*K18</f>
        <v>265346231.35679996</v>
      </c>
      <c r="L37" s="107">
        <f>$L$53*L18</f>
        <v>109944246.64650001</v>
      </c>
      <c r="M37" s="107">
        <f>$M$53*M18</f>
        <v>75576908.190600008</v>
      </c>
      <c r="N37" s="107">
        <f>$N$53*N18</f>
        <v>62372624.412499994</v>
      </c>
      <c r="O37" s="107">
        <f>$O$53*O18</f>
        <v>66510575.414400004</v>
      </c>
      <c r="P37" s="107">
        <f>$P$53*P18</f>
        <v>69993803.607500002</v>
      </c>
      <c r="Q37" s="107">
        <f>$Q$53*Q18</f>
        <v>72920389.704000011</v>
      </c>
      <c r="R37" s="107">
        <f>$R$53*R18</f>
        <v>68247952.098199993</v>
      </c>
      <c r="S37" s="107">
        <f>$S$53*S18</f>
        <v>76862536.274399996</v>
      </c>
      <c r="T37" s="107">
        <f>$T$53*T18</f>
        <v>91024897.503883004</v>
      </c>
      <c r="U37" s="107">
        <f>$U$53*U18</f>
        <v>75033124.03881</v>
      </c>
      <c r="V37" s="107">
        <f t="shared" ref="V37:X37" si="13">$U$53*V18</f>
        <v>79363052.952120006</v>
      </c>
      <c r="W37" s="107">
        <f t="shared" si="13"/>
        <v>46926739.92069</v>
      </c>
      <c r="X37" s="107">
        <f t="shared" si="13"/>
        <v>88839622.6074</v>
      </c>
    </row>
    <row r="38" spans="1:24" x14ac:dyDescent="0.25">
      <c r="A38" s="41" t="s">
        <v>167</v>
      </c>
      <c r="G38" s="107">
        <f t="shared" ref="G38:G45" si="14">$G$53*G19</f>
        <v>27311478.046127997</v>
      </c>
      <c r="H38" s="107">
        <f t="shared" ref="H38:H45" si="15">$H$53*H19</f>
        <v>17824075.573919997</v>
      </c>
      <c r="I38" s="107">
        <f t="shared" ref="I38:I45" si="16">$I$53*I19</f>
        <v>28992492.813887998</v>
      </c>
      <c r="J38" s="107">
        <f t="shared" ref="J38:J45" si="17">$J$53*J19</f>
        <v>51473167.102559999</v>
      </c>
      <c r="K38" s="107">
        <f t="shared" ref="K38:K45" si="18">$K$53*K19</f>
        <v>55958317.550784007</v>
      </c>
      <c r="L38" s="107">
        <f t="shared" ref="L38:L45" si="19">$L$53*L19</f>
        <v>28793234.618139997</v>
      </c>
      <c r="M38" s="107">
        <f t="shared" ref="M38:M45" si="20">$M$53*M19</f>
        <v>24868306.024848003</v>
      </c>
      <c r="N38" s="107">
        <f t="shared" ref="N38:N45" si="21">$N$53*N19</f>
        <v>19004551.036950003</v>
      </c>
      <c r="O38" s="107">
        <f t="shared" ref="O38:O45" si="22">$O$53*O19</f>
        <v>14836851.554336</v>
      </c>
      <c r="P38" s="107">
        <f t="shared" ref="P38:P45" si="23">$P$53*P19</f>
        <v>14126947.7004</v>
      </c>
      <c r="Q38" s="107">
        <f t="shared" ref="Q38:Q45" si="24">$Q$53*Q19</f>
        <v>12905465.423640002</v>
      </c>
      <c r="R38" s="107">
        <f t="shared" ref="R38:R45" si="25">$R$53*R19</f>
        <v>19401961.980299998</v>
      </c>
      <c r="S38" s="107">
        <f t="shared" ref="S38:S45" si="26">$S$53*S19</f>
        <v>23720560.060799997</v>
      </c>
      <c r="T38" s="107">
        <f t="shared" ref="T38:T45" si="27">$T$53*T19</f>
        <v>64221053.343936995</v>
      </c>
      <c r="U38" s="107">
        <f t="shared" ref="U38:X45" si="28">$U$53*U19</f>
        <v>60912651.47625</v>
      </c>
      <c r="V38" s="107">
        <f t="shared" si="28"/>
        <v>39871271.885760009</v>
      </c>
      <c r="W38" s="107">
        <f t="shared" si="28"/>
        <v>18976881.643650003</v>
      </c>
      <c r="X38" s="107">
        <f t="shared" si="28"/>
        <v>51002815.598279998</v>
      </c>
    </row>
    <row r="39" spans="1:24" x14ac:dyDescent="0.25">
      <c r="A39" s="41" t="s">
        <v>166</v>
      </c>
      <c r="B39" s="41"/>
      <c r="C39" s="41"/>
      <c r="G39" s="107">
        <f t="shared" si="14"/>
        <v>20944580.706720002</v>
      </c>
      <c r="H39" s="107">
        <f t="shared" si="15"/>
        <v>13753108.146792</v>
      </c>
      <c r="I39" s="107">
        <f t="shared" si="16"/>
        <v>20912095.233791996</v>
      </c>
      <c r="J39" s="107">
        <f t="shared" si="17"/>
        <v>38234795.852119997</v>
      </c>
      <c r="K39" s="107">
        <f t="shared" si="18"/>
        <v>41468935.452735998</v>
      </c>
      <c r="L39" s="107">
        <f t="shared" si="19"/>
        <v>20635589.437399998</v>
      </c>
      <c r="M39" s="107">
        <f t="shared" si="20"/>
        <v>17414368.861031998</v>
      </c>
      <c r="N39" s="107">
        <f t="shared" si="21"/>
        <v>13346296.071000002</v>
      </c>
      <c r="O39" s="107">
        <f t="shared" si="22"/>
        <v>10616778.211115999</v>
      </c>
      <c r="P39" s="107">
        <f t="shared" si="23"/>
        <v>9955381.1034999993</v>
      </c>
      <c r="Q39" s="107">
        <f t="shared" si="24"/>
        <v>8974224.9920000006</v>
      </c>
      <c r="R39" s="107">
        <f t="shared" si="25"/>
        <v>13514003.26914</v>
      </c>
      <c r="S39" s="107">
        <f t="shared" si="26"/>
        <v>17445174.0768</v>
      </c>
      <c r="T39" s="107">
        <f t="shared" si="27"/>
        <v>49233674.659791999</v>
      </c>
      <c r="U39" s="107">
        <f t="shared" si="28"/>
        <v>48481340.997599997</v>
      </c>
      <c r="V39" s="107">
        <f t="shared" si="28"/>
        <v>32176901.365560003</v>
      </c>
      <c r="W39" s="107">
        <f t="shared" si="28"/>
        <v>14594721.25482</v>
      </c>
      <c r="X39" s="107">
        <f t="shared" si="28"/>
        <v>38466863.885520004</v>
      </c>
    </row>
    <row r="40" spans="1:24" x14ac:dyDescent="0.25">
      <c r="A40" s="41" t="s">
        <v>168</v>
      </c>
      <c r="B40" s="41"/>
      <c r="C40" s="41"/>
      <c r="G40" s="107">
        <f t="shared" si="14"/>
        <v>25618673.1888</v>
      </c>
      <c r="H40" s="107">
        <f t="shared" si="15"/>
        <v>28123775.356823996</v>
      </c>
      <c r="I40" s="107">
        <f t="shared" si="16"/>
        <v>30166671.540671997</v>
      </c>
      <c r="J40" s="107">
        <f t="shared" si="17"/>
        <v>49747933.39999</v>
      </c>
      <c r="K40" s="107">
        <f t="shared" si="18"/>
        <v>56934494.138367996</v>
      </c>
      <c r="L40" s="107">
        <f t="shared" si="19"/>
        <v>37547822.227040008</v>
      </c>
      <c r="M40" s="107">
        <f t="shared" si="20"/>
        <v>51301130.268959999</v>
      </c>
      <c r="N40" s="107">
        <f t="shared" si="21"/>
        <v>41134941.9899</v>
      </c>
      <c r="O40" s="107">
        <f t="shared" si="22"/>
        <v>33299696.654784001</v>
      </c>
      <c r="P40" s="107">
        <f t="shared" si="23"/>
        <v>18946147.444899999</v>
      </c>
      <c r="Q40" s="107">
        <f t="shared" si="24"/>
        <v>33957661.267860003</v>
      </c>
      <c r="R40" s="107">
        <f t="shared" si="25"/>
        <v>48923700.701939993</v>
      </c>
      <c r="S40" s="107">
        <f t="shared" si="26"/>
        <v>50454578.541600011</v>
      </c>
      <c r="T40" s="107">
        <f t="shared" si="27"/>
        <v>40423608.852563992</v>
      </c>
      <c r="U40" s="107">
        <f t="shared" si="28"/>
        <v>42824256.091470003</v>
      </c>
      <c r="V40" s="107">
        <f t="shared" si="28"/>
        <v>23073517.305720001</v>
      </c>
      <c r="W40" s="107">
        <f t="shared" si="28"/>
        <v>7234846.7782500004</v>
      </c>
      <c r="X40" s="107">
        <f t="shared" si="28"/>
        <v>26359243.124759998</v>
      </c>
    </row>
    <row r="41" spans="1:24" x14ac:dyDescent="0.25">
      <c r="A41" s="41" t="s">
        <v>169</v>
      </c>
      <c r="B41" s="41"/>
      <c r="C41" s="41"/>
      <c r="G41" s="107">
        <f t="shared" si="14"/>
        <v>5186788.2035999997</v>
      </c>
      <c r="H41" s="107">
        <f t="shared" si="15"/>
        <v>3722762.3411999997</v>
      </c>
      <c r="I41" s="107">
        <f t="shared" si="16"/>
        <v>25827032.664000005</v>
      </c>
      <c r="J41" s="107">
        <f t="shared" si="17"/>
        <v>37527301.442500003</v>
      </c>
      <c r="K41" s="107">
        <f t="shared" si="18"/>
        <v>24640734.659199998</v>
      </c>
      <c r="L41" s="107">
        <f t="shared" si="19"/>
        <v>5704564.9688000008</v>
      </c>
      <c r="M41" s="107">
        <f t="shared" si="20"/>
        <v>2702336.7906000004</v>
      </c>
      <c r="N41" s="107">
        <f t="shared" si="21"/>
        <v>659264.09499999997</v>
      </c>
      <c r="O41" s="107">
        <f t="shared" si="22"/>
        <v>7700127.4248000002</v>
      </c>
      <c r="P41" s="107">
        <f t="shared" si="23"/>
        <v>9683128.4350000005</v>
      </c>
      <c r="Q41" s="107">
        <f t="shared" si="24"/>
        <v>11626307.624</v>
      </c>
      <c r="R41" s="107">
        <f t="shared" si="25"/>
        <v>8096740.6953000007</v>
      </c>
      <c r="S41" s="107">
        <f t="shared" si="26"/>
        <v>5500320.6648000004</v>
      </c>
      <c r="T41" s="107">
        <f t="shared" si="27"/>
        <v>3915353.6009209999</v>
      </c>
      <c r="U41" s="107">
        <f t="shared" si="28"/>
        <v>9721665.2307599988</v>
      </c>
      <c r="V41" s="107">
        <f t="shared" si="28"/>
        <v>7943620.3862400008</v>
      </c>
      <c r="W41" s="107">
        <f t="shared" si="28"/>
        <v>4349198.8228500001</v>
      </c>
      <c r="X41" s="107">
        <f t="shared" si="28"/>
        <v>6707354.9255999997</v>
      </c>
    </row>
    <row r="42" spans="1:24" x14ac:dyDescent="0.25">
      <c r="A42" s="41" t="s">
        <v>170</v>
      </c>
      <c r="B42" s="41"/>
      <c r="C42" s="41"/>
      <c r="G42" s="107">
        <f t="shared" si="14"/>
        <v>2458823.2657920001</v>
      </c>
      <c r="H42" s="107">
        <f t="shared" si="15"/>
        <v>1657489.3475280001</v>
      </c>
      <c r="I42" s="107">
        <f t="shared" si="16"/>
        <v>12803763.152448</v>
      </c>
      <c r="J42" s="107">
        <f t="shared" si="17"/>
        <v>24470707.256109998</v>
      </c>
      <c r="K42" s="107">
        <f t="shared" si="18"/>
        <v>22271200.839712001</v>
      </c>
      <c r="L42" s="107">
        <f t="shared" si="19"/>
        <v>5232012.9414650006</v>
      </c>
      <c r="M42" s="107">
        <f t="shared" si="20"/>
        <v>4185987.649272</v>
      </c>
      <c r="N42" s="107">
        <f t="shared" si="21"/>
        <v>1228168.9851500001</v>
      </c>
      <c r="O42" s="107">
        <f t="shared" si="22"/>
        <v>6908257.4328319998</v>
      </c>
      <c r="P42" s="107">
        <f t="shared" si="23"/>
        <v>6607939.0323999999</v>
      </c>
      <c r="Q42" s="107">
        <f t="shared" si="24"/>
        <v>1846565.1707000001</v>
      </c>
      <c r="R42" s="107">
        <f t="shared" si="25"/>
        <v>1254898.1618999999</v>
      </c>
      <c r="S42" s="107">
        <f t="shared" si="26"/>
        <v>2467442.3424</v>
      </c>
      <c r="T42" s="107">
        <f t="shared" si="27"/>
        <v>3860823.229543</v>
      </c>
      <c r="U42" s="107">
        <f t="shared" si="28"/>
        <v>2242031.9254199998</v>
      </c>
      <c r="V42" s="107">
        <f t="shared" si="28"/>
        <v>1611538.9617600003</v>
      </c>
      <c r="W42" s="107">
        <f t="shared" si="28"/>
        <v>1502091.2598299999</v>
      </c>
      <c r="X42" s="107">
        <f t="shared" si="28"/>
        <v>4404960.6400800003</v>
      </c>
    </row>
    <row r="43" spans="1:24" x14ac:dyDescent="0.25">
      <c r="A43" s="41" t="s">
        <v>171</v>
      </c>
      <c r="G43" s="107">
        <f t="shared" si="14"/>
        <v>1816513.6403519998</v>
      </c>
      <c r="H43" s="107">
        <f t="shared" si="15"/>
        <v>1379248.726884</v>
      </c>
      <c r="I43" s="107">
        <f t="shared" si="16"/>
        <v>10167029.563967999</v>
      </c>
      <c r="J43" s="107">
        <f t="shared" si="17"/>
        <v>23713565.548940003</v>
      </c>
      <c r="K43" s="107">
        <f t="shared" si="18"/>
        <v>23166182.264895998</v>
      </c>
      <c r="L43" s="107">
        <f t="shared" si="19"/>
        <v>5542075.9237000002</v>
      </c>
      <c r="M43" s="107">
        <f t="shared" si="20"/>
        <v>4088861.9188560005</v>
      </c>
      <c r="N43" s="107">
        <f t="shared" si="21"/>
        <v>1177037.1484000001</v>
      </c>
      <c r="O43" s="107">
        <f t="shared" si="22"/>
        <v>5504851.5353160007</v>
      </c>
      <c r="P43" s="107">
        <f t="shared" si="23"/>
        <v>5211974.6930999998</v>
      </c>
      <c r="Q43" s="107">
        <f t="shared" si="24"/>
        <v>2334454.0985000003</v>
      </c>
      <c r="R43" s="107">
        <f t="shared" si="25"/>
        <v>1274782.8001599999</v>
      </c>
      <c r="S43" s="107">
        <f t="shared" si="26"/>
        <v>1546845.0959999997</v>
      </c>
      <c r="T43" s="107">
        <f t="shared" si="27"/>
        <v>2645173.498772</v>
      </c>
      <c r="U43" s="107">
        <f t="shared" si="28"/>
        <v>2497265.16921</v>
      </c>
      <c r="V43" s="107">
        <f t="shared" si="28"/>
        <v>2729945.9023199999</v>
      </c>
      <c r="W43" s="107">
        <f t="shared" si="28"/>
        <v>2720933.1059400002</v>
      </c>
      <c r="X43" s="107">
        <f t="shared" si="28"/>
        <v>7190368.6075200001</v>
      </c>
    </row>
    <row r="44" spans="1:24" x14ac:dyDescent="0.25">
      <c r="A44" s="41" t="s">
        <v>418</v>
      </c>
      <c r="G44" s="107">
        <f t="shared" si="14"/>
        <v>4436384.5431359997</v>
      </c>
      <c r="H44" s="107">
        <f t="shared" si="15"/>
        <v>3560093.6384159992</v>
      </c>
      <c r="I44" s="107">
        <f t="shared" si="16"/>
        <v>4762633.2468480002</v>
      </c>
      <c r="J44" s="107">
        <f t="shared" si="17"/>
        <v>13842618.26354</v>
      </c>
      <c r="K44" s="107">
        <f t="shared" si="18"/>
        <v>22220723.480735999</v>
      </c>
      <c r="L44" s="107">
        <f t="shared" si="19"/>
        <v>10597073.372739999</v>
      </c>
      <c r="M44" s="107">
        <f t="shared" si="20"/>
        <v>9880259.6898719985</v>
      </c>
      <c r="N44" s="107">
        <f t="shared" si="21"/>
        <v>8328725.9751249999</v>
      </c>
      <c r="O44" s="107">
        <f t="shared" si="22"/>
        <v>6357586.7937399996</v>
      </c>
      <c r="P44" s="107">
        <f t="shared" si="23"/>
        <v>5386086.2879000008</v>
      </c>
      <c r="Q44" s="107">
        <f t="shared" si="24"/>
        <v>4383249.3707000008</v>
      </c>
      <c r="R44" s="107">
        <f t="shared" si="25"/>
        <v>4805464.2737199999</v>
      </c>
      <c r="S44" s="107">
        <f t="shared" si="26"/>
        <v>4183492.8719999995</v>
      </c>
      <c r="T44" s="107">
        <f t="shared" si="27"/>
        <v>2720040.1376819997</v>
      </c>
      <c r="U44" s="107">
        <f t="shared" si="28"/>
        <v>2219748.9715799997</v>
      </c>
      <c r="V44" s="107">
        <f t="shared" si="28"/>
        <v>1971080.4934800004</v>
      </c>
      <c r="W44" s="107">
        <f t="shared" si="28"/>
        <v>2863286.1595800002</v>
      </c>
      <c r="X44" s="107">
        <f t="shared" si="28"/>
        <v>8582085.1216800008</v>
      </c>
    </row>
    <row r="45" spans="1:24" x14ac:dyDescent="0.25">
      <c r="A45" s="41" t="s">
        <v>172</v>
      </c>
      <c r="G45" s="107">
        <f t="shared" si="14"/>
        <v>1460866.7753279998</v>
      </c>
      <c r="H45" s="107">
        <f t="shared" si="15"/>
        <v>1122154.2929519999</v>
      </c>
      <c r="I45" s="107">
        <f t="shared" si="16"/>
        <v>5877113.5981439995</v>
      </c>
      <c r="J45" s="107">
        <f t="shared" si="17"/>
        <v>18287512.160399999</v>
      </c>
      <c r="K45" s="107">
        <f t="shared" si="18"/>
        <v>17699851.215552002</v>
      </c>
      <c r="L45" s="107">
        <f t="shared" si="19"/>
        <v>4192386.0443449994</v>
      </c>
      <c r="M45" s="107">
        <f t="shared" si="20"/>
        <v>3060147.014496</v>
      </c>
      <c r="N45" s="107">
        <f t="shared" si="21"/>
        <v>987731.12852499995</v>
      </c>
      <c r="O45" s="107">
        <f t="shared" si="22"/>
        <v>4078855.1576080001</v>
      </c>
      <c r="P45" s="107">
        <f t="shared" si="23"/>
        <v>3784962.4819999998</v>
      </c>
      <c r="Q45" s="107">
        <f t="shared" si="24"/>
        <v>1793520.2855400005</v>
      </c>
      <c r="R45" s="107">
        <f t="shared" si="25"/>
        <v>1037550.9433999998</v>
      </c>
      <c r="S45" s="107">
        <f t="shared" si="26"/>
        <v>1168773.0384</v>
      </c>
      <c r="T45" s="107">
        <f t="shared" si="27"/>
        <v>2079211.741075</v>
      </c>
      <c r="U45" s="107">
        <f t="shared" si="28"/>
        <v>1930970.1940200001</v>
      </c>
      <c r="V45" s="107">
        <f t="shared" si="28"/>
        <v>2212395.0231599999</v>
      </c>
      <c r="W45" s="107">
        <f t="shared" si="28"/>
        <v>1963971.5955300003</v>
      </c>
      <c r="X45" s="107">
        <f t="shared" si="28"/>
        <v>5531907.0693600001</v>
      </c>
    </row>
    <row r="46" spans="1:24" x14ac:dyDescent="0.25">
      <c r="A46" s="91" t="s">
        <v>37</v>
      </c>
      <c r="G46" s="107">
        <f>SUM(G37:G45)</f>
        <v>154038903.50065601</v>
      </c>
      <c r="H46" s="107">
        <f t="shared" ref="H46:X46" si="29">SUM(H37:H45)</f>
        <v>129821243.56731597</v>
      </c>
      <c r="I46" s="107">
        <f t="shared" si="29"/>
        <v>254121321.93135998</v>
      </c>
      <c r="J46" s="107">
        <f t="shared" si="29"/>
        <v>515319564.80316001</v>
      </c>
      <c r="K46" s="107">
        <f t="shared" si="29"/>
        <v>529706670.95878398</v>
      </c>
      <c r="L46" s="107">
        <f t="shared" si="29"/>
        <v>228189006.18013</v>
      </c>
      <c r="M46" s="107">
        <f t="shared" si="29"/>
        <v>193078306.40853599</v>
      </c>
      <c r="N46" s="107">
        <f t="shared" si="29"/>
        <v>148239340.84255001</v>
      </c>
      <c r="O46" s="107">
        <f t="shared" si="29"/>
        <v>155813580.17893198</v>
      </c>
      <c r="P46" s="107">
        <f t="shared" si="29"/>
        <v>143696370.78669998</v>
      </c>
      <c r="Q46" s="107">
        <f t="shared" si="29"/>
        <v>150741837.93694007</v>
      </c>
      <c r="R46" s="107">
        <f t="shared" si="29"/>
        <v>166557054.92405999</v>
      </c>
      <c r="S46" s="107">
        <f t="shared" si="29"/>
        <v>183349722.96720001</v>
      </c>
      <c r="T46" s="107">
        <f t="shared" si="29"/>
        <v>260123836.56816897</v>
      </c>
      <c r="U46" s="107">
        <f t="shared" si="29"/>
        <v>245863054.09511998</v>
      </c>
      <c r="V46" s="107">
        <f t="shared" si="29"/>
        <v>190953324.27612004</v>
      </c>
      <c r="W46" s="107">
        <f t="shared" si="29"/>
        <v>101132670.54114</v>
      </c>
      <c r="X46" s="107">
        <f t="shared" si="29"/>
        <v>237085221.58020002</v>
      </c>
    </row>
    <row r="47" spans="1:24" x14ac:dyDescent="0.25">
      <c r="G47" s="107"/>
      <c r="H47" s="107"/>
      <c r="I47" s="107"/>
      <c r="J47" s="107"/>
      <c r="K47" s="107"/>
      <c r="L47" s="107"/>
      <c r="M47" s="107"/>
      <c r="N47" s="107"/>
      <c r="O47" s="107"/>
      <c r="P47" s="107"/>
      <c r="Q47" s="107"/>
      <c r="R47" s="107"/>
      <c r="S47" s="107"/>
      <c r="T47" s="107"/>
      <c r="U47" s="107"/>
    </row>
    <row r="48" spans="1:24" x14ac:dyDescent="0.25">
      <c r="A48" s="34" t="s">
        <v>676</v>
      </c>
      <c r="G48" s="107"/>
      <c r="H48" s="107"/>
      <c r="I48" s="107">
        <f>SUM(G46:I46)</f>
        <v>537981468.99933195</v>
      </c>
      <c r="J48" s="107"/>
      <c r="K48" s="107"/>
      <c r="L48" s="107">
        <f>SUM(J46:L46)</f>
        <v>1273215241.9420741</v>
      </c>
      <c r="M48" s="107"/>
      <c r="N48" s="107"/>
      <c r="O48" s="107">
        <f>SUM(M46:O46)</f>
        <v>497131227.43001795</v>
      </c>
      <c r="P48" s="107"/>
      <c r="Q48" s="107"/>
      <c r="R48" s="107">
        <f>SUM(P46:R46)</f>
        <v>460995263.64770007</v>
      </c>
      <c r="S48" s="107"/>
      <c r="T48" s="107"/>
      <c r="U48" s="107">
        <f>SUM(S46:U46)</f>
        <v>689336613.63048899</v>
      </c>
      <c r="X48" s="107">
        <f>SUM(V46:X46)</f>
        <v>529171216.39746004</v>
      </c>
    </row>
    <row r="49" spans="1:25" x14ac:dyDescent="0.25">
      <c r="A49" s="34" t="s">
        <v>677</v>
      </c>
      <c r="L49" s="40">
        <f>(L48/I48)-1</f>
        <v>1.3666525992248539</v>
      </c>
      <c r="M49" s="40"/>
      <c r="N49" s="40"/>
      <c r="O49" s="40">
        <f>(O48/L48)-1</f>
        <v>-0.60954659428069013</v>
      </c>
      <c r="P49" s="40"/>
      <c r="Q49" s="40"/>
      <c r="R49" s="40">
        <f>(R48/O48)-1</f>
        <v>-7.2688983890887848E-2</v>
      </c>
      <c r="S49" s="40"/>
      <c r="T49" s="40"/>
      <c r="U49" s="40">
        <f>(U48/R48)-1</f>
        <v>0.4953225509867516</v>
      </c>
      <c r="X49" s="40">
        <f>(X48/U48)-1</f>
        <v>-0.23234714951450963</v>
      </c>
    </row>
    <row r="50" spans="1:25" x14ac:dyDescent="0.25">
      <c r="A50" s="34" t="s">
        <v>678</v>
      </c>
      <c r="L50" s="40"/>
      <c r="M50" s="40"/>
      <c r="N50" s="40"/>
      <c r="O50" s="40"/>
      <c r="P50" s="40"/>
      <c r="Q50" s="40"/>
      <c r="R50" s="40"/>
      <c r="S50" s="40"/>
      <c r="T50" s="40"/>
      <c r="U50" s="40">
        <f>(U48/I48)-1</f>
        <v>0.28133895561994726</v>
      </c>
      <c r="X50" s="40">
        <f>(X48/L48)-1</f>
        <v>-0.58438196546382914</v>
      </c>
    </row>
    <row r="52" spans="1:25" x14ac:dyDescent="0.25">
      <c r="A52" s="25" t="s">
        <v>578</v>
      </c>
      <c r="G52" s="25" t="s">
        <v>484</v>
      </c>
      <c r="H52" s="25" t="s">
        <v>485</v>
      </c>
      <c r="I52" s="25" t="s">
        <v>486</v>
      </c>
      <c r="J52" s="25" t="s">
        <v>487</v>
      </c>
      <c r="K52" s="25" t="s">
        <v>488</v>
      </c>
      <c r="L52" s="25" t="s">
        <v>489</v>
      </c>
      <c r="M52" s="25" t="s">
        <v>490</v>
      </c>
      <c r="N52" s="25" t="s">
        <v>491</v>
      </c>
      <c r="O52" s="25" t="s">
        <v>492</v>
      </c>
      <c r="P52" s="25" t="s">
        <v>493</v>
      </c>
      <c r="Q52" s="25" t="s">
        <v>494</v>
      </c>
      <c r="R52" s="25" t="s">
        <v>495</v>
      </c>
      <c r="S52" s="25" t="s">
        <v>496</v>
      </c>
      <c r="T52" s="25" t="s">
        <v>497</v>
      </c>
      <c r="U52" s="25" t="s">
        <v>574</v>
      </c>
      <c r="V52" s="25" t="s">
        <v>731</v>
      </c>
      <c r="W52" s="25" t="s">
        <v>732</v>
      </c>
      <c r="X52" s="25" t="s">
        <v>733</v>
      </c>
    </row>
    <row r="53" spans="1:25" x14ac:dyDescent="0.25">
      <c r="A53" s="25" t="s">
        <v>576</v>
      </c>
      <c r="G53" s="62" t="str">
        <f>PTF!B5</f>
        <v>35,48</v>
      </c>
      <c r="H53" s="62">
        <f>PTF!C5</f>
        <v>36.119999999999997</v>
      </c>
      <c r="I53" s="62">
        <f>PTF!D5</f>
        <v>37.04</v>
      </c>
      <c r="J53" s="62">
        <f>PTF!E5</f>
        <v>38.049999999999997</v>
      </c>
      <c r="K53" s="62">
        <f>PTF!F5</f>
        <v>38.72</v>
      </c>
      <c r="L53" s="62">
        <f>PTF!G5</f>
        <v>39.369999999999997</v>
      </c>
      <c r="M53" s="62">
        <f>PTF!H5</f>
        <v>40.14</v>
      </c>
      <c r="N53" s="62">
        <f>PTF!I5</f>
        <v>40.75</v>
      </c>
      <c r="O53" s="62">
        <f>PTF!J5</f>
        <v>41.24</v>
      </c>
      <c r="P53" s="62">
        <f>PTF!K5</f>
        <v>41.75</v>
      </c>
      <c r="Q53" s="62">
        <f>PTF!L5</f>
        <v>42.2</v>
      </c>
      <c r="R53" s="62">
        <f>PTF!M5</f>
        <v>42.61</v>
      </c>
      <c r="S53" s="62">
        <f>PTF!N5</f>
        <v>43.14</v>
      </c>
      <c r="T53" s="62">
        <f>PTF!O5</f>
        <v>43.61</v>
      </c>
      <c r="U53" s="62">
        <f>PTF!P5</f>
        <v>44.1</v>
      </c>
    </row>
    <row r="55" spans="1:25" x14ac:dyDescent="0.25">
      <c r="G55" s="25" t="s">
        <v>767</v>
      </c>
      <c r="H55" s="25" t="s">
        <v>484</v>
      </c>
      <c r="I55" s="25" t="s">
        <v>485</v>
      </c>
      <c r="J55" s="25" t="s">
        <v>486</v>
      </c>
      <c r="K55" s="25" t="s">
        <v>487</v>
      </c>
      <c r="L55" s="25" t="s">
        <v>488</v>
      </c>
      <c r="M55" s="25" t="s">
        <v>489</v>
      </c>
      <c r="N55" s="25" t="s">
        <v>490</v>
      </c>
      <c r="O55" s="25" t="s">
        <v>491</v>
      </c>
      <c r="P55" s="25" t="s">
        <v>492</v>
      </c>
      <c r="Q55" s="25" t="s">
        <v>493</v>
      </c>
      <c r="R55" s="25" t="s">
        <v>494</v>
      </c>
      <c r="S55" s="25" t="s">
        <v>495</v>
      </c>
      <c r="T55" s="25" t="s">
        <v>496</v>
      </c>
      <c r="U55" s="25" t="s">
        <v>497</v>
      </c>
      <c r="V55" s="25" t="s">
        <v>574</v>
      </c>
      <c r="W55" s="25" t="s">
        <v>731</v>
      </c>
      <c r="X55" s="25" t="s">
        <v>732</v>
      </c>
      <c r="Y55" s="25" t="s">
        <v>733</v>
      </c>
    </row>
    <row r="56" spans="1:25" x14ac:dyDescent="0.25">
      <c r="G56" s="25" t="s">
        <v>29</v>
      </c>
      <c r="H56" s="25">
        <f>SUM(G2:G10)</f>
        <v>60089.59</v>
      </c>
      <c r="I56" s="25">
        <f t="shared" ref="I56:Y56" si="30">SUM(H2:H10)</f>
        <v>50511.21</v>
      </c>
      <c r="J56" s="25">
        <f t="shared" si="30"/>
        <v>103297.37999999999</v>
      </c>
      <c r="K56" s="25">
        <f t="shared" si="30"/>
        <v>194529.41</v>
      </c>
      <c r="L56" s="25">
        <f t="shared" si="30"/>
        <v>199284.34000000003</v>
      </c>
      <c r="M56" s="25">
        <f t="shared" si="30"/>
        <v>90433.150000000009</v>
      </c>
      <c r="N56" s="25">
        <f t="shared" si="30"/>
        <v>65175.55</v>
      </c>
      <c r="O56" s="25">
        <f t="shared" si="30"/>
        <v>50018.15</v>
      </c>
      <c r="P56" s="25">
        <f t="shared" si="30"/>
        <v>54126.569999999992</v>
      </c>
      <c r="Q56" s="25">
        <f t="shared" si="30"/>
        <v>49278.05</v>
      </c>
      <c r="R56" s="25">
        <f t="shared" si="30"/>
        <v>50930.51</v>
      </c>
      <c r="S56" s="25">
        <f t="shared" si="30"/>
        <v>54532.11</v>
      </c>
      <c r="T56" s="25">
        <f t="shared" si="30"/>
        <v>62501.610000000008</v>
      </c>
      <c r="U56" s="25">
        <f t="shared" si="30"/>
        <v>121259.91000000002</v>
      </c>
      <c r="V56" s="25">
        <f t="shared" si="30"/>
        <v>142113.84000000003</v>
      </c>
      <c r="W56" s="25">
        <f t="shared" si="30"/>
        <v>180718.16999999998</v>
      </c>
      <c r="X56" s="25">
        <f t="shared" si="30"/>
        <v>130521.22</v>
      </c>
      <c r="Y56" s="25">
        <f t="shared" si="30"/>
        <v>184872.15</v>
      </c>
    </row>
    <row r="57" spans="1:25" x14ac:dyDescent="0.25">
      <c r="G57" s="25" t="s">
        <v>522</v>
      </c>
      <c r="H57" s="25">
        <f>H56</f>
        <v>60089.59</v>
      </c>
      <c r="I57" s="25">
        <f t="shared" ref="I57:Y57" si="31">I56</f>
        <v>50511.21</v>
      </c>
      <c r="J57" s="25">
        <f t="shared" si="31"/>
        <v>103297.37999999999</v>
      </c>
      <c r="K57" s="25">
        <f t="shared" si="31"/>
        <v>194529.41</v>
      </c>
      <c r="L57" s="25">
        <f t="shared" si="31"/>
        <v>199284.34000000003</v>
      </c>
      <c r="M57" s="25">
        <f t="shared" si="31"/>
        <v>90433.150000000009</v>
      </c>
      <c r="N57" s="25">
        <f t="shared" si="31"/>
        <v>65175.55</v>
      </c>
      <c r="O57" s="25">
        <f t="shared" si="31"/>
        <v>50018.15</v>
      </c>
      <c r="P57" s="25">
        <f t="shared" si="31"/>
        <v>54126.569999999992</v>
      </c>
      <c r="Q57" s="25">
        <f t="shared" si="31"/>
        <v>49278.05</v>
      </c>
      <c r="R57" s="25">
        <f t="shared" si="31"/>
        <v>50930.51</v>
      </c>
      <c r="S57" s="25">
        <f t="shared" si="31"/>
        <v>54532.11</v>
      </c>
      <c r="T57" s="25">
        <f t="shared" si="31"/>
        <v>62501.610000000008</v>
      </c>
      <c r="U57" s="25">
        <f t="shared" si="31"/>
        <v>121259.91000000002</v>
      </c>
      <c r="V57" s="25">
        <f t="shared" si="31"/>
        <v>142113.84000000003</v>
      </c>
      <c r="W57" s="25">
        <f t="shared" si="31"/>
        <v>180718.16999999998</v>
      </c>
      <c r="X57" s="25">
        <f t="shared" si="31"/>
        <v>130521.22</v>
      </c>
      <c r="Y57" s="25">
        <f t="shared" si="31"/>
        <v>184872.15</v>
      </c>
    </row>
    <row r="59" spans="1:25" x14ac:dyDescent="0.25">
      <c r="G59" s="25" t="s">
        <v>767</v>
      </c>
      <c r="H59" s="25" t="s">
        <v>756</v>
      </c>
      <c r="I59" s="25" t="s">
        <v>757</v>
      </c>
      <c r="J59" s="25" t="s">
        <v>758</v>
      </c>
      <c r="K59" s="25" t="s">
        <v>759</v>
      </c>
      <c r="L59" s="25" t="s">
        <v>760</v>
      </c>
      <c r="M59" s="25" t="s">
        <v>761</v>
      </c>
    </row>
    <row r="60" spans="1:25" x14ac:dyDescent="0.25">
      <c r="G60" s="25" t="s">
        <v>29</v>
      </c>
      <c r="H60" s="25">
        <f>SUM(H56:J56)</f>
        <v>213898.18</v>
      </c>
      <c r="I60" s="25">
        <f>SUM(K56:M56)</f>
        <v>484246.9</v>
      </c>
      <c r="J60" s="25">
        <f>SUM(N56:P56)</f>
        <v>169320.27000000002</v>
      </c>
      <c r="K60" s="25">
        <f>SUM(Q56:S56)</f>
        <v>154740.66999999998</v>
      </c>
      <c r="L60" s="25">
        <f>SUM(T56:V56)</f>
        <v>325875.36000000004</v>
      </c>
      <c r="M60" s="25">
        <f>SUM(W56:Y56)</f>
        <v>496111.54000000004</v>
      </c>
    </row>
    <row r="61" spans="1:25" x14ac:dyDescent="0.25">
      <c r="G61" s="25" t="s">
        <v>522</v>
      </c>
      <c r="H61" s="25">
        <f>H60</f>
        <v>213898.18</v>
      </c>
      <c r="I61" s="25">
        <f t="shared" ref="I61:M61" si="32">I60</f>
        <v>484246.9</v>
      </c>
      <c r="J61" s="25">
        <f t="shared" si="32"/>
        <v>169320.27000000002</v>
      </c>
      <c r="K61" s="25">
        <f t="shared" si="32"/>
        <v>154740.66999999998</v>
      </c>
      <c r="L61" s="25">
        <f t="shared" si="32"/>
        <v>325875.36000000004</v>
      </c>
      <c r="M61" s="25">
        <f t="shared" si="32"/>
        <v>496111.54000000004</v>
      </c>
    </row>
    <row r="62" spans="1:25" x14ac:dyDescent="0.25">
      <c r="A62" s="86" t="s">
        <v>44</v>
      </c>
      <c r="B62" s="41"/>
      <c r="C62" s="41"/>
    </row>
    <row r="63" spans="1:25" x14ac:dyDescent="0.25">
      <c r="A63" s="41" t="s">
        <v>175</v>
      </c>
      <c r="B63" s="41"/>
      <c r="C63" s="41"/>
    </row>
    <row r="64" spans="1:25" x14ac:dyDescent="0.25">
      <c r="A64" s="41" t="s">
        <v>176</v>
      </c>
      <c r="B64" s="41"/>
      <c r="C64" s="41"/>
    </row>
    <row r="65" spans="1:3" x14ac:dyDescent="0.25">
      <c r="A65" s="41" t="s">
        <v>177</v>
      </c>
      <c r="B65" s="41"/>
      <c r="C65" s="41"/>
    </row>
  </sheetData>
  <phoneticPr fontId="48" type="noConversion"/>
  <conditionalFormatting sqref="L30:U31">
    <cfRule type="colorScale" priority="8">
      <colorScale>
        <cfvo type="min"/>
        <cfvo type="percentile" val="50"/>
        <cfvo type="max"/>
        <color rgb="FFF8696B"/>
        <color rgb="FFFFEB84"/>
        <color rgb="FF63BE7B"/>
      </colorScale>
    </cfRule>
  </conditionalFormatting>
  <conditionalFormatting sqref="L49:U50">
    <cfRule type="colorScale" priority="7">
      <colorScale>
        <cfvo type="min"/>
        <cfvo type="percentile" val="50"/>
        <cfvo type="max"/>
        <color rgb="FFF8696B"/>
        <color rgb="FFFFEB84"/>
        <color rgb="FF63BE7B"/>
      </colorScale>
    </cfRule>
  </conditionalFormatting>
  <conditionalFormatting sqref="L30:X31">
    <cfRule type="colorScale" priority="4">
      <colorScale>
        <cfvo type="min"/>
        <cfvo type="percentile" val="50"/>
        <cfvo type="max"/>
        <color rgb="FFF8696B"/>
        <color rgb="FFFFEB84"/>
        <color rgb="FF63BE7B"/>
      </colorScale>
    </cfRule>
  </conditionalFormatting>
  <conditionalFormatting sqref="L49:X50">
    <cfRule type="colorScale" priority="1">
      <colorScale>
        <cfvo type="min"/>
        <cfvo type="percentile" val="50"/>
        <cfvo type="max"/>
        <color rgb="FFF8696B"/>
        <color rgb="FFFFEB84"/>
        <color rgb="FF63BE7B"/>
      </colorScale>
    </cfRule>
  </conditionalFormatting>
  <conditionalFormatting sqref="S14:X15">
    <cfRule type="colorScale" priority="9">
      <colorScale>
        <cfvo type="min"/>
        <cfvo type="percentile" val="50"/>
        <cfvo type="max"/>
        <color rgb="FFF8696B"/>
        <color rgb="FFFFEB84"/>
        <color rgb="FF63BE7B"/>
      </colorScale>
    </cfRule>
  </conditionalFormatting>
  <conditionalFormatting sqref="X30">
    <cfRule type="colorScale" priority="6">
      <colorScale>
        <cfvo type="min"/>
        <cfvo type="percentile" val="50"/>
        <cfvo type="max"/>
        <color rgb="FFF8696B"/>
        <color rgb="FFFFEB84"/>
        <color rgb="FF63BE7B"/>
      </colorScale>
    </cfRule>
  </conditionalFormatting>
  <conditionalFormatting sqref="X31">
    <cfRule type="colorScale" priority="5">
      <colorScale>
        <cfvo type="min"/>
        <cfvo type="percentile" val="50"/>
        <cfvo type="max"/>
        <color rgb="FFF8696B"/>
        <color rgb="FFFFEB84"/>
        <color rgb="FF63BE7B"/>
      </colorScale>
    </cfRule>
  </conditionalFormatting>
  <conditionalFormatting sqref="X49">
    <cfRule type="colorScale" priority="3">
      <colorScale>
        <cfvo type="min"/>
        <cfvo type="percentile" val="50"/>
        <cfvo type="max"/>
        <color rgb="FFF8696B"/>
        <color rgb="FFFFEB84"/>
        <color rgb="FF63BE7B"/>
      </colorScale>
    </cfRule>
  </conditionalFormatting>
  <conditionalFormatting sqref="X50">
    <cfRule type="colorScale" priority="2">
      <colorScale>
        <cfvo type="min"/>
        <cfvo type="percentile" val="50"/>
        <cfvo type="max"/>
        <color rgb="FFF8696B"/>
        <color rgb="FFFFEB84"/>
        <color rgb="FF63BE7B"/>
      </colorScale>
    </cfRule>
  </conditionalFormatting>
  <pageMargins left="0.7" right="0.7" top="0.75" bottom="0.75" header="0.3" footer="0.3"/>
  <legacyDrawing r:id="rId1"/>
  <tableParts count="3">
    <tablePart r:id="rId2"/>
    <tablePart r:id="rId3"/>
    <tablePart r:id="rId4"/>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AB343-A6DE-4B11-A7C3-D9CF2D955A32}">
  <dimension ref="A1:Z53"/>
  <sheetViews>
    <sheetView zoomScale="70" zoomScaleNormal="70" workbookViewId="0">
      <selection activeCell="B3" sqref="B3"/>
    </sheetView>
  </sheetViews>
  <sheetFormatPr defaultColWidth="9.140625" defaultRowHeight="15" x14ac:dyDescent="0.25"/>
  <cols>
    <col min="1" max="1" width="45.140625" style="25" customWidth="1"/>
    <col min="2" max="2" width="11.5703125" style="25" customWidth="1"/>
    <col min="3" max="3" width="23.42578125" style="25" customWidth="1"/>
    <col min="4" max="4" width="9.140625" style="25" customWidth="1"/>
    <col min="5" max="5" width="11.7109375" style="25" customWidth="1"/>
    <col min="6" max="6" width="15.7109375" style="25" customWidth="1"/>
    <col min="7" max="14" width="15.42578125" style="25" bestFit="1" customWidth="1"/>
    <col min="15" max="15" width="15.7109375" style="25" bestFit="1" customWidth="1"/>
    <col min="16" max="17" width="15.42578125" style="25" bestFit="1" customWidth="1"/>
    <col min="18" max="18" width="15.7109375" style="25" bestFit="1" customWidth="1"/>
    <col min="19" max="21" width="15.42578125" style="25" bestFit="1" customWidth="1"/>
    <col min="22" max="23" width="14.28515625" style="25" bestFit="1" customWidth="1"/>
    <col min="24" max="24" width="15.28515625" style="25" bestFit="1" customWidth="1"/>
    <col min="25" max="16384" width="9.140625" style="25"/>
  </cols>
  <sheetData>
    <row r="1" spans="1:24" x14ac:dyDescent="0.25">
      <c r="A1" s="25" t="s">
        <v>35</v>
      </c>
      <c r="B1" s="25" t="s">
        <v>111</v>
      </c>
      <c r="C1" s="25" t="s">
        <v>338</v>
      </c>
      <c r="D1" s="25" t="s">
        <v>454</v>
      </c>
      <c r="E1" s="25" t="s">
        <v>551</v>
      </c>
      <c r="F1" s="25" t="s">
        <v>569</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25" t="s">
        <v>142</v>
      </c>
      <c r="B2" s="25">
        <v>105</v>
      </c>
      <c r="C2" s="25" t="s">
        <v>385</v>
      </c>
      <c r="D2" s="25">
        <v>1508</v>
      </c>
      <c r="E2" s="25" t="s">
        <v>524</v>
      </c>
      <c r="F2" s="25" t="s">
        <v>543</v>
      </c>
      <c r="G2" s="25">
        <v>26321.16</v>
      </c>
      <c r="H2" s="25">
        <v>22863.81</v>
      </c>
      <c r="I2" s="25">
        <v>29890.560000000001</v>
      </c>
      <c r="J2" s="25">
        <v>21646.639999999999</v>
      </c>
      <c r="K2" s="25">
        <v>17754.52</v>
      </c>
      <c r="L2" s="25">
        <v>28923.81</v>
      </c>
      <c r="M2" s="25">
        <v>31017.24</v>
      </c>
      <c r="N2" s="25">
        <v>48262.22</v>
      </c>
      <c r="O2" s="25">
        <v>30114.69</v>
      </c>
      <c r="P2" s="25">
        <v>14742.05</v>
      </c>
      <c r="Q2" s="25">
        <v>24511.34</v>
      </c>
      <c r="R2" s="25">
        <v>17195.91</v>
      </c>
      <c r="S2" s="25">
        <v>39372.44</v>
      </c>
      <c r="T2" s="25">
        <v>28841.47</v>
      </c>
      <c r="U2" s="25">
        <v>28666.09</v>
      </c>
      <c r="V2" s="25">
        <v>17038.53</v>
      </c>
      <c r="W2" s="25">
        <v>13513.63</v>
      </c>
      <c r="X2" s="25">
        <v>26659.1</v>
      </c>
    </row>
    <row r="3" spans="1:24" x14ac:dyDescent="0.25">
      <c r="A3" s="25" t="s">
        <v>143</v>
      </c>
      <c r="B3" s="25">
        <v>79</v>
      </c>
      <c r="C3" s="25" t="s">
        <v>384</v>
      </c>
      <c r="D3" s="25">
        <v>2754</v>
      </c>
      <c r="E3" s="25">
        <v>73</v>
      </c>
      <c r="F3" s="25">
        <v>2030</v>
      </c>
      <c r="G3" s="25">
        <v>18004.95</v>
      </c>
      <c r="H3" s="25">
        <v>14827.39</v>
      </c>
      <c r="I3" s="25">
        <v>25879.97</v>
      </c>
      <c r="J3" s="25">
        <v>17229.740000000002</v>
      </c>
      <c r="K3" s="25">
        <v>18098.8</v>
      </c>
      <c r="L3" s="25">
        <v>23602.33</v>
      </c>
      <c r="M3" s="25">
        <v>22153.23</v>
      </c>
      <c r="N3" s="25">
        <v>25923.82</v>
      </c>
      <c r="O3" s="25">
        <v>20214.11</v>
      </c>
      <c r="P3" s="25">
        <v>16820.03</v>
      </c>
      <c r="Q3" s="25">
        <v>20370.400000000001</v>
      </c>
      <c r="R3" s="25">
        <v>16257.11</v>
      </c>
      <c r="S3" s="25">
        <v>32827.14</v>
      </c>
      <c r="T3" s="25">
        <v>23077.31</v>
      </c>
      <c r="U3" s="25">
        <v>17952.939999999999</v>
      </c>
      <c r="V3" s="25">
        <v>13091.21</v>
      </c>
      <c r="W3" s="25">
        <v>18021.05</v>
      </c>
      <c r="X3" s="25">
        <v>21526.66</v>
      </c>
    </row>
    <row r="4" spans="1:24" x14ac:dyDescent="0.25">
      <c r="A4" s="25" t="s">
        <v>144</v>
      </c>
      <c r="B4" s="25">
        <v>99.9</v>
      </c>
      <c r="C4" s="25" t="s">
        <v>383</v>
      </c>
      <c r="D4" s="25">
        <v>1176</v>
      </c>
      <c r="E4" s="25" t="s">
        <v>524</v>
      </c>
      <c r="F4" s="25" t="s">
        <v>543</v>
      </c>
      <c r="G4" s="25">
        <v>12969.26</v>
      </c>
      <c r="H4" s="25">
        <v>18824.59</v>
      </c>
      <c r="I4" s="25">
        <v>14954.78</v>
      </c>
      <c r="J4" s="25">
        <v>17488.689999999999</v>
      </c>
      <c r="K4" s="25">
        <v>16193.22</v>
      </c>
      <c r="L4" s="25">
        <v>41587.050000000003</v>
      </c>
      <c r="M4" s="25">
        <v>28531.91</v>
      </c>
      <c r="N4" s="25">
        <v>28933.54</v>
      </c>
      <c r="O4" s="25">
        <v>35124.14</v>
      </c>
      <c r="P4" s="25">
        <v>20190.93</v>
      </c>
      <c r="Q4" s="25">
        <v>14804.55</v>
      </c>
      <c r="R4" s="25">
        <v>34315.11</v>
      </c>
      <c r="S4" s="25">
        <v>32529.21</v>
      </c>
      <c r="T4" s="25">
        <v>29148.61</v>
      </c>
      <c r="U4" s="25">
        <v>25523.49</v>
      </c>
      <c r="V4" s="25">
        <v>20486.3</v>
      </c>
      <c r="W4" s="25">
        <v>19103.919999999998</v>
      </c>
      <c r="X4" s="25">
        <v>24266.73</v>
      </c>
    </row>
    <row r="5" spans="1:24" x14ac:dyDescent="0.25">
      <c r="A5" s="25" t="s">
        <v>145</v>
      </c>
      <c r="B5" s="25">
        <v>24.7</v>
      </c>
      <c r="E5" s="25">
        <v>133</v>
      </c>
      <c r="F5" s="25">
        <v>2028</v>
      </c>
    </row>
    <row r="6" spans="1:24" x14ac:dyDescent="0.25">
      <c r="A6" s="25" t="s">
        <v>146</v>
      </c>
      <c r="B6" s="25">
        <v>9.4</v>
      </c>
      <c r="E6" s="25">
        <v>133</v>
      </c>
      <c r="F6" s="25">
        <v>2027</v>
      </c>
    </row>
    <row r="7" spans="1:24" x14ac:dyDescent="0.25">
      <c r="A7" s="25" t="s">
        <v>147</v>
      </c>
      <c r="B7" s="25">
        <v>36.200000000000003</v>
      </c>
      <c r="C7" s="101" t="s">
        <v>384</v>
      </c>
      <c r="D7" s="25">
        <v>2754</v>
      </c>
      <c r="E7" s="25">
        <v>73</v>
      </c>
      <c r="F7" s="25">
        <v>2030</v>
      </c>
    </row>
    <row r="8" spans="1:24" x14ac:dyDescent="0.25">
      <c r="A8" s="25" t="s">
        <v>37</v>
      </c>
      <c r="B8" s="25">
        <f>SUM(B2:B7)</f>
        <v>354.19999999999993</v>
      </c>
      <c r="G8" s="25">
        <v>57295.37</v>
      </c>
      <c r="H8" s="25">
        <v>56515.79</v>
      </c>
      <c r="I8" s="25">
        <v>70725.31</v>
      </c>
      <c r="J8" s="25">
        <v>56365.07</v>
      </c>
      <c r="K8" s="25">
        <v>52046.54</v>
      </c>
      <c r="L8" s="25">
        <v>94113.19</v>
      </c>
      <c r="M8" s="25">
        <v>81702.38</v>
      </c>
      <c r="N8" s="25">
        <v>103119.58</v>
      </c>
      <c r="O8" s="25">
        <v>85452.94</v>
      </c>
      <c r="P8" s="25">
        <v>51753.01</v>
      </c>
      <c r="Q8" s="25">
        <v>59686.29</v>
      </c>
      <c r="R8" s="25">
        <v>67768.13</v>
      </c>
      <c r="S8" s="25">
        <v>104728.79</v>
      </c>
      <c r="T8" s="25">
        <v>81067.39</v>
      </c>
      <c r="U8" s="25">
        <v>72142.52</v>
      </c>
      <c r="V8" s="25">
        <v>50616.04</v>
      </c>
      <c r="W8" s="25">
        <v>50638.6</v>
      </c>
      <c r="X8" s="25">
        <v>72452.490000000005</v>
      </c>
    </row>
    <row r="10" spans="1:24" x14ac:dyDescent="0.25">
      <c r="A10" s="34"/>
    </row>
    <row r="11" spans="1:24" x14ac:dyDescent="0.25">
      <c r="A11" s="34"/>
    </row>
    <row r="12" spans="1:24" x14ac:dyDescent="0.25">
      <c r="A12" s="34" t="s">
        <v>531</v>
      </c>
      <c r="S12" s="40">
        <f>(S8/G8)-1</f>
        <v>0.82787527159698926</v>
      </c>
      <c r="T12" s="40">
        <f>(T8/H8)-1</f>
        <v>0.43442018593387788</v>
      </c>
      <c r="U12" s="40">
        <f>(U8/I8)-1</f>
        <v>2.003822959560031E-2</v>
      </c>
      <c r="V12" s="40">
        <f t="shared" ref="V12:X12" si="0">(V8/J8)-1</f>
        <v>-0.1019963250289585</v>
      </c>
      <c r="W12" s="40">
        <f t="shared" si="0"/>
        <v>-2.7051558086282013E-2</v>
      </c>
      <c r="X12" s="40">
        <f t="shared" si="0"/>
        <v>-0.23015583681734719</v>
      </c>
    </row>
    <row r="13" spans="1:24" x14ac:dyDescent="0.25">
      <c r="A13" s="34" t="s">
        <v>533</v>
      </c>
      <c r="S13" s="40"/>
      <c r="T13" s="40">
        <f>(SUM(S8:T8)/SUM(G8:H8))-1</f>
        <v>0.63249526672076795</v>
      </c>
      <c r="U13" s="40">
        <f>(SUM(S8:U8)/SUM(G8:I8))-1</f>
        <v>0.39776543899425421</v>
      </c>
      <c r="V13" s="40">
        <f>(SUM(S8:V8)/SUM(G8:J8))-1</f>
        <v>0.28083340604630425</v>
      </c>
      <c r="W13" s="40">
        <f>(SUM(S8:W8)/SUM(G8:K8))-1</f>
        <v>0.22613310863822678</v>
      </c>
      <c r="X13" s="40">
        <f>(SUM(S8:X8)/SUM(G8:L8))-1</f>
        <v>0.11518734488728355</v>
      </c>
    </row>
    <row r="14" spans="1:24" x14ac:dyDescent="0.25">
      <c r="A14" s="34"/>
    </row>
    <row r="15" spans="1:24" x14ac:dyDescent="0.25">
      <c r="A15" s="34"/>
      <c r="B15" s="41"/>
      <c r="C15" s="41"/>
      <c r="D15" s="41"/>
      <c r="E15" s="41"/>
      <c r="F15" s="41"/>
      <c r="G15" s="41"/>
      <c r="H15" s="41"/>
      <c r="I15" s="41"/>
      <c r="J15" s="41"/>
      <c r="K15" s="41"/>
      <c r="L15" s="41"/>
      <c r="M15" s="41"/>
      <c r="N15" s="41"/>
      <c r="O15" s="41"/>
    </row>
    <row r="16" spans="1:24" x14ac:dyDescent="0.25">
      <c r="A16" s="113" t="s">
        <v>667</v>
      </c>
      <c r="B16" s="107" t="s">
        <v>683</v>
      </c>
      <c r="C16" s="107" t="s">
        <v>684</v>
      </c>
      <c r="D16" s="107" t="s">
        <v>685</v>
      </c>
      <c r="E16" s="107" t="s">
        <v>686</v>
      </c>
      <c r="F16" s="107" t="s">
        <v>687</v>
      </c>
      <c r="G16" s="122" t="s">
        <v>484</v>
      </c>
      <c r="H16" s="122" t="s">
        <v>485</v>
      </c>
      <c r="I16" s="122" t="s">
        <v>486</v>
      </c>
      <c r="J16" s="122" t="s">
        <v>487</v>
      </c>
      <c r="K16" s="122" t="s">
        <v>488</v>
      </c>
      <c r="L16" s="122" t="s">
        <v>489</v>
      </c>
      <c r="M16" s="122" t="s">
        <v>490</v>
      </c>
      <c r="N16" s="122" t="s">
        <v>491</v>
      </c>
      <c r="O16" s="122" t="s">
        <v>492</v>
      </c>
      <c r="P16" s="122" t="s">
        <v>493</v>
      </c>
      <c r="Q16" s="122" t="s">
        <v>494</v>
      </c>
      <c r="R16" s="122" t="s">
        <v>495</v>
      </c>
      <c r="S16" s="122" t="s">
        <v>496</v>
      </c>
      <c r="T16" s="122" t="s">
        <v>497</v>
      </c>
      <c r="U16" s="107" t="s">
        <v>574</v>
      </c>
      <c r="V16" s="274" t="s">
        <v>731</v>
      </c>
      <c r="W16" s="274" t="s">
        <v>732</v>
      </c>
      <c r="X16" s="274" t="s">
        <v>733</v>
      </c>
    </row>
    <row r="17" spans="1:24" x14ac:dyDescent="0.25">
      <c r="A17" s="107" t="s">
        <v>142</v>
      </c>
      <c r="B17" s="107"/>
      <c r="C17" s="107"/>
      <c r="D17" s="107"/>
      <c r="E17" s="107"/>
      <c r="F17" s="107"/>
      <c r="G17" s="107">
        <f t="shared" ref="G17:X17" si="1">G28*G2</f>
        <v>1885647.9024</v>
      </c>
      <c r="H17" s="107">
        <f t="shared" si="1"/>
        <v>1589720.7093000002</v>
      </c>
      <c r="I17" s="107">
        <f t="shared" si="1"/>
        <v>1786259.8655999999</v>
      </c>
      <c r="J17" s="107">
        <f t="shared" si="1"/>
        <v>1418720.7856000001</v>
      </c>
      <c r="K17" s="107">
        <f t="shared" si="1"/>
        <v>1136821.9155999999</v>
      </c>
      <c r="L17" s="107">
        <f t="shared" si="1"/>
        <v>1647210.9795000001</v>
      </c>
      <c r="M17" s="107">
        <f t="shared" si="1"/>
        <v>2306441.9664000003</v>
      </c>
      <c r="N17" s="107">
        <f t="shared" si="1"/>
        <v>3500458.8166</v>
      </c>
      <c r="O17" s="107">
        <f t="shared" si="1"/>
        <v>2021599.1396999997</v>
      </c>
      <c r="P17" s="107">
        <f t="shared" si="1"/>
        <v>977103.07400000002</v>
      </c>
      <c r="Q17" s="107">
        <f t="shared" si="1"/>
        <v>1637112.3986000002</v>
      </c>
      <c r="R17" s="107">
        <f t="shared" si="1"/>
        <v>1214031.2459999998</v>
      </c>
      <c r="S17" s="107">
        <f t="shared" si="1"/>
        <v>2677325.92</v>
      </c>
      <c r="T17" s="107">
        <f t="shared" si="1"/>
        <v>1418711.9092999999</v>
      </c>
      <c r="U17" s="107">
        <f t="shared" si="1"/>
        <v>1124570.7106999999</v>
      </c>
      <c r="V17" s="107">
        <f t="shared" si="1"/>
        <v>408243.17879999999</v>
      </c>
      <c r="W17" s="107">
        <f t="shared" si="1"/>
        <v>237434.4791</v>
      </c>
      <c r="X17" s="107">
        <f t="shared" si="1"/>
        <v>775246.62799999991</v>
      </c>
    </row>
    <row r="18" spans="1:24" x14ac:dyDescent="0.25">
      <c r="A18" s="107" t="s">
        <v>143</v>
      </c>
      <c r="B18" s="107"/>
      <c r="C18" s="107"/>
      <c r="D18" s="107"/>
      <c r="E18" s="107"/>
      <c r="F18" s="107"/>
      <c r="G18" s="107">
        <f t="shared" ref="G18:X18" si="2">$E$3*G3</f>
        <v>1314361.3500000001</v>
      </c>
      <c r="H18" s="107">
        <f t="shared" si="2"/>
        <v>1082399.47</v>
      </c>
      <c r="I18" s="107">
        <f t="shared" si="2"/>
        <v>1889237.81</v>
      </c>
      <c r="J18" s="107">
        <f>($E$3+21)*J3</f>
        <v>1619595.56</v>
      </c>
      <c r="K18" s="107">
        <f>($E$3+21)*K3</f>
        <v>1701287.2</v>
      </c>
      <c r="L18" s="107">
        <f>($E$3+21)*L3</f>
        <v>2218619.02</v>
      </c>
      <c r="M18" s="107">
        <f t="shared" si="2"/>
        <v>1617185.79</v>
      </c>
      <c r="N18" s="107">
        <f t="shared" si="2"/>
        <v>1892438.8599999999</v>
      </c>
      <c r="O18" s="107">
        <f t="shared" si="2"/>
        <v>1475630.03</v>
      </c>
      <c r="P18" s="107">
        <f t="shared" si="2"/>
        <v>1227862.19</v>
      </c>
      <c r="Q18" s="107">
        <f t="shared" si="2"/>
        <v>1487039.2000000002</v>
      </c>
      <c r="R18" s="107">
        <f t="shared" si="2"/>
        <v>1186769.03</v>
      </c>
      <c r="S18" s="107">
        <f t="shared" si="2"/>
        <v>2396381.2199999997</v>
      </c>
      <c r="T18" s="107">
        <f t="shared" si="2"/>
        <v>1684643.6300000001</v>
      </c>
      <c r="U18" s="107">
        <f t="shared" si="2"/>
        <v>1310564.6199999999</v>
      </c>
      <c r="V18" s="107">
        <f t="shared" si="2"/>
        <v>955658.33</v>
      </c>
      <c r="W18" s="107">
        <f t="shared" si="2"/>
        <v>1315536.6499999999</v>
      </c>
      <c r="X18" s="107">
        <f t="shared" si="2"/>
        <v>1571446.18</v>
      </c>
    </row>
    <row r="19" spans="1:24" x14ac:dyDescent="0.25">
      <c r="A19" s="107" t="s">
        <v>144</v>
      </c>
      <c r="B19" s="107"/>
      <c r="C19" s="107"/>
      <c r="D19" s="107"/>
      <c r="E19" s="107"/>
      <c r="F19" s="107"/>
      <c r="G19" s="107">
        <f t="shared" ref="G19:X19" si="3">G28*G4</f>
        <v>929117.78639999998</v>
      </c>
      <c r="H19" s="107">
        <f t="shared" si="3"/>
        <v>1308873.7427000001</v>
      </c>
      <c r="I19" s="107">
        <f t="shared" si="3"/>
        <v>893697.65280000004</v>
      </c>
      <c r="J19" s="107">
        <f t="shared" si="3"/>
        <v>1146208.7426</v>
      </c>
      <c r="K19" s="107">
        <f t="shared" si="3"/>
        <v>1036851.8766</v>
      </c>
      <c r="L19" s="107">
        <f t="shared" si="3"/>
        <v>2368382.4975000001</v>
      </c>
      <c r="M19" s="107">
        <f t="shared" si="3"/>
        <v>2121632.8276</v>
      </c>
      <c r="N19" s="107">
        <f t="shared" si="3"/>
        <v>2098549.6562000001</v>
      </c>
      <c r="O19" s="107">
        <f t="shared" si="3"/>
        <v>2357883.5181999998</v>
      </c>
      <c r="P19" s="107">
        <f t="shared" si="3"/>
        <v>1338254.8404000001</v>
      </c>
      <c r="Q19" s="107">
        <f t="shared" si="3"/>
        <v>988795.89450000005</v>
      </c>
      <c r="R19" s="107">
        <f t="shared" si="3"/>
        <v>2422646.7659999998</v>
      </c>
      <c r="S19" s="107">
        <f t="shared" si="3"/>
        <v>2211986.2799999998</v>
      </c>
      <c r="T19" s="107">
        <f t="shared" si="3"/>
        <v>1433820.1258999999</v>
      </c>
      <c r="U19" s="107">
        <f t="shared" si="3"/>
        <v>1001286.5127</v>
      </c>
      <c r="V19" s="107">
        <f t="shared" si="3"/>
        <v>490851.74800000002</v>
      </c>
      <c r="W19" s="107">
        <f t="shared" si="3"/>
        <v>335655.87439999997</v>
      </c>
      <c r="X19" s="107">
        <f t="shared" si="3"/>
        <v>705676.50839999993</v>
      </c>
    </row>
    <row r="20" spans="1:24" x14ac:dyDescent="0.25">
      <c r="A20" s="107" t="s">
        <v>37</v>
      </c>
      <c r="B20" s="107"/>
      <c r="C20" s="107"/>
      <c r="D20" s="107"/>
      <c r="E20" s="107"/>
      <c r="F20" s="107"/>
      <c r="G20" s="107">
        <f>SUM(G17:G19)</f>
        <v>4129127.0388000002</v>
      </c>
      <c r="H20" s="107">
        <f t="shared" ref="H20:X20" si="4">SUM(H17:H19)</f>
        <v>3980993.9220000003</v>
      </c>
      <c r="I20" s="107">
        <f t="shared" si="4"/>
        <v>4569195.3284</v>
      </c>
      <c r="J20" s="107">
        <f t="shared" si="4"/>
        <v>4184525.0882000001</v>
      </c>
      <c r="K20" s="107">
        <f t="shared" si="4"/>
        <v>3874960.9922000002</v>
      </c>
      <c r="L20" s="107">
        <f t="shared" si="4"/>
        <v>6234212.4969999995</v>
      </c>
      <c r="M20" s="107">
        <f t="shared" si="4"/>
        <v>6045260.5840000007</v>
      </c>
      <c r="N20" s="107">
        <f t="shared" si="4"/>
        <v>7491447.3328</v>
      </c>
      <c r="O20" s="107">
        <f t="shared" si="4"/>
        <v>5855112.6878999993</v>
      </c>
      <c r="P20" s="107">
        <f t="shared" si="4"/>
        <v>3543220.1044000001</v>
      </c>
      <c r="Q20" s="107">
        <f t="shared" si="4"/>
        <v>4112947.4931000001</v>
      </c>
      <c r="R20" s="107">
        <f t="shared" si="4"/>
        <v>4823447.0419999994</v>
      </c>
      <c r="S20" s="107">
        <f t="shared" si="4"/>
        <v>7285693.4199999999</v>
      </c>
      <c r="T20" s="107">
        <f t="shared" si="4"/>
        <v>4537175.6652000006</v>
      </c>
      <c r="U20" s="107">
        <f t="shared" si="4"/>
        <v>3436421.8433999997</v>
      </c>
      <c r="V20" s="107">
        <f t="shared" si="4"/>
        <v>1854753.2568000001</v>
      </c>
      <c r="W20" s="107">
        <f t="shared" si="4"/>
        <v>1888627.0035000001</v>
      </c>
      <c r="X20" s="107">
        <f t="shared" si="4"/>
        <v>3052369.3163999999</v>
      </c>
    </row>
    <row r="21" spans="1:24" x14ac:dyDescent="0.25">
      <c r="B21" s="24"/>
      <c r="C21" s="24"/>
      <c r="D21" s="24"/>
      <c r="E21" s="24"/>
      <c r="F21" s="24"/>
      <c r="G21" s="24"/>
      <c r="H21" s="24"/>
      <c r="I21" s="24"/>
      <c r="J21" s="24"/>
      <c r="K21" s="24"/>
      <c r="L21" s="24"/>
      <c r="M21" s="24"/>
      <c r="N21" s="24"/>
      <c r="O21" s="24"/>
    </row>
    <row r="22" spans="1:24" x14ac:dyDescent="0.25">
      <c r="A22" s="34" t="s">
        <v>676</v>
      </c>
      <c r="I22" s="107">
        <f>SUM(G20:I20)</f>
        <v>12679316.2892</v>
      </c>
      <c r="J22" s="107"/>
      <c r="K22" s="107"/>
      <c r="L22" s="107">
        <f>SUM(J20:L20)</f>
        <v>14293698.577399999</v>
      </c>
      <c r="M22" s="107"/>
      <c r="N22" s="107"/>
      <c r="O22" s="107">
        <f>SUM(M20:O20)</f>
        <v>19391820.604699999</v>
      </c>
      <c r="P22" s="107"/>
      <c r="Q22" s="107"/>
      <c r="R22" s="107">
        <f>SUM(P20:R20)</f>
        <v>12479614.6395</v>
      </c>
      <c r="S22" s="107"/>
      <c r="T22" s="107"/>
      <c r="U22" s="107">
        <f>SUM(S20:U20)</f>
        <v>15259290.9286</v>
      </c>
      <c r="X22" s="107">
        <f>SUM(V20:X20)</f>
        <v>6795749.5767000001</v>
      </c>
    </row>
    <row r="23" spans="1:24" x14ac:dyDescent="0.25">
      <c r="A23" s="34" t="s">
        <v>677</v>
      </c>
      <c r="L23" s="40">
        <f>(L22/I22)-1</f>
        <v>0.12732408052436539</v>
      </c>
      <c r="M23" s="40"/>
      <c r="N23" s="40"/>
      <c r="O23" s="40">
        <f>(O22/L22)-1</f>
        <v>0.35666919934639751</v>
      </c>
      <c r="P23" s="40"/>
      <c r="Q23" s="40"/>
      <c r="R23" s="40">
        <f>(R22/O22)-1</f>
        <v>-0.35644956222030477</v>
      </c>
      <c r="S23" s="40"/>
      <c r="T23" s="40"/>
      <c r="U23" s="40">
        <f>(U22/R22)-1</f>
        <v>0.22273734962150793</v>
      </c>
      <c r="X23" s="40">
        <f>(X22/U22)-1</f>
        <v>-0.55464840348754707</v>
      </c>
    </row>
    <row r="24" spans="1:24" x14ac:dyDescent="0.25">
      <c r="A24" s="34" t="s">
        <v>678</v>
      </c>
      <c r="L24" s="40"/>
      <c r="M24" s="40"/>
      <c r="N24" s="40"/>
      <c r="O24" s="40"/>
      <c r="P24" s="40"/>
      <c r="Q24" s="40"/>
      <c r="R24" s="40"/>
      <c r="S24" s="40"/>
      <c r="T24" s="40"/>
      <c r="U24" s="40">
        <f>(U22/I22)-1</f>
        <v>0.20347900316971934</v>
      </c>
      <c r="X24" s="40">
        <f>(X22/L22)-1</f>
        <v>-0.52456325142850913</v>
      </c>
    </row>
    <row r="27" spans="1:24" x14ac:dyDescent="0.25">
      <c r="A27" s="25" t="s">
        <v>576</v>
      </c>
      <c r="G27" s="25" t="s">
        <v>484</v>
      </c>
      <c r="H27" s="25" t="s">
        <v>485</v>
      </c>
      <c r="I27" s="25" t="s">
        <v>486</v>
      </c>
      <c r="J27" s="25" t="s">
        <v>487</v>
      </c>
      <c r="K27" s="25" t="s">
        <v>488</v>
      </c>
      <c r="L27" s="25" t="s">
        <v>489</v>
      </c>
      <c r="M27" s="25" t="s">
        <v>490</v>
      </c>
      <c r="N27" s="25" t="s">
        <v>491</v>
      </c>
      <c r="O27" s="25" t="s">
        <v>492</v>
      </c>
      <c r="P27" s="25" t="s">
        <v>493</v>
      </c>
      <c r="Q27" s="25" t="s">
        <v>494</v>
      </c>
      <c r="R27" s="25" t="s">
        <v>495</v>
      </c>
      <c r="S27" s="25" t="s">
        <v>496</v>
      </c>
      <c r="T27" s="25" t="s">
        <v>497</v>
      </c>
      <c r="U27" s="25" t="s">
        <v>574</v>
      </c>
      <c r="V27" s="25" t="s">
        <v>731</v>
      </c>
      <c r="W27" s="25" t="s">
        <v>732</v>
      </c>
      <c r="X27" s="25" t="s">
        <v>733</v>
      </c>
    </row>
    <row r="28" spans="1:24" x14ac:dyDescent="0.25">
      <c r="A28" s="24" t="s">
        <v>573</v>
      </c>
      <c r="G28" s="62">
        <f>PTF!B8</f>
        <v>71.64</v>
      </c>
      <c r="H28" s="62">
        <f>PTF!C8</f>
        <v>69.53</v>
      </c>
      <c r="I28" s="62">
        <f>PTF!D8</f>
        <v>59.76</v>
      </c>
      <c r="J28" s="62">
        <f>PTF!E8</f>
        <v>65.540000000000006</v>
      </c>
      <c r="K28" s="62">
        <f>PTF!F8</f>
        <v>64.03</v>
      </c>
      <c r="L28" s="62">
        <f>PTF!G8</f>
        <v>56.95</v>
      </c>
      <c r="M28" s="62">
        <f>PTF!H8</f>
        <v>74.36</v>
      </c>
      <c r="N28" s="62">
        <f>PTF!I8</f>
        <v>72.53</v>
      </c>
      <c r="O28" s="62">
        <f>PTF!J8</f>
        <v>67.13</v>
      </c>
      <c r="P28" s="62">
        <f>PTF!K8</f>
        <v>66.28</v>
      </c>
      <c r="Q28" s="62">
        <f>PTF!L8</f>
        <v>66.790000000000006</v>
      </c>
      <c r="R28" s="62">
        <f>PTF!M8</f>
        <v>70.599999999999994</v>
      </c>
      <c r="S28" s="62">
        <f>PTF!N8</f>
        <v>68</v>
      </c>
      <c r="T28" s="62">
        <f>PTF!O8</f>
        <v>49.19</v>
      </c>
      <c r="U28" s="62">
        <f>PTF!P8</f>
        <v>39.229999999999997</v>
      </c>
      <c r="V28" s="62">
        <f>PTF!Q8</f>
        <v>23.96</v>
      </c>
      <c r="W28" s="62">
        <f>PTF!R8</f>
        <v>17.57</v>
      </c>
      <c r="X28" s="62">
        <f>PTF!S8</f>
        <v>29.08</v>
      </c>
    </row>
    <row r="30" spans="1:24" x14ac:dyDescent="0.25">
      <c r="A30" s="113" t="s">
        <v>681</v>
      </c>
      <c r="B30" s="107" t="s">
        <v>683</v>
      </c>
      <c r="C30" s="107" t="s">
        <v>684</v>
      </c>
      <c r="D30" s="107" t="s">
        <v>685</v>
      </c>
      <c r="E30" s="107" t="s">
        <v>686</v>
      </c>
      <c r="F30" s="107" t="s">
        <v>687</v>
      </c>
      <c r="G30" s="122" t="s">
        <v>484</v>
      </c>
      <c r="H30" s="122" t="s">
        <v>485</v>
      </c>
      <c r="I30" s="122" t="s">
        <v>486</v>
      </c>
      <c r="J30" s="122" t="s">
        <v>487</v>
      </c>
      <c r="K30" s="122" t="s">
        <v>488</v>
      </c>
      <c r="L30" s="122" t="s">
        <v>489</v>
      </c>
      <c r="M30" s="122" t="s">
        <v>490</v>
      </c>
      <c r="N30" s="122" t="s">
        <v>491</v>
      </c>
      <c r="O30" s="122" t="s">
        <v>492</v>
      </c>
      <c r="P30" s="122" t="s">
        <v>493</v>
      </c>
      <c r="Q30" s="122" t="s">
        <v>494</v>
      </c>
      <c r="R30" s="122" t="s">
        <v>495</v>
      </c>
      <c r="S30" s="122" t="s">
        <v>496</v>
      </c>
      <c r="T30" s="122" t="s">
        <v>497</v>
      </c>
      <c r="U30" s="107" t="s">
        <v>574</v>
      </c>
      <c r="V30" s="274" t="s">
        <v>731</v>
      </c>
      <c r="W30" s="274" t="s">
        <v>732</v>
      </c>
      <c r="X30" s="274" t="s">
        <v>733</v>
      </c>
    </row>
    <row r="31" spans="1:24" x14ac:dyDescent="0.25">
      <c r="A31" s="107" t="s">
        <v>142</v>
      </c>
      <c r="B31" s="107"/>
      <c r="C31" s="107"/>
      <c r="D31" s="107"/>
      <c r="E31" s="107"/>
      <c r="F31" s="107"/>
      <c r="G31" s="107">
        <f>$G$41*G17</f>
        <v>66902787.577151991</v>
      </c>
      <c r="H31" s="107">
        <f>$H$41*H17</f>
        <v>57420712.019916005</v>
      </c>
      <c r="I31" s="107">
        <f>$I$41*I17</f>
        <v>66163065.421823993</v>
      </c>
      <c r="J31" s="107">
        <f>$J$41*J17</f>
        <v>53982325.892080002</v>
      </c>
      <c r="K31" s="107">
        <f>$K$41*K17</f>
        <v>44017744.572031997</v>
      </c>
      <c r="L31" s="107">
        <f>$L$41*L17</f>
        <v>64850696.262915</v>
      </c>
      <c r="M31" s="107">
        <f>$M$41*M17</f>
        <v>92580580.531296015</v>
      </c>
      <c r="N31" s="107">
        <f>$N$41*N17</f>
        <v>142643696.77645001</v>
      </c>
      <c r="O31" s="107">
        <f>$O$41*O17</f>
        <v>83370748.521227986</v>
      </c>
      <c r="P31" s="107">
        <f>$P$41*P17</f>
        <v>40794053.339500003</v>
      </c>
      <c r="Q31" s="107">
        <f>$Q$41*Q17</f>
        <v>69086143.220920011</v>
      </c>
      <c r="R31" s="107">
        <f>$R$41*R17</f>
        <v>51729871.392059989</v>
      </c>
      <c r="S31" s="107">
        <f>$S$41*S17</f>
        <v>115499840.18879999</v>
      </c>
      <c r="T31" s="107">
        <f>$T$41*T17</f>
        <v>61870026.364572994</v>
      </c>
      <c r="U31" s="107">
        <f>$U$41*U17</f>
        <v>49593568.341870002</v>
      </c>
      <c r="V31" s="107">
        <f t="shared" ref="V31:X31" si="5">$U$41*V17</f>
        <v>18003524.185079999</v>
      </c>
      <c r="W31" s="107">
        <f t="shared" si="5"/>
        <v>10470860.528310001</v>
      </c>
      <c r="X31" s="107">
        <f t="shared" si="5"/>
        <v>34188376.294799998</v>
      </c>
    </row>
    <row r="32" spans="1:24" x14ac:dyDescent="0.25">
      <c r="A32" s="107" t="s">
        <v>143</v>
      </c>
      <c r="B32" s="107"/>
      <c r="C32" s="107"/>
      <c r="D32" s="107"/>
      <c r="E32" s="107"/>
      <c r="F32" s="107"/>
      <c r="G32" s="107">
        <f t="shared" ref="G32:G33" si="6">$G$41*G18</f>
        <v>46633540.697999999</v>
      </c>
      <c r="H32" s="107">
        <f t="shared" ref="H32:H33" si="7">$H$41*H18</f>
        <v>39096268.856399998</v>
      </c>
      <c r="I32" s="107">
        <f t="shared" ref="I32:I33" si="8">$I$41*I18</f>
        <v>69977368.4824</v>
      </c>
      <c r="J32" s="107">
        <f>$J$41*J18</f>
        <v>61625611.057999998</v>
      </c>
      <c r="K32" s="107">
        <f t="shared" ref="K32:K33" si="9">$K$41*K18</f>
        <v>65873840.383999996</v>
      </c>
      <c r="L32" s="107">
        <f t="shared" ref="L32:L33" si="10">$L$41*L18</f>
        <v>87347030.817399994</v>
      </c>
      <c r="M32" s="107">
        <f t="shared" ref="M32:M33" si="11">$M$41*M18</f>
        <v>64913837.610600002</v>
      </c>
      <c r="N32" s="107">
        <f t="shared" ref="N32:N33" si="12">$N$41*N18</f>
        <v>77116883.545000002</v>
      </c>
      <c r="O32" s="107">
        <f t="shared" ref="O32:O33" si="13">$O$41*O18</f>
        <v>60854982.437200002</v>
      </c>
      <c r="P32" s="107">
        <f t="shared" ref="P32:P33" si="14">$P$41*P18</f>
        <v>51263246.432499997</v>
      </c>
      <c r="Q32" s="107">
        <f t="shared" ref="Q32:Q33" si="15">$Q$41*Q18</f>
        <v>62753054.24000001</v>
      </c>
      <c r="R32" s="107">
        <f t="shared" ref="R32:R33" si="16">$R$41*R18</f>
        <v>50568228.368299998</v>
      </c>
      <c r="S32" s="107">
        <f t="shared" ref="S32:S33" si="17">$S$41*S18</f>
        <v>103379885.8308</v>
      </c>
      <c r="T32" s="107">
        <f t="shared" ref="T32:T33" si="18">$T$41*T18</f>
        <v>73467308.704300001</v>
      </c>
      <c r="U32" s="107">
        <f t="shared" ref="U32:X33" si="19">$U$41*U18</f>
        <v>57795899.741999999</v>
      </c>
      <c r="V32" s="107">
        <f t="shared" si="19"/>
        <v>42144532.353</v>
      </c>
      <c r="W32" s="107">
        <f t="shared" si="19"/>
        <v>58015166.265000001</v>
      </c>
      <c r="X32" s="107">
        <f t="shared" si="19"/>
        <v>69300776.538000003</v>
      </c>
    </row>
    <row r="33" spans="1:26" x14ac:dyDescent="0.25">
      <c r="A33" s="107" t="s">
        <v>144</v>
      </c>
      <c r="B33" s="107"/>
      <c r="C33" s="107"/>
      <c r="D33" s="107"/>
      <c r="E33" s="107"/>
      <c r="F33" s="107"/>
      <c r="G33" s="107">
        <f t="shared" si="6"/>
        <v>32965099.061471995</v>
      </c>
      <c r="H33" s="107">
        <f t="shared" si="7"/>
        <v>47276519.586323999</v>
      </c>
      <c r="I33" s="107">
        <f t="shared" si="8"/>
        <v>33102561.059712</v>
      </c>
      <c r="J33" s="107">
        <f>$J$41*J19</f>
        <v>43613242.655929998</v>
      </c>
      <c r="K33" s="107">
        <f t="shared" si="9"/>
        <v>40146904.661951996</v>
      </c>
      <c r="L33" s="107">
        <f t="shared" si="10"/>
        <v>93243218.92657499</v>
      </c>
      <c r="M33" s="107">
        <f t="shared" si="11"/>
        <v>85162341.699864</v>
      </c>
      <c r="N33" s="107">
        <f t="shared" si="12"/>
        <v>85515898.490150005</v>
      </c>
      <c r="O33" s="107">
        <f t="shared" si="13"/>
        <v>97239116.290567994</v>
      </c>
      <c r="P33" s="107">
        <f t="shared" si="14"/>
        <v>55872139.586700007</v>
      </c>
      <c r="Q33" s="107">
        <f t="shared" si="15"/>
        <v>41727186.747900002</v>
      </c>
      <c r="R33" s="107">
        <f t="shared" si="16"/>
        <v>103228978.69926</v>
      </c>
      <c r="S33" s="107">
        <f t="shared" si="17"/>
        <v>95425088.119199991</v>
      </c>
      <c r="T33" s="107">
        <f t="shared" si="18"/>
        <v>62528895.690498993</v>
      </c>
      <c r="U33" s="107">
        <f t="shared" si="19"/>
        <v>44156735.210069999</v>
      </c>
      <c r="V33" s="107">
        <f t="shared" si="19"/>
        <v>21646562.086800002</v>
      </c>
      <c r="W33" s="107">
        <f t="shared" si="19"/>
        <v>14802424.061039999</v>
      </c>
      <c r="X33" s="107">
        <f t="shared" si="19"/>
        <v>31120334.020439997</v>
      </c>
    </row>
    <row r="34" spans="1:26" x14ac:dyDescent="0.25">
      <c r="A34" s="107" t="s">
        <v>37</v>
      </c>
      <c r="B34" s="107"/>
      <c r="C34" s="107"/>
      <c r="D34" s="107"/>
      <c r="E34" s="107"/>
      <c r="F34" s="107"/>
      <c r="G34" s="107">
        <f>SUM(G31:G33)</f>
        <v>146501427.336624</v>
      </c>
      <c r="H34" s="107">
        <f t="shared" ref="H34:X34" si="20">SUM(H31:H33)</f>
        <v>143793500.46264002</v>
      </c>
      <c r="I34" s="107">
        <f t="shared" si="20"/>
        <v>169242994.96393597</v>
      </c>
      <c r="J34" s="107">
        <f t="shared" si="20"/>
        <v>159221179.60601002</v>
      </c>
      <c r="K34" s="107">
        <f t="shared" si="20"/>
        <v>150038489.617984</v>
      </c>
      <c r="L34" s="107">
        <f t="shared" si="20"/>
        <v>245440946.00689</v>
      </c>
      <c r="M34" s="107">
        <f t="shared" si="20"/>
        <v>242656759.84176001</v>
      </c>
      <c r="N34" s="107">
        <f t="shared" si="20"/>
        <v>305276478.81159997</v>
      </c>
      <c r="O34" s="107">
        <f t="shared" si="20"/>
        <v>241464847.24899599</v>
      </c>
      <c r="P34" s="107">
        <f t="shared" si="20"/>
        <v>147929439.35870001</v>
      </c>
      <c r="Q34" s="107">
        <f t="shared" si="20"/>
        <v>173566384.20882002</v>
      </c>
      <c r="R34" s="107">
        <f t="shared" si="20"/>
        <v>205527078.45962</v>
      </c>
      <c r="S34" s="107">
        <f t="shared" si="20"/>
        <v>314304814.13879997</v>
      </c>
      <c r="T34" s="107">
        <f t="shared" si="20"/>
        <v>197866230.759372</v>
      </c>
      <c r="U34" s="107">
        <f t="shared" si="20"/>
        <v>151546203.29394001</v>
      </c>
      <c r="V34" s="107">
        <f t="shared" si="20"/>
        <v>81794618.624880001</v>
      </c>
      <c r="W34" s="107">
        <f t="shared" si="20"/>
        <v>83288450.854350001</v>
      </c>
      <c r="X34" s="107">
        <f t="shared" si="20"/>
        <v>134609486.85324001</v>
      </c>
    </row>
    <row r="36" spans="1:26" x14ac:dyDescent="0.25">
      <c r="A36" s="34" t="s">
        <v>676</v>
      </c>
      <c r="I36" s="107">
        <f>SUM(G34:I34)</f>
        <v>459537922.76319999</v>
      </c>
      <c r="J36" s="107"/>
      <c r="K36" s="107"/>
      <c r="L36" s="107">
        <f>SUM(J34:L34)</f>
        <v>554700615.23088408</v>
      </c>
      <c r="M36" s="107"/>
      <c r="N36" s="107"/>
      <c r="O36" s="107">
        <f>SUM(M34:O34)</f>
        <v>789398085.90235603</v>
      </c>
      <c r="P36" s="107"/>
      <c r="Q36" s="107"/>
      <c r="R36" s="107">
        <f>SUM(P34:R34)</f>
        <v>527022902.02714002</v>
      </c>
      <c r="S36" s="107"/>
      <c r="T36" s="107"/>
      <c r="U36" s="107">
        <f>SUM(S34:U34)</f>
        <v>663717248.19211197</v>
      </c>
      <c r="X36" s="107">
        <f>SUM(V34:X34)</f>
        <v>299692556.33247</v>
      </c>
    </row>
    <row r="37" spans="1:26" x14ac:dyDescent="0.25">
      <c r="A37" s="34" t="s">
        <v>677</v>
      </c>
      <c r="L37" s="40">
        <f>(L36/I36)-1</f>
        <v>0.20708343697832632</v>
      </c>
      <c r="M37" s="40"/>
      <c r="N37" s="40"/>
      <c r="O37" s="40">
        <f>(O36/L36)-1</f>
        <v>0.42310656276049619</v>
      </c>
      <c r="P37" s="40"/>
      <c r="Q37" s="40"/>
      <c r="R37" s="40">
        <f>(R36/O36)-1</f>
        <v>-0.33237372697109668</v>
      </c>
      <c r="S37" s="40"/>
      <c r="T37" s="40"/>
      <c r="U37" s="40">
        <f>(U36/R36)-1</f>
        <v>0.25937078946510872</v>
      </c>
      <c r="X37" s="40">
        <f>(X36/U36)-1</f>
        <v>-0.54846351040477337</v>
      </c>
    </row>
    <row r="38" spans="1:26" x14ac:dyDescent="0.25">
      <c r="A38" s="34" t="s">
        <v>678</v>
      </c>
      <c r="L38" s="40"/>
      <c r="M38" s="40"/>
      <c r="N38" s="40"/>
      <c r="O38" s="40"/>
      <c r="P38" s="40"/>
      <c r="Q38" s="40"/>
      <c r="R38" s="40"/>
      <c r="S38" s="40"/>
      <c r="T38" s="40"/>
      <c r="U38" s="40">
        <f>(U36/I36)-1</f>
        <v>0.4443144195830071</v>
      </c>
      <c r="X38" s="40">
        <f>(X36/L36)-1</f>
        <v>-0.4597219687457379</v>
      </c>
    </row>
    <row r="40" spans="1:26" x14ac:dyDescent="0.25">
      <c r="A40" s="25" t="s">
        <v>578</v>
      </c>
      <c r="G40" s="62" t="s">
        <v>484</v>
      </c>
      <c r="H40" s="62" t="s">
        <v>485</v>
      </c>
      <c r="I40" s="62" t="s">
        <v>486</v>
      </c>
      <c r="J40" s="62" t="s">
        <v>487</v>
      </c>
      <c r="K40" s="62" t="s">
        <v>488</v>
      </c>
      <c r="L40" s="62" t="s">
        <v>489</v>
      </c>
      <c r="M40" s="62" t="s">
        <v>490</v>
      </c>
      <c r="N40" s="62" t="s">
        <v>491</v>
      </c>
      <c r="O40" s="62" t="s">
        <v>492</v>
      </c>
      <c r="P40" s="62" t="s">
        <v>493</v>
      </c>
      <c r="Q40" s="62" t="s">
        <v>494</v>
      </c>
      <c r="R40" s="62" t="s">
        <v>495</v>
      </c>
      <c r="S40" s="62" t="s">
        <v>496</v>
      </c>
      <c r="T40" s="62" t="s">
        <v>497</v>
      </c>
      <c r="U40" s="62" t="s">
        <v>574</v>
      </c>
      <c r="V40" s="25" t="s">
        <v>731</v>
      </c>
      <c r="W40" s="25" t="s">
        <v>732</v>
      </c>
      <c r="X40" s="25" t="s">
        <v>733</v>
      </c>
    </row>
    <row r="41" spans="1:26" x14ac:dyDescent="0.25">
      <c r="A41" s="25" t="s">
        <v>576</v>
      </c>
      <c r="G41" s="62" t="str">
        <f>PTF!B5</f>
        <v>35,48</v>
      </c>
      <c r="H41" s="62">
        <f>PTF!C5</f>
        <v>36.119999999999997</v>
      </c>
      <c r="I41" s="62">
        <f>PTF!D5</f>
        <v>37.04</v>
      </c>
      <c r="J41" s="62">
        <f>PTF!E5</f>
        <v>38.049999999999997</v>
      </c>
      <c r="K41" s="62">
        <f>PTF!F5</f>
        <v>38.72</v>
      </c>
      <c r="L41" s="62">
        <f>PTF!G5</f>
        <v>39.369999999999997</v>
      </c>
      <c r="M41" s="62">
        <f>PTF!H5</f>
        <v>40.14</v>
      </c>
      <c r="N41" s="62">
        <f>PTF!I5</f>
        <v>40.75</v>
      </c>
      <c r="O41" s="62">
        <f>PTF!J5</f>
        <v>41.24</v>
      </c>
      <c r="P41" s="62">
        <f>PTF!K5</f>
        <v>41.75</v>
      </c>
      <c r="Q41" s="62">
        <f>PTF!L5</f>
        <v>42.2</v>
      </c>
      <c r="R41" s="62">
        <f>PTF!M5</f>
        <v>42.61</v>
      </c>
      <c r="S41" s="62">
        <f>PTF!N5</f>
        <v>43.14</v>
      </c>
      <c r="T41" s="62">
        <f>PTF!O5</f>
        <v>43.61</v>
      </c>
      <c r="U41" s="62">
        <f>PTF!P5</f>
        <v>44.1</v>
      </c>
      <c r="V41" s="62">
        <f>PTF!Q5</f>
        <v>44.68</v>
      </c>
      <c r="W41" s="62">
        <f>PTF!R5</f>
        <v>45.36</v>
      </c>
      <c r="X41" s="62">
        <f>PTF!S5</f>
        <v>46.17</v>
      </c>
    </row>
    <row r="46" spans="1:26" x14ac:dyDescent="0.25">
      <c r="H46" s="25" t="s">
        <v>718</v>
      </c>
      <c r="I46" s="25" t="s">
        <v>484</v>
      </c>
      <c r="J46" s="25" t="s">
        <v>485</v>
      </c>
      <c r="K46" s="25" t="s">
        <v>486</v>
      </c>
      <c r="L46" s="25" t="s">
        <v>487</v>
      </c>
      <c r="M46" s="25" t="s">
        <v>488</v>
      </c>
      <c r="N46" s="25" t="s">
        <v>489</v>
      </c>
      <c r="O46" s="25" t="s">
        <v>490</v>
      </c>
      <c r="P46" s="25" t="s">
        <v>491</v>
      </c>
      <c r="Q46" s="25" t="s">
        <v>492</v>
      </c>
      <c r="R46" s="25" t="s">
        <v>493</v>
      </c>
      <c r="S46" s="25" t="s">
        <v>494</v>
      </c>
      <c r="T46" s="25" t="s">
        <v>495</v>
      </c>
      <c r="U46" s="25" t="s">
        <v>496</v>
      </c>
      <c r="V46" s="25" t="s">
        <v>497</v>
      </c>
      <c r="W46" s="25" t="s">
        <v>574</v>
      </c>
      <c r="X46" s="25" t="s">
        <v>731</v>
      </c>
      <c r="Y46" s="25" t="s">
        <v>732</v>
      </c>
      <c r="Z46" s="25" t="s">
        <v>733</v>
      </c>
    </row>
    <row r="47" spans="1:26" x14ac:dyDescent="0.25">
      <c r="H47" s="25" t="s">
        <v>28</v>
      </c>
      <c r="I47" s="25">
        <f>SUM(G2:G4)</f>
        <v>57295.37</v>
      </c>
      <c r="J47" s="25">
        <f t="shared" ref="J47:Z47" si="21">SUM(H2:H4)</f>
        <v>56515.789999999994</v>
      </c>
      <c r="K47" s="25">
        <f t="shared" si="21"/>
        <v>70725.31</v>
      </c>
      <c r="L47" s="25">
        <f t="shared" si="21"/>
        <v>56365.070000000007</v>
      </c>
      <c r="M47" s="25">
        <f t="shared" si="21"/>
        <v>52046.54</v>
      </c>
      <c r="N47" s="25">
        <f t="shared" si="21"/>
        <v>94113.19</v>
      </c>
      <c r="O47" s="25">
        <f t="shared" si="21"/>
        <v>81702.38</v>
      </c>
      <c r="P47" s="25">
        <f t="shared" si="21"/>
        <v>103119.58000000002</v>
      </c>
      <c r="Q47" s="25">
        <f t="shared" si="21"/>
        <v>85452.94</v>
      </c>
      <c r="R47" s="25">
        <f t="shared" si="21"/>
        <v>51753.009999999995</v>
      </c>
      <c r="S47" s="25">
        <f t="shared" si="21"/>
        <v>59686.290000000008</v>
      </c>
      <c r="T47" s="25">
        <f t="shared" si="21"/>
        <v>67768.13</v>
      </c>
      <c r="U47" s="25">
        <f t="shared" si="21"/>
        <v>104728.79000000001</v>
      </c>
      <c r="V47" s="25">
        <f t="shared" si="21"/>
        <v>81067.39</v>
      </c>
      <c r="W47" s="25">
        <f t="shared" si="21"/>
        <v>72142.52</v>
      </c>
      <c r="X47" s="25">
        <f t="shared" si="21"/>
        <v>50616.039999999994</v>
      </c>
      <c r="Y47" s="25">
        <f t="shared" si="21"/>
        <v>50638.6</v>
      </c>
      <c r="Z47" s="25">
        <f t="shared" si="21"/>
        <v>72452.489999999991</v>
      </c>
    </row>
    <row r="48" spans="1:26" x14ac:dyDescent="0.25">
      <c r="H48" s="25" t="s">
        <v>522</v>
      </c>
      <c r="I48" s="25">
        <f>I47</f>
        <v>57295.37</v>
      </c>
      <c r="J48" s="25">
        <f t="shared" ref="J48:Z48" si="22">J47</f>
        <v>56515.789999999994</v>
      </c>
      <c r="K48" s="25">
        <f t="shared" si="22"/>
        <v>70725.31</v>
      </c>
      <c r="L48" s="25">
        <f t="shared" si="22"/>
        <v>56365.070000000007</v>
      </c>
      <c r="M48" s="25">
        <f t="shared" si="22"/>
        <v>52046.54</v>
      </c>
      <c r="N48" s="25">
        <f t="shared" si="22"/>
        <v>94113.19</v>
      </c>
      <c r="O48" s="25">
        <f t="shared" si="22"/>
        <v>81702.38</v>
      </c>
      <c r="P48" s="25">
        <f t="shared" si="22"/>
        <v>103119.58000000002</v>
      </c>
      <c r="Q48" s="25">
        <f t="shared" si="22"/>
        <v>85452.94</v>
      </c>
      <c r="R48" s="25">
        <f t="shared" si="22"/>
        <v>51753.009999999995</v>
      </c>
      <c r="S48" s="25">
        <f t="shared" si="22"/>
        <v>59686.290000000008</v>
      </c>
      <c r="T48" s="25">
        <f t="shared" si="22"/>
        <v>67768.13</v>
      </c>
      <c r="U48" s="25">
        <f t="shared" si="22"/>
        <v>104728.79000000001</v>
      </c>
      <c r="V48" s="25">
        <f t="shared" si="22"/>
        <v>81067.39</v>
      </c>
      <c r="W48" s="25">
        <f t="shared" si="22"/>
        <v>72142.52</v>
      </c>
      <c r="X48" s="25">
        <f t="shared" si="22"/>
        <v>50616.039999999994</v>
      </c>
      <c r="Y48" s="25">
        <f t="shared" si="22"/>
        <v>50638.6</v>
      </c>
      <c r="Z48" s="25">
        <f t="shared" si="22"/>
        <v>72452.489999999991</v>
      </c>
    </row>
    <row r="49" spans="1:14" x14ac:dyDescent="0.25">
      <c r="A49" s="86" t="s">
        <v>44</v>
      </c>
    </row>
    <row r="50" spans="1:14" x14ac:dyDescent="0.25">
      <c r="A50" s="25" t="s">
        <v>148</v>
      </c>
    </row>
    <row r="51" spans="1:14" x14ac:dyDescent="0.25">
      <c r="A51" s="25" t="s">
        <v>151</v>
      </c>
      <c r="H51" s="25" t="s">
        <v>768</v>
      </c>
      <c r="I51" s="25" t="s">
        <v>756</v>
      </c>
      <c r="J51" s="25" t="s">
        <v>757</v>
      </c>
      <c r="K51" s="25" t="s">
        <v>758</v>
      </c>
      <c r="L51" s="25" t="s">
        <v>759</v>
      </c>
      <c r="M51" s="25" t="s">
        <v>760</v>
      </c>
      <c r="N51" s="25" t="s">
        <v>761</v>
      </c>
    </row>
    <row r="52" spans="1:14" x14ac:dyDescent="0.25">
      <c r="A52" s="25" t="s">
        <v>149</v>
      </c>
      <c r="H52" s="25" t="s">
        <v>28</v>
      </c>
      <c r="I52" s="25">
        <f>SUM(I47:K47)</f>
        <v>184536.47</v>
      </c>
      <c r="J52" s="25">
        <f>SUM(L47:N47)</f>
        <v>202524.80000000002</v>
      </c>
      <c r="K52" s="25">
        <f>SUM(O47:Q47)</f>
        <v>270274.90000000002</v>
      </c>
      <c r="L52" s="25">
        <f>SUM(R47:T47)</f>
        <v>179207.43</v>
      </c>
      <c r="M52" s="25">
        <f>SUM(U47:W47)</f>
        <v>257938.7</v>
      </c>
      <c r="N52" s="25">
        <f>SUM(X47:Z47)</f>
        <v>173707.12999999998</v>
      </c>
    </row>
    <row r="53" spans="1:14" x14ac:dyDescent="0.25">
      <c r="A53" s="25" t="s">
        <v>150</v>
      </c>
      <c r="H53" s="25" t="s">
        <v>522</v>
      </c>
      <c r="I53" s="25">
        <f>I52</f>
        <v>184536.47</v>
      </c>
      <c r="J53" s="25">
        <f t="shared" ref="J53:N53" si="23">J52</f>
        <v>202524.80000000002</v>
      </c>
      <c r="K53" s="25">
        <f t="shared" si="23"/>
        <v>270274.90000000002</v>
      </c>
      <c r="L53" s="25">
        <f t="shared" si="23"/>
        <v>179207.43</v>
      </c>
      <c r="M53" s="25">
        <f t="shared" si="23"/>
        <v>257938.7</v>
      </c>
      <c r="N53" s="25">
        <f t="shared" si="23"/>
        <v>173707.12999999998</v>
      </c>
    </row>
  </sheetData>
  <phoneticPr fontId="48" type="noConversion"/>
  <conditionalFormatting sqref="L23:U24">
    <cfRule type="colorScale" priority="8">
      <colorScale>
        <cfvo type="min"/>
        <cfvo type="percentile" val="50"/>
        <cfvo type="max"/>
        <color rgb="FFF8696B"/>
        <color rgb="FFFFEB84"/>
        <color rgb="FF63BE7B"/>
      </colorScale>
    </cfRule>
  </conditionalFormatting>
  <conditionalFormatting sqref="L37:U38">
    <cfRule type="colorScale" priority="7">
      <colorScale>
        <cfvo type="min"/>
        <cfvo type="percentile" val="50"/>
        <cfvo type="max"/>
        <color rgb="FFF8696B"/>
        <color rgb="FFFFEB84"/>
        <color rgb="FF63BE7B"/>
      </colorScale>
    </cfRule>
  </conditionalFormatting>
  <conditionalFormatting sqref="L23:X24">
    <cfRule type="colorScale" priority="4">
      <colorScale>
        <cfvo type="min"/>
        <cfvo type="percentile" val="50"/>
        <cfvo type="max"/>
        <color rgb="FFF8696B"/>
        <color rgb="FFFFEB84"/>
        <color rgb="FF63BE7B"/>
      </colorScale>
    </cfRule>
  </conditionalFormatting>
  <conditionalFormatting sqref="L37:X38">
    <cfRule type="colorScale" priority="1">
      <colorScale>
        <cfvo type="min"/>
        <cfvo type="percentile" val="50"/>
        <cfvo type="max"/>
        <color rgb="FFF8696B"/>
        <color rgb="FFFFEB84"/>
        <color rgb="FF63BE7B"/>
      </colorScale>
    </cfRule>
  </conditionalFormatting>
  <conditionalFormatting sqref="S12:X13">
    <cfRule type="colorScale" priority="9">
      <colorScale>
        <cfvo type="min"/>
        <cfvo type="percentile" val="50"/>
        <cfvo type="max"/>
        <color rgb="FFF8696B"/>
        <color rgb="FFFFEB84"/>
        <color rgb="FF63BE7B"/>
      </colorScale>
    </cfRule>
  </conditionalFormatting>
  <conditionalFormatting sqref="X23">
    <cfRule type="colorScale" priority="6">
      <colorScale>
        <cfvo type="min"/>
        <cfvo type="percentile" val="50"/>
        <cfvo type="max"/>
        <color rgb="FFF8696B"/>
        <color rgb="FFFFEB84"/>
        <color rgb="FF63BE7B"/>
      </colorScale>
    </cfRule>
  </conditionalFormatting>
  <conditionalFormatting sqref="X24">
    <cfRule type="colorScale" priority="5">
      <colorScale>
        <cfvo type="min"/>
        <cfvo type="percentile" val="50"/>
        <cfvo type="max"/>
        <color rgb="FFF8696B"/>
        <color rgb="FFFFEB84"/>
        <color rgb="FF63BE7B"/>
      </colorScale>
    </cfRule>
  </conditionalFormatting>
  <conditionalFormatting sqref="X37">
    <cfRule type="colorScale" priority="3">
      <colorScale>
        <cfvo type="min"/>
        <cfvo type="percentile" val="50"/>
        <cfvo type="max"/>
        <color rgb="FFF8696B"/>
        <color rgb="FFFFEB84"/>
        <color rgb="FF63BE7B"/>
      </colorScale>
    </cfRule>
  </conditionalFormatting>
  <conditionalFormatting sqref="X38">
    <cfRule type="colorScale" priority="2">
      <colorScale>
        <cfvo type="min"/>
        <cfvo type="percentile" val="50"/>
        <cfvo type="max"/>
        <color rgb="FFF8696B"/>
        <color rgb="FFFFEB84"/>
        <color rgb="FF63BE7B"/>
      </colorScale>
    </cfRule>
  </conditionalFormatting>
  <pageMargins left="0.7" right="0.7" top="0.75" bottom="0.75" header="0.3" footer="0.3"/>
  <legacyDrawing r:id="rId1"/>
  <tableParts count="3">
    <tablePart r:id="rId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59E84-5081-4E4A-9540-2FB7E1AB3E62}">
  <dimension ref="A1:F6"/>
  <sheetViews>
    <sheetView workbookViewId="0">
      <selection activeCell="A13" sqref="A13"/>
    </sheetView>
  </sheetViews>
  <sheetFormatPr defaultColWidth="9.140625" defaultRowHeight="15" x14ac:dyDescent="0.25"/>
  <cols>
    <col min="1" max="1" width="19.42578125" style="25" bestFit="1" customWidth="1"/>
    <col min="2" max="2" width="11.5703125" style="25" bestFit="1" customWidth="1"/>
    <col min="3" max="16384" width="9.140625" style="25"/>
  </cols>
  <sheetData>
    <row r="1" spans="1:6" x14ac:dyDescent="0.25">
      <c r="A1" s="25" t="s">
        <v>152</v>
      </c>
      <c r="B1" s="25" t="s">
        <v>111</v>
      </c>
      <c r="C1" s="25" t="s">
        <v>338</v>
      </c>
      <c r="D1" s="25" t="s">
        <v>454</v>
      </c>
    </row>
    <row r="2" spans="1:6" x14ac:dyDescent="0.25">
      <c r="A2" s="25" t="s">
        <v>153</v>
      </c>
      <c r="B2" s="25">
        <v>370</v>
      </c>
      <c r="F2" s="86" t="s">
        <v>44</v>
      </c>
    </row>
    <row r="3" spans="1:6" x14ac:dyDescent="0.25">
      <c r="A3" s="25" t="s">
        <v>154</v>
      </c>
      <c r="B3" s="25">
        <v>24.1</v>
      </c>
      <c r="F3" s="25" t="s">
        <v>157</v>
      </c>
    </row>
    <row r="4" spans="1:6" x14ac:dyDescent="0.25">
      <c r="A4" s="25" t="s">
        <v>155</v>
      </c>
      <c r="B4" s="25">
        <v>51</v>
      </c>
      <c r="F4" s="25" t="s">
        <v>158</v>
      </c>
    </row>
    <row r="5" spans="1:6" x14ac:dyDescent="0.25">
      <c r="A5" s="25" t="s">
        <v>156</v>
      </c>
      <c r="B5" s="25">
        <v>68.08</v>
      </c>
      <c r="F5" s="25" t="s">
        <v>159</v>
      </c>
    </row>
    <row r="6" spans="1:6" x14ac:dyDescent="0.25">
      <c r="A6" s="25" t="s">
        <v>37</v>
      </c>
      <c r="B6" s="25">
        <f>SUM(B2:B5)</f>
        <v>513.18000000000006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770D2-F16A-47C5-B5AC-55E70B184EA1}">
  <dimension ref="A1:E7"/>
  <sheetViews>
    <sheetView workbookViewId="0">
      <selection activeCell="D21" sqref="D21"/>
    </sheetView>
  </sheetViews>
  <sheetFormatPr defaultColWidth="9.140625" defaultRowHeight="15" x14ac:dyDescent="0.25"/>
  <cols>
    <col min="1" max="1" width="12" style="25" bestFit="1" customWidth="1"/>
    <col min="2" max="2" width="11.5703125" style="25" bestFit="1" customWidth="1"/>
    <col min="3" max="16384" width="9.140625" style="25"/>
  </cols>
  <sheetData>
    <row r="1" spans="1:5" x14ac:dyDescent="0.25">
      <c r="A1" s="25" t="s">
        <v>35</v>
      </c>
      <c r="B1" s="25" t="s">
        <v>111</v>
      </c>
      <c r="C1" s="25" t="s">
        <v>338</v>
      </c>
      <c r="D1" s="25" t="s">
        <v>454</v>
      </c>
    </row>
    <row r="2" spans="1:5" x14ac:dyDescent="0.25">
      <c r="A2" s="25" t="s">
        <v>283</v>
      </c>
      <c r="B2" s="25">
        <v>1.26</v>
      </c>
      <c r="E2" s="86"/>
    </row>
    <row r="3" spans="1:5" x14ac:dyDescent="0.25">
      <c r="A3" s="25" t="s">
        <v>284</v>
      </c>
      <c r="B3" s="25">
        <v>1.29</v>
      </c>
    </row>
    <row r="4" spans="1:5" x14ac:dyDescent="0.25">
      <c r="A4" s="25" t="s">
        <v>285</v>
      </c>
      <c r="B4" s="25">
        <v>1.27</v>
      </c>
    </row>
    <row r="5" spans="1:5" x14ac:dyDescent="0.25">
      <c r="A5" s="25" t="s">
        <v>286</v>
      </c>
      <c r="B5" s="25">
        <v>1.28</v>
      </c>
    </row>
    <row r="6" spans="1:5" x14ac:dyDescent="0.25">
      <c r="A6" s="25" t="s">
        <v>287</v>
      </c>
      <c r="B6" s="25">
        <v>1.19</v>
      </c>
    </row>
    <row r="7" spans="1:5" x14ac:dyDescent="0.25">
      <c r="A7" s="25" t="s">
        <v>37</v>
      </c>
      <c r="B7" s="25">
        <f>SUM(B2:B6)</f>
        <v>6.2899999999999991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AB8B4-ED0B-4377-827A-9A86B51CF156}">
  <dimension ref="A1:AA101"/>
  <sheetViews>
    <sheetView zoomScale="85" zoomScaleNormal="85" workbookViewId="0">
      <selection activeCell="X83" sqref="X83"/>
    </sheetView>
  </sheetViews>
  <sheetFormatPr defaultColWidth="9.140625" defaultRowHeight="15" x14ac:dyDescent="0.25"/>
  <cols>
    <col min="1" max="1" width="45.7109375" style="25" customWidth="1"/>
    <col min="2" max="2" width="11.5703125" style="25" customWidth="1"/>
    <col min="3" max="3" width="17.85546875" style="25" customWidth="1"/>
    <col min="4" max="4" width="9.140625" style="25" customWidth="1"/>
    <col min="5" max="5" width="11.7109375" style="25" customWidth="1"/>
    <col min="6" max="6" width="15.42578125" style="25" customWidth="1"/>
    <col min="7" max="8" width="17" style="25" customWidth="1"/>
    <col min="9" max="9" width="18" style="25" customWidth="1"/>
    <col min="10" max="11" width="17" style="25" customWidth="1"/>
    <col min="12" max="12" width="18" style="25" customWidth="1"/>
    <col min="13" max="14" width="17" style="25" customWidth="1"/>
    <col min="15" max="15" width="18.5703125" style="25" customWidth="1"/>
    <col min="16" max="17" width="18" style="25" bestFit="1" customWidth="1"/>
    <col min="18" max="18" width="19" style="25" bestFit="1" customWidth="1"/>
    <col min="19" max="20" width="17" style="25" bestFit="1" customWidth="1"/>
    <col min="21" max="21" width="18" style="25" bestFit="1" customWidth="1"/>
    <col min="22" max="23" width="15.7109375" style="25" bestFit="1" customWidth="1"/>
    <col min="24" max="24" width="17.28515625" style="25" bestFit="1" customWidth="1"/>
    <col min="25" max="16384" width="9.140625" style="25"/>
  </cols>
  <sheetData>
    <row r="1" spans="1:24" x14ac:dyDescent="0.25">
      <c r="A1" s="25" t="s">
        <v>35</v>
      </c>
      <c r="B1" s="25" t="s">
        <v>111</v>
      </c>
      <c r="C1" s="25" t="s">
        <v>338</v>
      </c>
      <c r="D1" s="25" t="s">
        <v>454</v>
      </c>
      <c r="E1" s="25" t="s">
        <v>551</v>
      </c>
      <c r="F1" s="25" t="s">
        <v>552</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25" t="s">
        <v>195</v>
      </c>
      <c r="B2" s="62">
        <f>47.4</f>
        <v>47.4</v>
      </c>
      <c r="C2" s="25" t="s">
        <v>391</v>
      </c>
      <c r="D2" s="25">
        <v>1477</v>
      </c>
      <c r="E2" s="25">
        <v>105</v>
      </c>
      <c r="F2" s="25">
        <v>2025</v>
      </c>
      <c r="G2" s="25">
        <v>20669.669999999998</v>
      </c>
      <c r="H2" s="25">
        <v>18656.599999999999</v>
      </c>
      <c r="I2" s="25">
        <v>20023.04</v>
      </c>
      <c r="J2" s="25">
        <v>18833.37</v>
      </c>
      <c r="K2" s="25">
        <v>18638.8</v>
      </c>
      <c r="L2" s="25">
        <v>18245.5</v>
      </c>
      <c r="M2" s="25">
        <v>20678.419999999998</v>
      </c>
      <c r="N2" s="25">
        <v>22874.11</v>
      </c>
      <c r="O2" s="25">
        <v>21656.49</v>
      </c>
      <c r="P2" s="25">
        <v>22513.599999999999</v>
      </c>
      <c r="Q2" s="25">
        <v>22666.66</v>
      </c>
      <c r="R2" s="25">
        <v>24483</v>
      </c>
      <c r="S2" s="25">
        <v>24168.22</v>
      </c>
      <c r="T2" s="25">
        <v>21638.45</v>
      </c>
      <c r="U2" s="25">
        <v>23531.86</v>
      </c>
      <c r="V2" s="245">
        <v>22134.1</v>
      </c>
      <c r="W2" s="25">
        <v>20437.759999999998</v>
      </c>
      <c r="X2" s="25">
        <v>20045.28</v>
      </c>
    </row>
    <row r="3" spans="1:24" x14ac:dyDescent="0.25">
      <c r="A3" s="25" t="s">
        <v>668</v>
      </c>
      <c r="B3" s="62">
        <f>22.6</f>
        <v>22.6</v>
      </c>
      <c r="C3" s="25" t="s">
        <v>424</v>
      </c>
      <c r="D3" s="25">
        <v>2216</v>
      </c>
      <c r="E3" s="25">
        <v>105</v>
      </c>
      <c r="F3" s="25">
        <v>2028</v>
      </c>
      <c r="G3" s="25">
        <v>19551.45</v>
      </c>
      <c r="H3" s="25">
        <v>17551.28</v>
      </c>
      <c r="I3" s="25">
        <v>19524.5</v>
      </c>
      <c r="J3" s="25">
        <v>18841.580000000002</v>
      </c>
      <c r="K3" s="25">
        <v>18634.419999999998</v>
      </c>
      <c r="L3" s="25">
        <v>16224.6</v>
      </c>
      <c r="M3" s="25">
        <v>15898.37</v>
      </c>
      <c r="N3" s="25">
        <v>16488.23</v>
      </c>
      <c r="O3" s="25">
        <v>17320.400000000001</v>
      </c>
      <c r="P3" s="25">
        <v>19393.61</v>
      </c>
      <c r="Q3" s="25">
        <v>18933.57</v>
      </c>
      <c r="R3" s="25">
        <v>19694.490000000002</v>
      </c>
      <c r="S3" s="25">
        <v>19608.419999999998</v>
      </c>
      <c r="T3" s="25">
        <v>17743</v>
      </c>
      <c r="U3" s="25">
        <v>19704</v>
      </c>
      <c r="V3" s="245">
        <v>18855.66</v>
      </c>
      <c r="W3" s="25">
        <v>18701.080000000002</v>
      </c>
      <c r="X3" s="25">
        <v>17218.8</v>
      </c>
    </row>
    <row r="4" spans="1:24" x14ac:dyDescent="0.25">
      <c r="A4" s="25" t="s">
        <v>196</v>
      </c>
      <c r="B4" s="62">
        <f>114.9</f>
        <v>114.9</v>
      </c>
      <c r="E4" s="25" t="s">
        <v>524</v>
      </c>
      <c r="F4" s="25" t="s">
        <v>543</v>
      </c>
      <c r="V4" s="245"/>
    </row>
    <row r="5" spans="1:24" x14ac:dyDescent="0.25">
      <c r="A5" s="25" t="s">
        <v>197</v>
      </c>
      <c r="B5" s="62">
        <f>25</f>
        <v>25</v>
      </c>
      <c r="C5" s="25" t="s">
        <v>389</v>
      </c>
      <c r="D5" s="25">
        <v>2335</v>
      </c>
      <c r="E5" s="25">
        <v>105</v>
      </c>
      <c r="F5" s="25">
        <v>2028</v>
      </c>
      <c r="G5" s="25">
        <v>20671.34</v>
      </c>
      <c r="H5" s="25">
        <v>18362.560000000001</v>
      </c>
      <c r="I5" s="25">
        <v>20367.75</v>
      </c>
      <c r="J5" s="25">
        <v>19548.349999999999</v>
      </c>
      <c r="K5" s="25">
        <v>19268.36</v>
      </c>
      <c r="L5" s="25">
        <v>16679.98</v>
      </c>
      <c r="M5" s="25">
        <v>16817.939999999999</v>
      </c>
      <c r="N5" s="25">
        <v>16974.900000000001</v>
      </c>
      <c r="O5" s="25">
        <v>17163.89</v>
      </c>
      <c r="P5" s="25">
        <v>19539.91</v>
      </c>
      <c r="Q5" s="25">
        <v>19283.38</v>
      </c>
      <c r="R5" s="25">
        <v>20415.77</v>
      </c>
      <c r="S5" s="25">
        <v>20226.47</v>
      </c>
      <c r="T5" s="25">
        <v>18547.32</v>
      </c>
      <c r="U5" s="62">
        <v>20476.95</v>
      </c>
      <c r="V5" s="245">
        <v>18911.34</v>
      </c>
      <c r="W5" s="25">
        <v>19722.59</v>
      </c>
      <c r="X5" s="25">
        <v>17231.23</v>
      </c>
    </row>
    <row r="6" spans="1:24" x14ac:dyDescent="0.25">
      <c r="A6" s="25" t="s">
        <v>198</v>
      </c>
      <c r="B6" s="62">
        <f>50</f>
        <v>50</v>
      </c>
      <c r="C6" s="25" t="s">
        <v>390</v>
      </c>
      <c r="D6" s="25">
        <v>2714</v>
      </c>
      <c r="E6" s="25">
        <v>105</v>
      </c>
      <c r="F6" s="25">
        <v>2031</v>
      </c>
      <c r="G6" s="25">
        <v>44144.46</v>
      </c>
      <c r="H6" s="25">
        <v>39490.639999999999</v>
      </c>
      <c r="I6" s="25">
        <v>43635.38</v>
      </c>
      <c r="J6" s="25">
        <v>42403.839999999997</v>
      </c>
      <c r="K6" s="25">
        <v>41890.29</v>
      </c>
      <c r="L6" s="25">
        <v>36328.46</v>
      </c>
      <c r="M6" s="25">
        <v>36750.910000000003</v>
      </c>
      <c r="N6" s="25">
        <v>37220.050000000003</v>
      </c>
      <c r="O6" s="25">
        <v>33728.33</v>
      </c>
      <c r="P6" s="25">
        <v>42148.51</v>
      </c>
      <c r="Q6" s="25">
        <v>41517.980000000003</v>
      </c>
      <c r="R6" s="25">
        <v>44087.75</v>
      </c>
      <c r="S6" s="25">
        <v>43696.09</v>
      </c>
      <c r="T6" s="25">
        <v>39365.11</v>
      </c>
      <c r="U6" s="62">
        <v>43533.93</v>
      </c>
      <c r="V6" s="245">
        <v>40488.959999999999</v>
      </c>
      <c r="W6" s="25">
        <v>39310.639999999999</v>
      </c>
      <c r="X6" s="25">
        <v>35480.639999999999</v>
      </c>
    </row>
    <row r="7" spans="1:24" x14ac:dyDescent="0.25">
      <c r="A7" s="25" t="s">
        <v>199</v>
      </c>
      <c r="B7" s="62">
        <f>8.2</f>
        <v>8.1999999999999993</v>
      </c>
      <c r="C7" s="25" t="s">
        <v>425</v>
      </c>
      <c r="D7" s="25">
        <v>922</v>
      </c>
      <c r="E7" s="25" t="s">
        <v>524</v>
      </c>
      <c r="F7" s="25" t="s">
        <v>543</v>
      </c>
      <c r="G7" s="25">
        <v>303.18</v>
      </c>
      <c r="H7" s="25">
        <v>263.07</v>
      </c>
      <c r="I7" s="25">
        <v>199.26</v>
      </c>
      <c r="J7" s="25">
        <v>291.76</v>
      </c>
      <c r="K7" s="25">
        <v>2407.21</v>
      </c>
      <c r="L7" s="25">
        <v>2216.8200000000002</v>
      </c>
      <c r="M7" s="25">
        <v>2686.41</v>
      </c>
      <c r="N7" s="25">
        <v>2061.2399999999998</v>
      </c>
      <c r="O7" s="25">
        <v>951.75</v>
      </c>
      <c r="P7" s="25">
        <v>194.63</v>
      </c>
      <c r="Q7" s="25">
        <v>305.85000000000002</v>
      </c>
      <c r="R7" s="25">
        <v>312.13</v>
      </c>
      <c r="S7" s="25">
        <v>258.89</v>
      </c>
      <c r="T7" s="25">
        <v>365.31</v>
      </c>
      <c r="U7" s="62">
        <v>326.10000000000002</v>
      </c>
      <c r="V7" s="245">
        <v>656.12</v>
      </c>
      <c r="W7" s="25">
        <v>548.54</v>
      </c>
      <c r="X7" s="25">
        <v>2303.91</v>
      </c>
    </row>
    <row r="8" spans="1:24" x14ac:dyDescent="0.25">
      <c r="A8" s="25" t="s">
        <v>200</v>
      </c>
      <c r="B8" s="62">
        <f>32.412</f>
        <v>32.411999999999999</v>
      </c>
      <c r="C8" s="25" t="s">
        <v>387</v>
      </c>
      <c r="D8" s="25">
        <v>674</v>
      </c>
      <c r="E8" s="25" t="s">
        <v>524</v>
      </c>
      <c r="F8" s="25" t="s">
        <v>543</v>
      </c>
      <c r="G8" s="25">
        <v>1656.57</v>
      </c>
      <c r="H8" s="25">
        <v>841.85</v>
      </c>
      <c r="I8" s="25">
        <v>7235.92</v>
      </c>
      <c r="J8" s="25">
        <v>12976.38</v>
      </c>
      <c r="K8" s="25">
        <v>16274.83</v>
      </c>
      <c r="L8" s="25">
        <v>4989.78</v>
      </c>
      <c r="M8" s="25">
        <v>1870.96</v>
      </c>
      <c r="N8" s="25">
        <v>724.03</v>
      </c>
      <c r="O8" s="25">
        <v>1619.81</v>
      </c>
      <c r="P8" s="25">
        <v>2784.08</v>
      </c>
      <c r="Q8" s="25">
        <v>1120.73</v>
      </c>
      <c r="R8" s="25">
        <v>1062.26</v>
      </c>
      <c r="S8" s="25">
        <v>1130.72</v>
      </c>
      <c r="T8" s="25">
        <v>2905.85</v>
      </c>
      <c r="U8" s="62">
        <v>2855.12</v>
      </c>
      <c r="V8" s="245">
        <v>4371.99</v>
      </c>
      <c r="W8" s="25">
        <v>7706.7</v>
      </c>
      <c r="X8" s="25">
        <v>8061.19</v>
      </c>
    </row>
    <row r="9" spans="1:24" x14ac:dyDescent="0.25">
      <c r="A9" s="25" t="s">
        <v>201</v>
      </c>
      <c r="B9" s="62">
        <f>13.368</f>
        <v>13.368</v>
      </c>
      <c r="C9" s="25" t="s">
        <v>426</v>
      </c>
      <c r="D9" s="25">
        <v>958</v>
      </c>
      <c r="E9" s="25" t="s">
        <v>524</v>
      </c>
      <c r="F9" s="25" t="s">
        <v>543</v>
      </c>
      <c r="G9" s="25">
        <v>2608.4699999999998</v>
      </c>
      <c r="H9" s="25">
        <v>2440.5500000000002</v>
      </c>
      <c r="I9" s="25">
        <v>6059.21</v>
      </c>
      <c r="J9" s="25">
        <v>7841.56</v>
      </c>
      <c r="K9" s="25">
        <v>5883.18</v>
      </c>
      <c r="L9" s="25">
        <v>2444.58</v>
      </c>
      <c r="M9" s="25">
        <v>1027.1500000000001</v>
      </c>
      <c r="N9" s="25">
        <v>870.05</v>
      </c>
      <c r="O9" s="25">
        <v>1539.14</v>
      </c>
      <c r="P9" s="25">
        <v>2315.59</v>
      </c>
      <c r="Q9" s="25">
        <v>2675.11</v>
      </c>
      <c r="R9" s="25">
        <v>3214.98</v>
      </c>
      <c r="S9" s="25">
        <v>4430.18</v>
      </c>
      <c r="T9" s="25">
        <v>6307.34</v>
      </c>
      <c r="U9" s="62">
        <v>6575.44</v>
      </c>
      <c r="V9" s="245">
        <v>4699.75</v>
      </c>
      <c r="W9" s="25">
        <v>2869.4</v>
      </c>
      <c r="X9" s="25">
        <v>3762.6</v>
      </c>
    </row>
    <row r="10" spans="1:24" x14ac:dyDescent="0.25">
      <c r="A10" s="25" t="s">
        <v>202</v>
      </c>
      <c r="B10" s="62">
        <f>25</f>
        <v>25</v>
      </c>
      <c r="C10" s="25" t="s">
        <v>395</v>
      </c>
      <c r="D10" s="25">
        <v>1576</v>
      </c>
      <c r="E10" s="25" t="s">
        <v>524</v>
      </c>
      <c r="F10" s="25" t="s">
        <v>543</v>
      </c>
      <c r="G10" s="25">
        <v>1756.48</v>
      </c>
      <c r="H10" s="25">
        <v>1629.1</v>
      </c>
      <c r="I10" s="25">
        <v>4996.4799999999996</v>
      </c>
      <c r="J10" s="25">
        <v>11728.47</v>
      </c>
      <c r="K10" s="25">
        <v>8723.9599999999991</v>
      </c>
      <c r="L10" s="25">
        <v>2928.25</v>
      </c>
      <c r="M10" s="25">
        <v>1068.96</v>
      </c>
      <c r="N10" s="25">
        <v>68.599999999999994</v>
      </c>
      <c r="O10" s="25">
        <v>417.71</v>
      </c>
      <c r="P10" s="25">
        <v>872.01</v>
      </c>
      <c r="Q10" s="25">
        <v>1790.69</v>
      </c>
      <c r="R10" s="25">
        <v>2681.08</v>
      </c>
      <c r="S10" s="25">
        <v>2875.82</v>
      </c>
      <c r="T10" s="25">
        <v>13195.95</v>
      </c>
      <c r="U10" s="62">
        <v>14173.52</v>
      </c>
      <c r="V10" s="245">
        <v>14128.91</v>
      </c>
      <c r="W10" s="25">
        <v>13988.74</v>
      </c>
      <c r="X10" s="25">
        <v>9848.81</v>
      </c>
    </row>
    <row r="11" spans="1:24" x14ac:dyDescent="0.25">
      <c r="A11" s="25" t="s">
        <v>203</v>
      </c>
      <c r="B11" s="62">
        <f>48</f>
        <v>48</v>
      </c>
      <c r="C11" s="25" t="s">
        <v>388</v>
      </c>
      <c r="D11" s="25">
        <v>1175</v>
      </c>
      <c r="E11" s="25" t="s">
        <v>524</v>
      </c>
      <c r="F11" s="25" t="s">
        <v>543</v>
      </c>
      <c r="G11" s="25">
        <v>6816.45</v>
      </c>
      <c r="H11" s="25">
        <v>5859.19</v>
      </c>
      <c r="I11" s="25">
        <v>5535.37</v>
      </c>
      <c r="J11" s="25">
        <v>6503.19</v>
      </c>
      <c r="K11" s="25">
        <v>10564.95</v>
      </c>
      <c r="L11" s="25">
        <v>15714.31</v>
      </c>
      <c r="M11" s="25">
        <v>24691.57</v>
      </c>
      <c r="N11" s="25">
        <v>20797.68</v>
      </c>
      <c r="O11" s="25">
        <v>13261.96</v>
      </c>
      <c r="P11" s="25">
        <v>4241.6899999999996</v>
      </c>
      <c r="Q11" s="25">
        <v>6388.21</v>
      </c>
      <c r="R11" s="25">
        <v>8367.7000000000007</v>
      </c>
      <c r="S11" s="25">
        <v>13178.55</v>
      </c>
      <c r="T11" s="25">
        <v>8874.15</v>
      </c>
      <c r="U11" s="62">
        <v>7622.83</v>
      </c>
      <c r="V11" s="245">
        <v>6620.42</v>
      </c>
      <c r="W11" s="25">
        <v>3932.88</v>
      </c>
      <c r="X11" s="25">
        <v>16159.6</v>
      </c>
    </row>
    <row r="12" spans="1:24" x14ac:dyDescent="0.25">
      <c r="A12" s="25" t="s">
        <v>204</v>
      </c>
      <c r="B12" s="62">
        <f>29.794</f>
        <v>29.794</v>
      </c>
      <c r="C12" s="25" t="s">
        <v>396</v>
      </c>
      <c r="D12" s="25">
        <v>1255</v>
      </c>
      <c r="E12" s="25" t="s">
        <v>524</v>
      </c>
      <c r="F12" s="25" t="s">
        <v>543</v>
      </c>
      <c r="G12" s="25">
        <v>2115.64</v>
      </c>
      <c r="H12" s="25">
        <v>1611.53</v>
      </c>
      <c r="I12" s="25">
        <v>5210.1899999999996</v>
      </c>
      <c r="J12" s="25">
        <v>5681.22</v>
      </c>
      <c r="K12" s="25">
        <v>7098.07</v>
      </c>
      <c r="L12" s="25">
        <v>6654.92</v>
      </c>
      <c r="M12" s="25">
        <v>8412.11</v>
      </c>
      <c r="N12" s="25">
        <v>7866.43</v>
      </c>
      <c r="O12" s="25">
        <v>6500.98</v>
      </c>
      <c r="P12" s="25">
        <v>4784.01</v>
      </c>
      <c r="Q12" s="25">
        <v>1169.5</v>
      </c>
      <c r="R12" s="25">
        <v>3910.8</v>
      </c>
      <c r="S12" s="25">
        <v>826.85</v>
      </c>
      <c r="T12" s="25">
        <v>0.96</v>
      </c>
      <c r="U12" s="62">
        <v>0</v>
      </c>
      <c r="V12" s="245">
        <v>420.43</v>
      </c>
      <c r="W12" s="25">
        <v>2625.05</v>
      </c>
      <c r="X12" s="25">
        <v>6953.14</v>
      </c>
    </row>
    <row r="13" spans="1:24" x14ac:dyDescent="0.25">
      <c r="A13" s="25" t="s">
        <v>205</v>
      </c>
      <c r="B13" s="62">
        <f>172.6</f>
        <v>172.6</v>
      </c>
      <c r="C13" s="25" t="s">
        <v>386</v>
      </c>
      <c r="D13" s="25">
        <v>1406</v>
      </c>
      <c r="E13" s="25" t="s">
        <v>524</v>
      </c>
      <c r="F13" s="25" t="s">
        <v>543</v>
      </c>
      <c r="G13" s="25">
        <v>22694.78</v>
      </c>
      <c r="H13" s="25">
        <v>49397.54</v>
      </c>
      <c r="I13" s="25">
        <v>44200.44</v>
      </c>
      <c r="J13" s="25">
        <v>35740.629999999997</v>
      </c>
      <c r="K13" s="25">
        <v>38048</v>
      </c>
      <c r="L13" s="25">
        <v>43864.6</v>
      </c>
      <c r="M13" s="25">
        <v>37921.35</v>
      </c>
      <c r="N13" s="25">
        <v>38491.51</v>
      </c>
      <c r="O13" s="25">
        <v>34899.870000000003</v>
      </c>
      <c r="P13" s="25">
        <v>34528.239999999998</v>
      </c>
      <c r="Q13" s="25">
        <v>26344.13</v>
      </c>
      <c r="R13" s="25">
        <v>37410.49</v>
      </c>
      <c r="S13" s="25">
        <v>69073.77</v>
      </c>
      <c r="T13" s="25">
        <v>58800.05</v>
      </c>
      <c r="U13" s="62">
        <v>44642.5</v>
      </c>
      <c r="V13" s="245">
        <v>29178.04</v>
      </c>
      <c r="W13" s="25">
        <v>15612.16</v>
      </c>
      <c r="X13" s="25">
        <v>26136.42</v>
      </c>
    </row>
    <row r="14" spans="1:24" x14ac:dyDescent="0.25">
      <c r="A14" s="25" t="s">
        <v>206</v>
      </c>
      <c r="B14" s="62">
        <f>48</f>
        <v>48</v>
      </c>
      <c r="C14" s="25" t="s">
        <v>392</v>
      </c>
      <c r="D14" s="25">
        <v>1947</v>
      </c>
      <c r="E14" s="25">
        <v>73</v>
      </c>
      <c r="F14" s="25">
        <v>2025</v>
      </c>
      <c r="G14" s="25">
        <v>15651.1</v>
      </c>
      <c r="H14" s="25">
        <v>15142.84</v>
      </c>
      <c r="I14" s="25">
        <v>19296.009999999998</v>
      </c>
      <c r="J14" s="25">
        <v>13068.71</v>
      </c>
      <c r="K14" s="25">
        <v>14587.72</v>
      </c>
      <c r="L14" s="25">
        <v>9437.7099999999991</v>
      </c>
      <c r="M14" s="25">
        <v>13543.6</v>
      </c>
      <c r="N14" s="25">
        <v>21320.68</v>
      </c>
      <c r="O14" s="25">
        <v>15075.41</v>
      </c>
      <c r="P14" s="25">
        <v>12458.04</v>
      </c>
      <c r="Q14" s="25">
        <v>17415.8</v>
      </c>
      <c r="R14" s="25">
        <v>13375.9</v>
      </c>
      <c r="S14" s="25">
        <v>26946.54</v>
      </c>
      <c r="T14" s="25">
        <v>17199.45</v>
      </c>
      <c r="U14" s="62">
        <v>14287.66</v>
      </c>
      <c r="V14" s="245">
        <v>10040.99</v>
      </c>
      <c r="W14" s="25">
        <v>9200.36</v>
      </c>
      <c r="X14" s="25">
        <v>12359.25</v>
      </c>
    </row>
    <row r="15" spans="1:24" x14ac:dyDescent="0.25">
      <c r="A15" s="25" t="s">
        <v>207</v>
      </c>
      <c r="B15" s="62">
        <f>15</f>
        <v>15</v>
      </c>
      <c r="C15" s="25" t="s">
        <v>394</v>
      </c>
      <c r="D15" s="25">
        <v>2068</v>
      </c>
      <c r="E15" s="25">
        <v>73</v>
      </c>
      <c r="F15" s="25">
        <v>2026</v>
      </c>
      <c r="G15" s="25">
        <v>5973.02</v>
      </c>
      <c r="H15" s="25">
        <v>5519.89</v>
      </c>
      <c r="I15" s="25">
        <v>6457.84</v>
      </c>
      <c r="J15" s="25">
        <v>4776.41</v>
      </c>
      <c r="K15" s="25">
        <v>4798.93</v>
      </c>
      <c r="L15" s="25">
        <v>4209.04</v>
      </c>
      <c r="M15" s="25">
        <v>4819.09</v>
      </c>
      <c r="N15" s="25">
        <v>7706.64</v>
      </c>
      <c r="O15" s="25">
        <v>6203.35</v>
      </c>
      <c r="P15" s="25">
        <v>4369.79</v>
      </c>
      <c r="Q15" s="25">
        <v>6095.17</v>
      </c>
      <c r="R15" s="25">
        <v>6397.69</v>
      </c>
      <c r="S15" s="25">
        <v>10758.4</v>
      </c>
      <c r="T15" s="25">
        <v>7897.93</v>
      </c>
      <c r="U15" s="62">
        <v>6559.68</v>
      </c>
      <c r="V15" s="245">
        <v>3508.37</v>
      </c>
      <c r="W15" s="25">
        <v>4472.49</v>
      </c>
      <c r="X15" s="25">
        <v>4502.8</v>
      </c>
    </row>
    <row r="16" spans="1:24" x14ac:dyDescent="0.25">
      <c r="A16" s="25" t="s">
        <v>208</v>
      </c>
      <c r="B16" s="62">
        <f>70</f>
        <v>70</v>
      </c>
      <c r="C16" s="25" t="s">
        <v>427</v>
      </c>
      <c r="D16" s="25">
        <v>2113</v>
      </c>
      <c r="E16" s="25">
        <v>73</v>
      </c>
      <c r="F16" s="25">
        <v>2026</v>
      </c>
      <c r="G16" s="25">
        <v>15400.71</v>
      </c>
      <c r="H16" s="25">
        <v>21730.61</v>
      </c>
      <c r="I16" s="25">
        <v>18547.23</v>
      </c>
      <c r="J16" s="25">
        <v>14644.41</v>
      </c>
      <c r="K16" s="25">
        <v>17397.759999999998</v>
      </c>
      <c r="L16" s="25">
        <v>18069.580000000002</v>
      </c>
      <c r="M16" s="25">
        <v>13270.64</v>
      </c>
      <c r="N16" s="25">
        <v>11300.9</v>
      </c>
      <c r="O16" s="25">
        <v>13504.26</v>
      </c>
      <c r="P16" s="25">
        <v>16930.54</v>
      </c>
      <c r="Q16" s="25">
        <v>14469.32</v>
      </c>
      <c r="R16" s="25">
        <v>18233.259999999998</v>
      </c>
      <c r="S16" s="25">
        <v>35082.839999999997</v>
      </c>
      <c r="T16" s="25">
        <v>27138.43</v>
      </c>
      <c r="U16" s="62">
        <v>14597.16</v>
      </c>
      <c r="V16" s="245">
        <v>15388.91</v>
      </c>
      <c r="W16" s="25">
        <v>15977.52</v>
      </c>
      <c r="X16" s="25">
        <v>10243.790000000001</v>
      </c>
    </row>
    <row r="17" spans="1:24" x14ac:dyDescent="0.25">
      <c r="A17" s="25" t="s">
        <v>209</v>
      </c>
      <c r="B17" s="62">
        <f>88</f>
        <v>88</v>
      </c>
      <c r="C17" s="25" t="s">
        <v>393</v>
      </c>
      <c r="D17" s="25">
        <v>2466</v>
      </c>
      <c r="E17" s="25">
        <v>73</v>
      </c>
      <c r="F17" s="25">
        <v>2029</v>
      </c>
      <c r="G17" s="25">
        <v>17947.32</v>
      </c>
      <c r="H17" s="25">
        <v>20231.97</v>
      </c>
      <c r="I17" s="25">
        <v>29295.35</v>
      </c>
      <c r="J17" s="25">
        <v>22324.39</v>
      </c>
      <c r="K17" s="25">
        <v>22450.06</v>
      </c>
      <c r="L17" s="25">
        <v>20190</v>
      </c>
      <c r="M17" s="25">
        <v>20655.37</v>
      </c>
      <c r="N17" s="25">
        <v>23883.71</v>
      </c>
      <c r="O17" s="25">
        <v>17861.810000000001</v>
      </c>
      <c r="P17" s="25">
        <v>24928.080000000002</v>
      </c>
      <c r="Q17" s="25">
        <v>20680.88</v>
      </c>
      <c r="R17" s="25">
        <v>19105.62</v>
      </c>
      <c r="S17" s="25">
        <v>36012.29</v>
      </c>
      <c r="T17" s="25">
        <v>29076</v>
      </c>
      <c r="U17" s="62">
        <v>22468.55</v>
      </c>
      <c r="V17" s="245">
        <v>19485.36</v>
      </c>
      <c r="W17" s="25">
        <v>19297.580000000002</v>
      </c>
      <c r="X17" s="25">
        <v>19798.93</v>
      </c>
    </row>
    <row r="18" spans="1:24" x14ac:dyDescent="0.25">
      <c r="A18" s="25" t="s">
        <v>210</v>
      </c>
      <c r="B18" s="62">
        <f>120</f>
        <v>120</v>
      </c>
      <c r="C18" s="25" t="s">
        <v>428</v>
      </c>
      <c r="D18" s="25">
        <v>2753</v>
      </c>
      <c r="E18" s="25">
        <v>73</v>
      </c>
      <c r="F18" s="25">
        <v>2031</v>
      </c>
      <c r="G18" s="25">
        <v>29470.84</v>
      </c>
      <c r="H18" s="25">
        <v>20352.11</v>
      </c>
      <c r="I18" s="25">
        <v>33876.29</v>
      </c>
      <c r="J18" s="25">
        <v>25643.3</v>
      </c>
      <c r="K18" s="25">
        <v>34134.75</v>
      </c>
      <c r="L18" s="25">
        <v>50047.78</v>
      </c>
      <c r="M18" s="25">
        <v>33129.99</v>
      </c>
      <c r="N18" s="25">
        <v>34393.03</v>
      </c>
      <c r="O18" s="25">
        <v>31888.9</v>
      </c>
      <c r="P18" s="25">
        <v>34430.44</v>
      </c>
      <c r="Q18" s="25">
        <v>32140.51</v>
      </c>
      <c r="R18" s="25">
        <v>21594.06</v>
      </c>
      <c r="S18" s="25">
        <v>48407.31</v>
      </c>
      <c r="T18" s="25">
        <v>38630.480000000003</v>
      </c>
      <c r="U18" s="62">
        <v>24755.51</v>
      </c>
      <c r="V18" s="245">
        <v>25245.73</v>
      </c>
      <c r="W18" s="25">
        <v>28211.66</v>
      </c>
      <c r="X18" s="25">
        <v>29764.05</v>
      </c>
    </row>
    <row r="19" spans="1:24" x14ac:dyDescent="0.25">
      <c r="A19" s="25" t="s">
        <v>211</v>
      </c>
      <c r="B19" s="62">
        <f>10</f>
        <v>10</v>
      </c>
      <c r="C19" s="25" t="s">
        <v>429</v>
      </c>
      <c r="D19" s="25">
        <v>3015</v>
      </c>
      <c r="E19" s="25" t="s">
        <v>524</v>
      </c>
      <c r="F19" s="25" t="s">
        <v>543</v>
      </c>
      <c r="G19" s="25">
        <v>2678.91</v>
      </c>
      <c r="H19" s="25">
        <v>2547.4899999999998</v>
      </c>
      <c r="I19" s="25">
        <v>3619.67</v>
      </c>
      <c r="J19" s="25">
        <v>2119.1999999999998</v>
      </c>
      <c r="K19" s="25">
        <v>2504.2800000000002</v>
      </c>
      <c r="L19" s="25">
        <v>3133.36</v>
      </c>
      <c r="M19" s="25">
        <v>2591.94</v>
      </c>
      <c r="N19" s="25">
        <v>4020.42</v>
      </c>
      <c r="O19" s="25">
        <v>3222.31</v>
      </c>
      <c r="P19" s="25">
        <v>1612.6</v>
      </c>
      <c r="Q19" s="25">
        <v>3049.64</v>
      </c>
      <c r="R19" s="25">
        <v>1908.71</v>
      </c>
      <c r="S19" s="25">
        <v>4087.58</v>
      </c>
      <c r="T19" s="25">
        <v>2881.7</v>
      </c>
      <c r="U19" s="62">
        <v>2352.7600000000002</v>
      </c>
      <c r="V19" s="245">
        <v>975.49</v>
      </c>
      <c r="W19" s="25">
        <v>700.51</v>
      </c>
      <c r="X19" s="25">
        <v>2248.12</v>
      </c>
    </row>
    <row r="20" spans="1:24" x14ac:dyDescent="0.25">
      <c r="A20" s="25" t="s">
        <v>212</v>
      </c>
      <c r="B20" s="62">
        <v>32.5</v>
      </c>
      <c r="E20" s="25">
        <v>73</v>
      </c>
      <c r="F20" s="25">
        <v>2029</v>
      </c>
      <c r="U20" s="62"/>
      <c r="V20" s="245"/>
    </row>
    <row r="21" spans="1:24" x14ac:dyDescent="0.25">
      <c r="A21" s="25" t="s">
        <v>37</v>
      </c>
      <c r="B21" s="62">
        <f>SUM(B2:B20)</f>
        <v>972.77399999999989</v>
      </c>
      <c r="G21" s="25">
        <v>230110.39</v>
      </c>
      <c r="H21" s="25">
        <v>241682.82</v>
      </c>
      <c r="I21" s="25">
        <v>288079.2</v>
      </c>
      <c r="J21" s="25">
        <v>262966.77</v>
      </c>
      <c r="K21" s="25">
        <v>283305.57</v>
      </c>
      <c r="L21" s="25">
        <v>281836.98</v>
      </c>
      <c r="M21" s="25">
        <v>255834.78</v>
      </c>
      <c r="N21" s="25">
        <v>267062.21000000002</v>
      </c>
      <c r="O21" s="25">
        <v>236816.37</v>
      </c>
      <c r="P21" s="25">
        <v>248045.37</v>
      </c>
      <c r="Q21" s="25">
        <v>236047.13</v>
      </c>
      <c r="R21" s="25">
        <v>246255.69</v>
      </c>
      <c r="S21" s="25">
        <v>360768.92</v>
      </c>
      <c r="T21" s="25">
        <v>310567.48</v>
      </c>
      <c r="U21" s="62">
        <v>268463.57</v>
      </c>
      <c r="V21" s="245">
        <v>235110.57</v>
      </c>
      <c r="W21">
        <v>223315.66</v>
      </c>
      <c r="X21">
        <v>242118.56</v>
      </c>
    </row>
    <row r="24" spans="1:24" x14ac:dyDescent="0.25">
      <c r="A24" s="44" t="s">
        <v>542</v>
      </c>
      <c r="S24" s="40">
        <f>(SUM(S2:S3,S5,S6)/SUM(G2:G3,G5:G6))-1</f>
        <v>2.5346135435045269E-2</v>
      </c>
      <c r="T24" s="40">
        <f>(SUM(T2:T3,T5,T6)/SUM(H2:H3,H5:H6))-1</f>
        <v>3.4369156722419136E-2</v>
      </c>
      <c r="U24" s="40">
        <f>(SUM(U2:U3,U5,U6)/SUM(I2:I3,I5:I6))-1</f>
        <v>3.5693347034837952E-2</v>
      </c>
      <c r="V24" s="40">
        <f t="shared" ref="V24:X24" si="0">(SUM(V2:V3,V5,V6)/SUM(J2:J3,J5:J6))-1</f>
        <v>7.6577526967049891E-3</v>
      </c>
      <c r="W24" s="40">
        <f t="shared" si="0"/>
        <v>-2.6393890515338247E-3</v>
      </c>
      <c r="X24" s="40">
        <f t="shared" si="0"/>
        <v>2.8548830375998424E-2</v>
      </c>
    </row>
    <row r="25" spans="1:24" x14ac:dyDescent="0.25">
      <c r="A25" s="44" t="s">
        <v>550</v>
      </c>
      <c r="S25" s="40"/>
      <c r="T25" s="40">
        <f>(SUM(S2:T3,S5:T6)/SUM(G2:H3,G5:H6))-1</f>
        <v>2.960893630272543E-2</v>
      </c>
      <c r="U25" s="40">
        <f>(SUM(S2:U3,S5:U6)/SUM(G2:I3,G5:I6))-1</f>
        <v>3.1690705926446183E-2</v>
      </c>
      <c r="V25" s="40">
        <f>(SUM(S2:V3,S5:V6)/SUM(G2:J3,G5:J6))-1</f>
        <v>2.5738733830403371E-2</v>
      </c>
      <c r="W25" s="40">
        <f>(SUM(S2:W3,S5:W6)/SUM(G2:K3,G5:K6))-1</f>
        <v>2.0160006333435954E-2</v>
      </c>
      <c r="X25" s="40">
        <f>(SUM(S2:X3,S5:X6)/SUM(G2:L3,G5:L6))-1</f>
        <v>2.1407641953937739E-2</v>
      </c>
    </row>
    <row r="26" spans="1:24" x14ac:dyDescent="0.25">
      <c r="A26" s="44" t="s">
        <v>532</v>
      </c>
      <c r="S26" s="40">
        <f>(SUM(S7:S10)/SUM(G7:G10))-1</f>
        <v>0.37486521099815051</v>
      </c>
      <c r="T26" s="40">
        <f>(SUM(T7:T10)/SUM(H7:H10))-1</f>
        <v>3.4012256090844266</v>
      </c>
      <c r="U26" s="40">
        <f>(SUM(U7:U10)/SUM(I7:I10))-1</f>
        <v>0.29416192964419752</v>
      </c>
      <c r="V26" s="40">
        <f t="shared" ref="V26:X26" si="1">(SUM(V7:V10)/SUM(J7:J10))-1</f>
        <v>-0.27350488775714354</v>
      </c>
      <c r="W26" s="40">
        <f t="shared" si="1"/>
        <v>-0.24559932086041181</v>
      </c>
      <c r="X26" s="40">
        <f t="shared" si="1"/>
        <v>0.90600925479135364</v>
      </c>
    </row>
    <row r="27" spans="1:24" x14ac:dyDescent="0.25">
      <c r="A27" s="44" t="s">
        <v>526</v>
      </c>
      <c r="S27" s="40"/>
      <c r="T27" s="40">
        <f>(SUM(S7:T10)/SUM(G7:H10))-1</f>
        <v>1.7367006775212688</v>
      </c>
      <c r="U27" s="40">
        <f>(SUM(S7:U10)/SUM(G7:I10))-1</f>
        <v>0.84728180662044306</v>
      </c>
      <c r="V27" s="40">
        <f>(SUM(S7:V10)/SUM(G7:J10))-1</f>
        <v>0.26148562646361184</v>
      </c>
      <c r="W27" s="40">
        <f>(SUM(S7:W10)/SUM(G7:K10))-1</f>
        <v>8.5862625001964066E-2</v>
      </c>
      <c r="X27" s="40">
        <f>(SUM(S7:X10)/SUM(G7:L10))-1</f>
        <v>0.18077770740882082</v>
      </c>
    </row>
    <row r="28" spans="1:24" x14ac:dyDescent="0.25">
      <c r="A28" s="44" t="s">
        <v>531</v>
      </c>
      <c r="S28" s="40">
        <f>(SUM(S11:S19)/SUM(G11:G19))-1</f>
        <v>1.0579087261282787</v>
      </c>
      <c r="T28" s="40">
        <f>(SUM(T11:T19)/SUM(H11:H19))-1</f>
        <v>0.33783909719827188</v>
      </c>
      <c r="U28" s="40">
        <f>(SUM(U11:U19)/SUM(I11:I19))-1</f>
        <v>-0.17316320641268557</v>
      </c>
      <c r="V28" s="40">
        <f t="shared" ref="V28:X28" si="2">(SUM(V11:V19)/SUM(J11:J19))-1</f>
        <v>-0.15047892950776176</v>
      </c>
      <c r="W28" s="40">
        <f t="shared" si="2"/>
        <v>-0.34010273608413299</v>
      </c>
      <c r="X28" s="40">
        <f t="shared" si="2"/>
        <v>-0.25189629077061637</v>
      </c>
    </row>
    <row r="29" spans="1:24" x14ac:dyDescent="0.25">
      <c r="A29" s="44" t="s">
        <v>533</v>
      </c>
      <c r="S29" s="40"/>
      <c r="T29" s="40">
        <f>(SUM(S11:T19)/SUM(G11:H19))-1</f>
        <v>0.66527552027835934</v>
      </c>
      <c r="U29" s="40">
        <f>(SUM(S11:U19)/SUM(G11:I19))-1</f>
        <v>0.33938734960010919</v>
      </c>
      <c r="V29" s="40">
        <f>(SUM(S11:V19)/SUM(G11:J19))-1</f>
        <v>0.22475519596937121</v>
      </c>
      <c r="W29" s="40">
        <f>(SUM(S11:W19)/SUM(G11:K19))-1</f>
        <v>0.10403365979698043</v>
      </c>
      <c r="X29" s="40">
        <f>(SUM(S11:X19)/SUM(G11:L19))-1</f>
        <v>3.4786283218315894E-2</v>
      </c>
    </row>
    <row r="30" spans="1:24" ht="30" x14ac:dyDescent="0.25">
      <c r="A30" s="44" t="s">
        <v>529</v>
      </c>
      <c r="S30" s="40">
        <f>(S21/G21)-1</f>
        <v>0.56780804204451596</v>
      </c>
      <c r="T30" s="40">
        <f>(T21/H21)-1</f>
        <v>0.28502092122228628</v>
      </c>
      <c r="U30" s="40">
        <f>(U21/I21)-1</f>
        <v>-6.8091101336021476E-2</v>
      </c>
      <c r="V30" s="40">
        <f t="shared" ref="V30:X30" si="3">(V21/J21)-1</f>
        <v>-0.10593049456400905</v>
      </c>
      <c r="W30" s="40">
        <f t="shared" si="3"/>
        <v>-0.21174984311109735</v>
      </c>
      <c r="X30" s="40">
        <f t="shared" si="3"/>
        <v>-0.14092692875150725</v>
      </c>
    </row>
    <row r="31" spans="1:24" x14ac:dyDescent="0.25">
      <c r="A31" s="44" t="s">
        <v>530</v>
      </c>
      <c r="S31" s="40"/>
      <c r="T31" s="40">
        <f>(SUM(S21:T21)/SUM(G21:H21))-1</f>
        <v>0.42294629462768207</v>
      </c>
      <c r="U31" s="40">
        <f>(SUM(S21:U21)/SUM(G21:I21))-1</f>
        <v>0.23678654157215684</v>
      </c>
      <c r="V31" s="40">
        <f>(SUM(S21:V21)/SUM(G21:J21))-1</f>
        <v>0.14867572828017783</v>
      </c>
      <c r="W31" s="40">
        <f>(SUM(S21:W21)/SUM(G21:K21))-1</f>
        <v>7.0498656446768226E-2</v>
      </c>
      <c r="X31" s="40">
        <f>(SUM(S21:X21)/SUM(G21:L21))-1</f>
        <v>3.2974579625673739E-2</v>
      </c>
    </row>
    <row r="34" spans="1:24" x14ac:dyDescent="0.25">
      <c r="A34" s="34" t="s">
        <v>667</v>
      </c>
      <c r="B34" s="25" t="s">
        <v>683</v>
      </c>
      <c r="C34" s="25" t="s">
        <v>684</v>
      </c>
      <c r="D34" s="25" t="s">
        <v>685</v>
      </c>
      <c r="E34" s="25" t="s">
        <v>686</v>
      </c>
      <c r="F34" s="25" t="s">
        <v>687</v>
      </c>
      <c r="G34" s="41" t="s">
        <v>484</v>
      </c>
      <c r="H34" s="41" t="s">
        <v>485</v>
      </c>
      <c r="I34" s="41" t="s">
        <v>486</v>
      </c>
      <c r="J34" s="41" t="s">
        <v>487</v>
      </c>
      <c r="K34" s="41" t="s">
        <v>488</v>
      </c>
      <c r="L34" s="41" t="s">
        <v>489</v>
      </c>
      <c r="M34" s="41" t="s">
        <v>490</v>
      </c>
      <c r="N34" s="41" t="s">
        <v>491</v>
      </c>
      <c r="O34" s="41" t="s">
        <v>492</v>
      </c>
      <c r="P34" s="41" t="s">
        <v>493</v>
      </c>
      <c r="Q34" s="41" t="s">
        <v>494</v>
      </c>
      <c r="R34" s="41" t="s">
        <v>495</v>
      </c>
      <c r="S34" s="41" t="s">
        <v>496</v>
      </c>
      <c r="T34" s="41" t="s">
        <v>497</v>
      </c>
      <c r="U34" s="25" t="s">
        <v>574</v>
      </c>
      <c r="V34" s="273" t="s">
        <v>731</v>
      </c>
      <c r="W34" s="273" t="s">
        <v>732</v>
      </c>
      <c r="X34" s="273" t="s">
        <v>733</v>
      </c>
    </row>
    <row r="35" spans="1:24" x14ac:dyDescent="0.25">
      <c r="A35" s="25" t="s">
        <v>195</v>
      </c>
      <c r="G35" s="107">
        <f t="shared" ref="G35:R35" si="4">$E$2*G2</f>
        <v>2170315.3499999996</v>
      </c>
      <c r="H35" s="107">
        <f t="shared" si="4"/>
        <v>1958942.9999999998</v>
      </c>
      <c r="I35" s="107">
        <f t="shared" si="4"/>
        <v>2102419.2000000002</v>
      </c>
      <c r="J35" s="107">
        <f t="shared" si="4"/>
        <v>1977503.8499999999</v>
      </c>
      <c r="K35" s="107">
        <f t="shared" si="4"/>
        <v>1957074</v>
      </c>
      <c r="L35" s="107">
        <f t="shared" si="4"/>
        <v>1915777.5</v>
      </c>
      <c r="M35" s="107">
        <f t="shared" si="4"/>
        <v>2171234.0999999996</v>
      </c>
      <c r="N35" s="107">
        <f t="shared" si="4"/>
        <v>2401781.5500000003</v>
      </c>
      <c r="O35" s="107">
        <f t="shared" si="4"/>
        <v>2273931.4500000002</v>
      </c>
      <c r="P35" s="107">
        <f t="shared" si="4"/>
        <v>2363928</v>
      </c>
      <c r="Q35" s="107">
        <f t="shared" si="4"/>
        <v>2379999.2999999998</v>
      </c>
      <c r="R35" s="107">
        <f t="shared" si="4"/>
        <v>2570715</v>
      </c>
      <c r="S35" s="107">
        <f>S60*S2</f>
        <v>1643438.96</v>
      </c>
      <c r="T35" s="107">
        <f>T60*T2</f>
        <v>1064395.3555000001</v>
      </c>
      <c r="U35" s="107">
        <f>U60*U2</f>
        <v>923154.86780000001</v>
      </c>
      <c r="V35" s="107">
        <f t="shared" ref="V35:X35" si="5">V60*V2</f>
        <v>530333.03599999996</v>
      </c>
      <c r="W35" s="107">
        <f t="shared" si="5"/>
        <v>359091.44319999998</v>
      </c>
      <c r="X35" s="107">
        <f t="shared" si="5"/>
        <v>582916.74239999999</v>
      </c>
    </row>
    <row r="36" spans="1:24" x14ac:dyDescent="0.25">
      <c r="A36" s="25" t="s">
        <v>668</v>
      </c>
      <c r="G36" s="107">
        <f>$E$3*G3</f>
        <v>2052902.25</v>
      </c>
      <c r="H36" s="107">
        <f t="shared" ref="H36:X36" si="6">$E$3*H3</f>
        <v>1842884.4</v>
      </c>
      <c r="I36" s="107">
        <f t="shared" si="6"/>
        <v>2050072.5</v>
      </c>
      <c r="J36" s="107">
        <f t="shared" si="6"/>
        <v>1978365.9000000001</v>
      </c>
      <c r="K36" s="107">
        <f t="shared" si="6"/>
        <v>1956614.0999999999</v>
      </c>
      <c r="L36" s="107">
        <f t="shared" si="6"/>
        <v>1703583</v>
      </c>
      <c r="M36" s="107">
        <f t="shared" si="6"/>
        <v>1669328.85</v>
      </c>
      <c r="N36" s="107">
        <f t="shared" si="6"/>
        <v>1731264.15</v>
      </c>
      <c r="O36" s="107">
        <f t="shared" si="6"/>
        <v>1818642.0000000002</v>
      </c>
      <c r="P36" s="107">
        <f t="shared" si="6"/>
        <v>2036329.05</v>
      </c>
      <c r="Q36" s="107">
        <f t="shared" si="6"/>
        <v>1988024.8499999999</v>
      </c>
      <c r="R36" s="107">
        <f t="shared" si="6"/>
        <v>2067921.4500000002</v>
      </c>
      <c r="S36" s="107">
        <f t="shared" si="6"/>
        <v>2058884.0999999999</v>
      </c>
      <c r="T36" s="107">
        <f t="shared" si="6"/>
        <v>1863015</v>
      </c>
      <c r="U36" s="107">
        <f t="shared" si="6"/>
        <v>2068920</v>
      </c>
      <c r="V36" s="107">
        <f t="shared" si="6"/>
        <v>1979844.3</v>
      </c>
      <c r="W36" s="107">
        <f t="shared" si="6"/>
        <v>1963613.4000000001</v>
      </c>
      <c r="X36" s="107">
        <f t="shared" si="6"/>
        <v>1807974</v>
      </c>
    </row>
    <row r="37" spans="1:24" x14ac:dyDescent="0.25">
      <c r="A37" s="25" t="s">
        <v>197</v>
      </c>
      <c r="G37" s="107">
        <f>$E$5*G5</f>
        <v>2170490.7000000002</v>
      </c>
      <c r="H37" s="107">
        <f t="shared" ref="H37:X37" si="7">$E$5*H5</f>
        <v>1928068.8</v>
      </c>
      <c r="I37" s="107">
        <f t="shared" si="7"/>
        <v>2138613.75</v>
      </c>
      <c r="J37" s="107">
        <f t="shared" si="7"/>
        <v>2052576.7499999998</v>
      </c>
      <c r="K37" s="107">
        <f t="shared" si="7"/>
        <v>2023177.8</v>
      </c>
      <c r="L37" s="107">
        <f t="shared" si="7"/>
        <v>1751397.9</v>
      </c>
      <c r="M37" s="107">
        <f t="shared" si="7"/>
        <v>1765883.7</v>
      </c>
      <c r="N37" s="107">
        <f t="shared" si="7"/>
        <v>1782364.5000000002</v>
      </c>
      <c r="O37" s="107">
        <f t="shared" si="7"/>
        <v>1802208.45</v>
      </c>
      <c r="P37" s="107">
        <f t="shared" si="7"/>
        <v>2051690.55</v>
      </c>
      <c r="Q37" s="107">
        <f t="shared" si="7"/>
        <v>2024754.9000000001</v>
      </c>
      <c r="R37" s="107">
        <f t="shared" si="7"/>
        <v>2143655.85</v>
      </c>
      <c r="S37" s="107">
        <f t="shared" si="7"/>
        <v>2123779.35</v>
      </c>
      <c r="T37" s="107">
        <f t="shared" si="7"/>
        <v>1947468.5999999999</v>
      </c>
      <c r="U37" s="107">
        <f t="shared" si="7"/>
        <v>2150079.75</v>
      </c>
      <c r="V37" s="107">
        <f t="shared" si="7"/>
        <v>1985690.7</v>
      </c>
      <c r="W37" s="107">
        <f t="shared" si="7"/>
        <v>2070871.95</v>
      </c>
      <c r="X37" s="107">
        <f t="shared" si="7"/>
        <v>1809279.15</v>
      </c>
    </row>
    <row r="38" spans="1:24" x14ac:dyDescent="0.25">
      <c r="A38" s="25" t="s">
        <v>198</v>
      </c>
      <c r="G38" s="107">
        <f>$E$6*G6</f>
        <v>4635168.3</v>
      </c>
      <c r="H38" s="107">
        <f t="shared" ref="H38:X38" si="8">$E$6*H6</f>
        <v>4146517.1999999997</v>
      </c>
      <c r="I38" s="107">
        <f t="shared" si="8"/>
        <v>4581714.8999999994</v>
      </c>
      <c r="J38" s="107">
        <f t="shared" si="8"/>
        <v>4452403.1999999993</v>
      </c>
      <c r="K38" s="107">
        <f t="shared" si="8"/>
        <v>4398480.45</v>
      </c>
      <c r="L38" s="107">
        <f t="shared" si="8"/>
        <v>3814488.3</v>
      </c>
      <c r="M38" s="107">
        <f t="shared" si="8"/>
        <v>3858845.5500000003</v>
      </c>
      <c r="N38" s="107">
        <f t="shared" si="8"/>
        <v>3908105.2500000005</v>
      </c>
      <c r="O38" s="107">
        <f t="shared" si="8"/>
        <v>3541474.6500000004</v>
      </c>
      <c r="P38" s="107">
        <f t="shared" si="8"/>
        <v>4425593.55</v>
      </c>
      <c r="Q38" s="107">
        <f t="shared" si="8"/>
        <v>4359387.9000000004</v>
      </c>
      <c r="R38" s="107">
        <f t="shared" si="8"/>
        <v>4629213.75</v>
      </c>
      <c r="S38" s="107">
        <f t="shared" si="8"/>
        <v>4588089.4499999993</v>
      </c>
      <c r="T38" s="107">
        <f t="shared" si="8"/>
        <v>4133336.5500000003</v>
      </c>
      <c r="U38" s="107">
        <f t="shared" si="8"/>
        <v>4571062.6500000004</v>
      </c>
      <c r="V38" s="107">
        <f t="shared" si="8"/>
        <v>4251340.7999999998</v>
      </c>
      <c r="W38" s="107">
        <f t="shared" si="8"/>
        <v>4127617.1999999997</v>
      </c>
      <c r="X38" s="107">
        <f t="shared" si="8"/>
        <v>3725467.1999999997</v>
      </c>
    </row>
    <row r="39" spans="1:24" x14ac:dyDescent="0.25">
      <c r="A39" s="25" t="s">
        <v>199</v>
      </c>
      <c r="G39" s="107">
        <f>G60*G7</f>
        <v>21719.815200000001</v>
      </c>
      <c r="H39" s="107">
        <f t="shared" ref="H39:X39" si="9">H60*H7</f>
        <v>18291.257099999999</v>
      </c>
      <c r="I39" s="107">
        <f t="shared" si="9"/>
        <v>11907.777599999999</v>
      </c>
      <c r="J39" s="107">
        <f t="shared" si="9"/>
        <v>19121.950400000002</v>
      </c>
      <c r="K39" s="107">
        <f t="shared" si="9"/>
        <v>154133.6563</v>
      </c>
      <c r="L39" s="107">
        <f t="shared" si="9"/>
        <v>126247.89900000002</v>
      </c>
      <c r="M39" s="107">
        <f t="shared" si="9"/>
        <v>199761.44759999998</v>
      </c>
      <c r="N39" s="107">
        <f t="shared" si="9"/>
        <v>149501.73719999997</v>
      </c>
      <c r="O39" s="107">
        <f t="shared" si="9"/>
        <v>63890.977499999994</v>
      </c>
      <c r="P39" s="107">
        <f t="shared" si="9"/>
        <v>12900.0764</v>
      </c>
      <c r="Q39" s="107">
        <f t="shared" si="9"/>
        <v>20427.721500000003</v>
      </c>
      <c r="R39" s="107">
        <f t="shared" si="9"/>
        <v>22036.377999999997</v>
      </c>
      <c r="S39" s="107">
        <f t="shared" si="9"/>
        <v>17604.52</v>
      </c>
      <c r="T39" s="107">
        <f t="shared" si="9"/>
        <v>17969.598900000001</v>
      </c>
      <c r="U39" s="107">
        <f t="shared" si="9"/>
        <v>12792.903</v>
      </c>
      <c r="V39" s="107">
        <f t="shared" si="9"/>
        <v>15720.635200000001</v>
      </c>
      <c r="W39" s="107">
        <f t="shared" si="9"/>
        <v>9637.8477999999996</v>
      </c>
      <c r="X39" s="107">
        <f t="shared" si="9"/>
        <v>66997.702799999999</v>
      </c>
    </row>
    <row r="40" spans="1:24" x14ac:dyDescent="0.25">
      <c r="A40" s="25" t="s">
        <v>200</v>
      </c>
      <c r="G40" s="107">
        <f t="shared" ref="G40:X40" si="10">G60*G8</f>
        <v>118676.67479999999</v>
      </c>
      <c r="H40" s="107">
        <f t="shared" si="10"/>
        <v>58533.830500000004</v>
      </c>
      <c r="I40" s="107">
        <f t="shared" si="10"/>
        <v>432418.57919999998</v>
      </c>
      <c r="J40" s="107">
        <f t="shared" si="10"/>
        <v>850471.94520000007</v>
      </c>
      <c r="K40" s="107">
        <f t="shared" si="10"/>
        <v>1042077.3649</v>
      </c>
      <c r="L40" s="107">
        <f t="shared" si="10"/>
        <v>284167.97100000002</v>
      </c>
      <c r="M40" s="107">
        <f t="shared" si="10"/>
        <v>139124.58559999999</v>
      </c>
      <c r="N40" s="107">
        <f t="shared" si="10"/>
        <v>52513.895899999996</v>
      </c>
      <c r="O40" s="107">
        <f t="shared" si="10"/>
        <v>108737.84529999999</v>
      </c>
      <c r="P40" s="107">
        <f t="shared" si="10"/>
        <v>184528.8224</v>
      </c>
      <c r="Q40" s="107">
        <f t="shared" si="10"/>
        <v>74853.556700000001</v>
      </c>
      <c r="R40" s="107">
        <f t="shared" si="10"/>
        <v>74995.555999999997</v>
      </c>
      <c r="S40" s="107">
        <f t="shared" si="10"/>
        <v>76888.960000000006</v>
      </c>
      <c r="T40" s="107">
        <f t="shared" si="10"/>
        <v>142938.76149999999</v>
      </c>
      <c r="U40" s="107">
        <f t="shared" si="10"/>
        <v>112006.35759999999</v>
      </c>
      <c r="V40" s="107">
        <f t="shared" si="10"/>
        <v>104752.88039999999</v>
      </c>
      <c r="W40" s="107">
        <f t="shared" si="10"/>
        <v>135406.71900000001</v>
      </c>
      <c r="X40" s="107">
        <f t="shared" si="10"/>
        <v>234419.40519999998</v>
      </c>
    </row>
    <row r="41" spans="1:24" x14ac:dyDescent="0.25">
      <c r="A41" s="25" t="s">
        <v>201</v>
      </c>
      <c r="G41" s="107">
        <f t="shared" ref="G41:X41" si="11">G60*G9</f>
        <v>186870.79079999999</v>
      </c>
      <c r="H41" s="107">
        <f t="shared" si="11"/>
        <v>169691.44150000002</v>
      </c>
      <c r="I41" s="107">
        <f t="shared" si="11"/>
        <v>362098.38959999999</v>
      </c>
      <c r="J41" s="107">
        <f t="shared" si="11"/>
        <v>513935.84240000008</v>
      </c>
      <c r="K41" s="107">
        <f t="shared" si="11"/>
        <v>376700.01540000003</v>
      </c>
      <c r="L41" s="107">
        <f t="shared" si="11"/>
        <v>139218.83100000001</v>
      </c>
      <c r="M41" s="107">
        <f t="shared" si="11"/>
        <v>76378.874000000011</v>
      </c>
      <c r="N41" s="107">
        <f t="shared" si="11"/>
        <v>63104.726499999997</v>
      </c>
      <c r="O41" s="107">
        <f t="shared" si="11"/>
        <v>103322.4682</v>
      </c>
      <c r="P41" s="107">
        <f t="shared" si="11"/>
        <v>153477.3052</v>
      </c>
      <c r="Q41" s="107">
        <f t="shared" si="11"/>
        <v>178670.59690000003</v>
      </c>
      <c r="R41" s="107">
        <f t="shared" si="11"/>
        <v>226977.58799999999</v>
      </c>
      <c r="S41" s="107">
        <f t="shared" si="11"/>
        <v>301252.24</v>
      </c>
      <c r="T41" s="107">
        <f t="shared" si="11"/>
        <v>310258.05459999997</v>
      </c>
      <c r="U41" s="107">
        <f t="shared" si="11"/>
        <v>257954.51119999995</v>
      </c>
      <c r="V41" s="107">
        <f t="shared" si="11"/>
        <v>112606.01000000001</v>
      </c>
      <c r="W41" s="107">
        <f t="shared" si="11"/>
        <v>50415.358</v>
      </c>
      <c r="X41" s="107">
        <f t="shared" si="11"/>
        <v>109416.408</v>
      </c>
    </row>
    <row r="42" spans="1:24" x14ac:dyDescent="0.25">
      <c r="A42" s="25" t="s">
        <v>202</v>
      </c>
      <c r="G42" s="107">
        <f t="shared" ref="G42:X42" si="12">G60*G10</f>
        <v>125834.22720000001</v>
      </c>
      <c r="H42" s="107">
        <f t="shared" si="12"/>
        <v>113271.32299999999</v>
      </c>
      <c r="I42" s="107">
        <f t="shared" si="12"/>
        <v>298589.64479999995</v>
      </c>
      <c r="J42" s="107">
        <f t="shared" si="12"/>
        <v>768683.92379999999</v>
      </c>
      <c r="K42" s="107">
        <f t="shared" si="12"/>
        <v>558595.15879999998</v>
      </c>
      <c r="L42" s="107">
        <f t="shared" si="12"/>
        <v>166763.83749999999</v>
      </c>
      <c r="M42" s="107">
        <f t="shared" si="12"/>
        <v>79487.865600000005</v>
      </c>
      <c r="N42" s="107">
        <f t="shared" si="12"/>
        <v>4975.558</v>
      </c>
      <c r="O42" s="107">
        <f t="shared" si="12"/>
        <v>28040.872299999995</v>
      </c>
      <c r="P42" s="107">
        <f t="shared" si="12"/>
        <v>57796.822800000002</v>
      </c>
      <c r="Q42" s="107">
        <f t="shared" si="12"/>
        <v>119600.18510000002</v>
      </c>
      <c r="R42" s="107">
        <f t="shared" si="12"/>
        <v>189284.24799999999</v>
      </c>
      <c r="S42" s="107">
        <f t="shared" si="12"/>
        <v>195555.76</v>
      </c>
      <c r="T42" s="107">
        <f t="shared" si="12"/>
        <v>649108.78049999999</v>
      </c>
      <c r="U42" s="107">
        <f t="shared" si="12"/>
        <v>556027.18959999993</v>
      </c>
      <c r="V42" s="107">
        <f t="shared" si="12"/>
        <v>338528.68359999999</v>
      </c>
      <c r="W42" s="107">
        <f t="shared" si="12"/>
        <v>245782.1618</v>
      </c>
      <c r="X42" s="107">
        <f t="shared" si="12"/>
        <v>286403.39479999995</v>
      </c>
    </row>
    <row r="43" spans="1:24" x14ac:dyDescent="0.25">
      <c r="A43" s="25" t="s">
        <v>203</v>
      </c>
      <c r="G43" s="107">
        <f t="shared" ref="G43:X43" si="13">G60*G11</f>
        <v>488330.478</v>
      </c>
      <c r="H43" s="107">
        <f t="shared" si="13"/>
        <v>407389.48069999996</v>
      </c>
      <c r="I43" s="107">
        <f t="shared" si="13"/>
        <v>330793.71119999996</v>
      </c>
      <c r="J43" s="107">
        <f t="shared" si="13"/>
        <v>426219.07260000001</v>
      </c>
      <c r="K43" s="107">
        <f t="shared" si="13"/>
        <v>676473.7485000001</v>
      </c>
      <c r="L43" s="107">
        <f t="shared" si="13"/>
        <v>894929.95449999999</v>
      </c>
      <c r="M43" s="107">
        <f t="shared" si="13"/>
        <v>1836065.1451999999</v>
      </c>
      <c r="N43" s="107">
        <f t="shared" si="13"/>
        <v>1508455.7304</v>
      </c>
      <c r="O43" s="107">
        <f t="shared" si="13"/>
        <v>890275.37479999987</v>
      </c>
      <c r="P43" s="107">
        <f t="shared" si="13"/>
        <v>281139.2132</v>
      </c>
      <c r="Q43" s="107">
        <f t="shared" si="13"/>
        <v>426668.54590000003</v>
      </c>
      <c r="R43" s="107">
        <f t="shared" si="13"/>
        <v>590759.62</v>
      </c>
      <c r="S43" s="107">
        <f t="shared" si="13"/>
        <v>896141.39999999991</v>
      </c>
      <c r="T43" s="107">
        <f t="shared" si="13"/>
        <v>436519.43849999999</v>
      </c>
      <c r="U43" s="107">
        <f t="shared" si="13"/>
        <v>299043.62089999998</v>
      </c>
      <c r="V43" s="107">
        <f t="shared" si="13"/>
        <v>158625.26320000002</v>
      </c>
      <c r="W43" s="107">
        <f t="shared" si="13"/>
        <v>69100.7016</v>
      </c>
      <c r="X43" s="107">
        <f t="shared" si="13"/>
        <v>469921.16800000001</v>
      </c>
    </row>
    <row r="44" spans="1:24" x14ac:dyDescent="0.25">
      <c r="A44" s="25" t="s">
        <v>204</v>
      </c>
      <c r="G44" s="107">
        <f t="shared" ref="G44:X44" si="14">G60*G12</f>
        <v>151564.44959999999</v>
      </c>
      <c r="H44" s="107">
        <f t="shared" si="14"/>
        <v>112049.68090000001</v>
      </c>
      <c r="I44" s="107">
        <f t="shared" si="14"/>
        <v>311360.95439999999</v>
      </c>
      <c r="J44" s="107">
        <f t="shared" si="14"/>
        <v>372347.15880000003</v>
      </c>
      <c r="K44" s="107">
        <f t="shared" si="14"/>
        <v>454489.42209999997</v>
      </c>
      <c r="L44" s="107">
        <f t="shared" si="14"/>
        <v>378997.69400000002</v>
      </c>
      <c r="M44" s="107">
        <f t="shared" si="14"/>
        <v>625524.49959999998</v>
      </c>
      <c r="N44" s="107">
        <f t="shared" si="14"/>
        <v>570552.1679</v>
      </c>
      <c r="O44" s="107">
        <f t="shared" si="14"/>
        <v>436410.78739999991</v>
      </c>
      <c r="P44" s="107">
        <f t="shared" si="14"/>
        <v>317084.18280000001</v>
      </c>
      <c r="Q44" s="107">
        <f t="shared" si="14"/>
        <v>78110.905000000013</v>
      </c>
      <c r="R44" s="107">
        <f t="shared" si="14"/>
        <v>276102.48</v>
      </c>
      <c r="S44" s="107">
        <f t="shared" si="14"/>
        <v>56225.8</v>
      </c>
      <c r="T44" s="107">
        <f t="shared" si="14"/>
        <v>47.222399999999993</v>
      </c>
      <c r="U44" s="107">
        <f t="shared" si="14"/>
        <v>0</v>
      </c>
      <c r="V44" s="107">
        <f t="shared" si="14"/>
        <v>10073.5028</v>
      </c>
      <c r="W44" s="107">
        <f t="shared" si="14"/>
        <v>46122.128500000006</v>
      </c>
      <c r="X44" s="107">
        <f t="shared" si="14"/>
        <v>202197.3112</v>
      </c>
    </row>
    <row r="45" spans="1:24" x14ac:dyDescent="0.25">
      <c r="A45" s="25" t="s">
        <v>205</v>
      </c>
      <c r="G45" s="107">
        <f t="shared" ref="G45:X45" si="15">G60*G13</f>
        <v>1625854.0392</v>
      </c>
      <c r="H45" s="107">
        <f t="shared" si="15"/>
        <v>3434610.9561999999</v>
      </c>
      <c r="I45" s="107">
        <f t="shared" si="15"/>
        <v>2641418.2944</v>
      </c>
      <c r="J45" s="107">
        <f t="shared" si="15"/>
        <v>2342440.8902000003</v>
      </c>
      <c r="K45" s="107">
        <f t="shared" si="15"/>
        <v>2436213.44</v>
      </c>
      <c r="L45" s="107">
        <f t="shared" si="15"/>
        <v>2498088.9700000002</v>
      </c>
      <c r="M45" s="107">
        <f t="shared" si="15"/>
        <v>2819831.5859999997</v>
      </c>
      <c r="N45" s="107">
        <f t="shared" si="15"/>
        <v>2791789.2203000002</v>
      </c>
      <c r="O45" s="107">
        <f t="shared" si="15"/>
        <v>2342828.2730999999</v>
      </c>
      <c r="P45" s="107">
        <f t="shared" si="15"/>
        <v>2288531.7472000001</v>
      </c>
      <c r="Q45" s="107">
        <f t="shared" si="15"/>
        <v>1759524.4427000002</v>
      </c>
      <c r="R45" s="107">
        <f t="shared" si="15"/>
        <v>2641180.5939999996</v>
      </c>
      <c r="S45" s="107">
        <f t="shared" si="15"/>
        <v>4697016.3600000003</v>
      </c>
      <c r="T45" s="107">
        <f t="shared" si="15"/>
        <v>2892374.4594999999</v>
      </c>
      <c r="U45" s="107">
        <f t="shared" si="15"/>
        <v>1751325.2749999999</v>
      </c>
      <c r="V45" s="107">
        <f t="shared" si="15"/>
        <v>699105.83840000001</v>
      </c>
      <c r="W45" s="107">
        <f t="shared" si="15"/>
        <v>274305.65120000002</v>
      </c>
      <c r="X45" s="107">
        <f t="shared" si="15"/>
        <v>760047.09359999991</v>
      </c>
    </row>
    <row r="46" spans="1:24" x14ac:dyDescent="0.25">
      <c r="A46" s="25" t="s">
        <v>206</v>
      </c>
      <c r="G46" s="107">
        <f t="shared" ref="G46:R46" si="16">$E$14*G14</f>
        <v>1142530.3</v>
      </c>
      <c r="H46" s="107">
        <f t="shared" si="16"/>
        <v>1105427.32</v>
      </c>
      <c r="I46" s="107">
        <f t="shared" si="16"/>
        <v>1408608.73</v>
      </c>
      <c r="J46" s="107">
        <f t="shared" si="16"/>
        <v>954015.83</v>
      </c>
      <c r="K46" s="107">
        <f t="shared" si="16"/>
        <v>1064903.56</v>
      </c>
      <c r="L46" s="107">
        <f t="shared" si="16"/>
        <v>688952.83</v>
      </c>
      <c r="M46" s="107">
        <f t="shared" si="16"/>
        <v>988682.8</v>
      </c>
      <c r="N46" s="107">
        <f t="shared" si="16"/>
        <v>1556409.6400000001</v>
      </c>
      <c r="O46" s="107">
        <f t="shared" si="16"/>
        <v>1100504.93</v>
      </c>
      <c r="P46" s="107">
        <f t="shared" si="16"/>
        <v>909436.92</v>
      </c>
      <c r="Q46" s="107">
        <f t="shared" si="16"/>
        <v>1271353.3999999999</v>
      </c>
      <c r="R46" s="107">
        <f t="shared" si="16"/>
        <v>976440.7</v>
      </c>
      <c r="S46" s="107">
        <f>S60*S14</f>
        <v>1832364.72</v>
      </c>
      <c r="T46" s="107">
        <f>T60*T14</f>
        <v>846040.94550000003</v>
      </c>
      <c r="U46" s="107">
        <f>U60*U14</f>
        <v>560504.90179999999</v>
      </c>
      <c r="V46" s="107">
        <f t="shared" ref="V46:X46" si="17">V60*V14</f>
        <v>240582.12040000001</v>
      </c>
      <c r="W46" s="107">
        <f t="shared" si="17"/>
        <v>161650.32520000002</v>
      </c>
      <c r="X46" s="107">
        <f t="shared" si="17"/>
        <v>359406.99</v>
      </c>
    </row>
    <row r="47" spans="1:24" x14ac:dyDescent="0.25">
      <c r="A47" s="25" t="s">
        <v>207</v>
      </c>
      <c r="G47" s="107">
        <f t="shared" ref="G47:X47" si="18">$E$15*G15</f>
        <v>436030.46</v>
      </c>
      <c r="H47" s="107">
        <f t="shared" si="18"/>
        <v>402951.97000000003</v>
      </c>
      <c r="I47" s="107">
        <f t="shared" si="18"/>
        <v>471422.32</v>
      </c>
      <c r="J47" s="107">
        <f t="shared" si="18"/>
        <v>348677.93</v>
      </c>
      <c r="K47" s="107">
        <f t="shared" si="18"/>
        <v>350321.89</v>
      </c>
      <c r="L47" s="107">
        <f t="shared" si="18"/>
        <v>307259.92</v>
      </c>
      <c r="M47" s="107">
        <f t="shared" si="18"/>
        <v>351793.57</v>
      </c>
      <c r="N47" s="107">
        <f t="shared" si="18"/>
        <v>562584.72</v>
      </c>
      <c r="O47" s="107">
        <f t="shared" si="18"/>
        <v>452844.55000000005</v>
      </c>
      <c r="P47" s="107">
        <f t="shared" si="18"/>
        <v>318994.67</v>
      </c>
      <c r="Q47" s="107">
        <f t="shared" si="18"/>
        <v>444947.41000000003</v>
      </c>
      <c r="R47" s="107">
        <f t="shared" si="18"/>
        <v>467031.37</v>
      </c>
      <c r="S47" s="107">
        <f t="shared" si="18"/>
        <v>785363.2</v>
      </c>
      <c r="T47" s="107">
        <f t="shared" si="18"/>
        <v>576548.89</v>
      </c>
      <c r="U47" s="107">
        <f t="shared" si="18"/>
        <v>478856.64</v>
      </c>
      <c r="V47" s="107">
        <f t="shared" si="18"/>
        <v>256111.00999999998</v>
      </c>
      <c r="W47" s="107">
        <f t="shared" si="18"/>
        <v>326491.76999999996</v>
      </c>
      <c r="X47" s="107">
        <f t="shared" si="18"/>
        <v>328704.40000000002</v>
      </c>
    </row>
    <row r="48" spans="1:24" x14ac:dyDescent="0.25">
      <c r="A48" s="25" t="s">
        <v>208</v>
      </c>
      <c r="G48" s="107">
        <f t="shared" ref="G48:T48" si="19">$E$16*G16</f>
        <v>1124251.8299999998</v>
      </c>
      <c r="H48" s="107">
        <f t="shared" si="19"/>
        <v>1586334.53</v>
      </c>
      <c r="I48" s="107">
        <f t="shared" si="19"/>
        <v>1353947.79</v>
      </c>
      <c r="J48" s="107">
        <f t="shared" si="19"/>
        <v>1069041.93</v>
      </c>
      <c r="K48" s="107">
        <f t="shared" si="19"/>
        <v>1270036.48</v>
      </c>
      <c r="L48" s="107">
        <f t="shared" si="19"/>
        <v>1319079.3400000001</v>
      </c>
      <c r="M48" s="107">
        <f t="shared" si="19"/>
        <v>968756.72</v>
      </c>
      <c r="N48" s="107">
        <f t="shared" si="19"/>
        <v>824965.7</v>
      </c>
      <c r="O48" s="107">
        <f t="shared" si="19"/>
        <v>985810.98</v>
      </c>
      <c r="P48" s="107">
        <f t="shared" si="19"/>
        <v>1235929.4200000002</v>
      </c>
      <c r="Q48" s="107">
        <f t="shared" si="19"/>
        <v>1056260.3599999999</v>
      </c>
      <c r="R48" s="107">
        <f t="shared" si="19"/>
        <v>1331027.98</v>
      </c>
      <c r="S48" s="107">
        <f t="shared" si="19"/>
        <v>2561047.3199999998</v>
      </c>
      <c r="T48" s="107">
        <f t="shared" si="19"/>
        <v>1981105.3900000001</v>
      </c>
      <c r="U48" s="107">
        <f>$E$16*U16</f>
        <v>1065592.68</v>
      </c>
      <c r="V48" s="107">
        <f t="shared" ref="V48:X48" si="20">$E$16*V16</f>
        <v>1123390.43</v>
      </c>
      <c r="W48" s="107">
        <f t="shared" si="20"/>
        <v>1166358.96</v>
      </c>
      <c r="X48" s="107">
        <f t="shared" si="20"/>
        <v>747796.67</v>
      </c>
    </row>
    <row r="49" spans="1:24" x14ac:dyDescent="0.25">
      <c r="A49" s="25" t="s">
        <v>209</v>
      </c>
      <c r="G49" s="107">
        <f t="shared" ref="G49:X49" si="21">$E$17*G17</f>
        <v>1310154.3599999999</v>
      </c>
      <c r="H49" s="107">
        <f t="shared" si="21"/>
        <v>1476933.81</v>
      </c>
      <c r="I49" s="107">
        <f t="shared" si="21"/>
        <v>2138560.5499999998</v>
      </c>
      <c r="J49" s="107">
        <f t="shared" si="21"/>
        <v>1629680.47</v>
      </c>
      <c r="K49" s="107">
        <f t="shared" si="21"/>
        <v>1638854.3800000001</v>
      </c>
      <c r="L49" s="107">
        <f t="shared" si="21"/>
        <v>1473870</v>
      </c>
      <c r="M49" s="107">
        <f t="shared" si="21"/>
        <v>1507842.01</v>
      </c>
      <c r="N49" s="107">
        <f t="shared" si="21"/>
        <v>1743510.8299999998</v>
      </c>
      <c r="O49" s="107">
        <f t="shared" si="21"/>
        <v>1303912.1300000001</v>
      </c>
      <c r="P49" s="107">
        <f t="shared" si="21"/>
        <v>1819749.84</v>
      </c>
      <c r="Q49" s="107">
        <f t="shared" si="21"/>
        <v>1509704.24</v>
      </c>
      <c r="R49" s="107">
        <f t="shared" si="21"/>
        <v>1394710.26</v>
      </c>
      <c r="S49" s="107">
        <f t="shared" si="21"/>
        <v>2628897.17</v>
      </c>
      <c r="T49" s="107">
        <f t="shared" si="21"/>
        <v>2122548</v>
      </c>
      <c r="U49" s="107">
        <f t="shared" si="21"/>
        <v>1640204.15</v>
      </c>
      <c r="V49" s="107">
        <f t="shared" si="21"/>
        <v>1422431.28</v>
      </c>
      <c r="W49" s="107">
        <f t="shared" si="21"/>
        <v>1408723.34</v>
      </c>
      <c r="X49" s="107">
        <f t="shared" si="21"/>
        <v>1445321.8900000001</v>
      </c>
    </row>
    <row r="50" spans="1:24" x14ac:dyDescent="0.25">
      <c r="A50" s="25" t="s">
        <v>210</v>
      </c>
      <c r="G50" s="107">
        <f>E$18*G18</f>
        <v>2151371.3199999998</v>
      </c>
      <c r="H50" s="107">
        <f t="shared" ref="H50:X50" si="22">$E$18*H18</f>
        <v>1485704.03</v>
      </c>
      <c r="I50" s="107">
        <f t="shared" si="22"/>
        <v>2472969.17</v>
      </c>
      <c r="J50" s="107">
        <f t="shared" si="22"/>
        <v>1871960.9</v>
      </c>
      <c r="K50" s="107">
        <f t="shared" si="22"/>
        <v>2491836.75</v>
      </c>
      <c r="L50" s="107">
        <f t="shared" si="22"/>
        <v>3653487.94</v>
      </c>
      <c r="M50" s="107">
        <f t="shared" si="22"/>
        <v>2418489.27</v>
      </c>
      <c r="N50" s="107">
        <f t="shared" si="22"/>
        <v>2510691.19</v>
      </c>
      <c r="O50" s="107">
        <f t="shared" si="22"/>
        <v>2327889.7000000002</v>
      </c>
      <c r="P50" s="107">
        <f t="shared" si="22"/>
        <v>2513422.12</v>
      </c>
      <c r="Q50" s="107">
        <f t="shared" si="22"/>
        <v>2346257.23</v>
      </c>
      <c r="R50" s="107">
        <f t="shared" si="22"/>
        <v>1576366.3800000001</v>
      </c>
      <c r="S50" s="107">
        <f t="shared" si="22"/>
        <v>3533733.63</v>
      </c>
      <c r="T50" s="107">
        <f t="shared" si="22"/>
        <v>2820025.04</v>
      </c>
      <c r="U50" s="107">
        <f t="shared" si="22"/>
        <v>1807152.23</v>
      </c>
      <c r="V50" s="107">
        <f t="shared" si="22"/>
        <v>1842938.29</v>
      </c>
      <c r="W50" s="107">
        <f t="shared" si="22"/>
        <v>2059451.18</v>
      </c>
      <c r="X50" s="107">
        <f t="shared" si="22"/>
        <v>2172775.65</v>
      </c>
    </row>
    <row r="51" spans="1:24" x14ac:dyDescent="0.25">
      <c r="A51" s="25" t="s">
        <v>211</v>
      </c>
      <c r="G51" s="107">
        <f t="shared" ref="G51:X51" si="23">G60*G19</f>
        <v>191917.11239999998</v>
      </c>
      <c r="H51" s="107">
        <f t="shared" si="23"/>
        <v>177126.9797</v>
      </c>
      <c r="I51" s="107">
        <f t="shared" si="23"/>
        <v>216311.4792</v>
      </c>
      <c r="J51" s="107">
        <f t="shared" si="23"/>
        <v>138892.36799999999</v>
      </c>
      <c r="K51" s="107">
        <f t="shared" si="23"/>
        <v>160349.04840000003</v>
      </c>
      <c r="L51" s="107">
        <f t="shared" si="23"/>
        <v>178444.85200000001</v>
      </c>
      <c r="M51" s="107">
        <f t="shared" si="23"/>
        <v>192736.65840000001</v>
      </c>
      <c r="N51" s="107">
        <f t="shared" si="23"/>
        <v>291601.0626</v>
      </c>
      <c r="O51" s="107">
        <f t="shared" si="23"/>
        <v>216313.67029999997</v>
      </c>
      <c r="P51" s="107">
        <f t="shared" si="23"/>
        <v>106883.128</v>
      </c>
      <c r="Q51" s="107">
        <f t="shared" si="23"/>
        <v>203685.45560000002</v>
      </c>
      <c r="R51" s="107">
        <f t="shared" si="23"/>
        <v>134754.92599999998</v>
      </c>
      <c r="S51" s="107">
        <f t="shared" si="23"/>
        <v>277955.44</v>
      </c>
      <c r="T51" s="107">
        <f t="shared" si="23"/>
        <v>141750.82299999997</v>
      </c>
      <c r="U51" s="107">
        <f t="shared" si="23"/>
        <v>92298.774799999999</v>
      </c>
      <c r="V51" s="107">
        <f t="shared" si="23"/>
        <v>23372.740400000002</v>
      </c>
      <c r="W51" s="107">
        <f t="shared" si="23"/>
        <v>12307.9607</v>
      </c>
      <c r="X51" s="107">
        <f t="shared" si="23"/>
        <v>65375.32959999999</v>
      </c>
    </row>
    <row r="52" spans="1:24" x14ac:dyDescent="0.25">
      <c r="A52" s="25" t="s">
        <v>37</v>
      </c>
      <c r="G52" s="107">
        <f>SUM(G35:G51)</f>
        <v>20103982.457199998</v>
      </c>
      <c r="H52" s="107">
        <f t="shared" ref="H52:X52" si="24">SUM(H35:H51)</f>
        <v>20424730.009599999</v>
      </c>
      <c r="I52" s="107">
        <f t="shared" si="24"/>
        <v>23323227.740399998</v>
      </c>
      <c r="J52" s="107">
        <f t="shared" si="24"/>
        <v>21766339.911399998</v>
      </c>
      <c r="K52" s="107">
        <f t="shared" si="24"/>
        <v>23010331.264400002</v>
      </c>
      <c r="L52" s="107">
        <f t="shared" si="24"/>
        <v>21294756.739000004</v>
      </c>
      <c r="M52" s="107">
        <f t="shared" si="24"/>
        <v>21669767.231999997</v>
      </c>
      <c r="N52" s="107">
        <f t="shared" si="24"/>
        <v>22454171.628800001</v>
      </c>
      <c r="O52" s="107">
        <f t="shared" si="24"/>
        <v>19797039.108899999</v>
      </c>
      <c r="P52" s="107">
        <f t="shared" si="24"/>
        <v>21077415.417999998</v>
      </c>
      <c r="Q52" s="107">
        <f t="shared" si="24"/>
        <v>20242230.999400001</v>
      </c>
      <c r="R52" s="107">
        <f t="shared" si="24"/>
        <v>21313174.129999999</v>
      </c>
      <c r="S52" s="107">
        <f t="shared" si="24"/>
        <v>28274238.380000003</v>
      </c>
      <c r="T52" s="107">
        <f t="shared" si="24"/>
        <v>21945450.909899998</v>
      </c>
      <c r="U52" s="107">
        <f t="shared" si="24"/>
        <v>18346976.501699999</v>
      </c>
      <c r="V52" s="107">
        <f t="shared" si="24"/>
        <v>15095447.520399997</v>
      </c>
      <c r="W52" s="107">
        <f t="shared" si="24"/>
        <v>14486948.097000001</v>
      </c>
      <c r="X52" s="107">
        <f t="shared" si="24"/>
        <v>15174420.505600002</v>
      </c>
    </row>
    <row r="54" spans="1:24" x14ac:dyDescent="0.25">
      <c r="A54" s="34" t="s">
        <v>676</v>
      </c>
      <c r="I54" s="107">
        <f>SUM(G52:I52)</f>
        <v>63851940.207199991</v>
      </c>
      <c r="J54" s="107"/>
      <c r="K54" s="107"/>
      <c r="L54" s="107">
        <f>SUM(J52:L52)</f>
        <v>66071427.914800003</v>
      </c>
      <c r="M54" s="107"/>
      <c r="N54" s="107"/>
      <c r="O54" s="107">
        <f>SUM(M52:O52)</f>
        <v>63920977.969699994</v>
      </c>
      <c r="P54" s="107"/>
      <c r="Q54" s="107"/>
      <c r="R54" s="107">
        <f>SUM(P52:R52)</f>
        <v>62632820.547399998</v>
      </c>
      <c r="S54" s="107"/>
      <c r="T54" s="107"/>
      <c r="U54" s="107">
        <f>SUM(S52:U52)</f>
        <v>68566665.791600004</v>
      </c>
      <c r="X54" s="107">
        <f>SUM(V52:X52)</f>
        <v>44756816.122999996</v>
      </c>
    </row>
    <row r="55" spans="1:24" x14ac:dyDescent="0.25">
      <c r="A55" s="34" t="s">
        <v>677</v>
      </c>
      <c r="L55" s="40">
        <f>(L54/I54)-1</f>
        <v>3.4759910198464805E-2</v>
      </c>
      <c r="M55" s="40"/>
      <c r="N55" s="40"/>
      <c r="O55" s="40">
        <f>(O54/L54)-1</f>
        <v>-3.2547350843893375E-2</v>
      </c>
      <c r="P55" s="40"/>
      <c r="Q55" s="40"/>
      <c r="R55" s="40">
        <f>(R54/O54)-1</f>
        <v>-2.0152342207758633E-2</v>
      </c>
      <c r="S55" s="40"/>
      <c r="T55" s="40"/>
      <c r="U55" s="40">
        <f>(U54/R54)-1</f>
        <v>9.4740188807389325E-2</v>
      </c>
      <c r="X55" s="40">
        <f>(X54/U54)-1</f>
        <v>-0.34725109342442195</v>
      </c>
    </row>
    <row r="56" spans="1:24" x14ac:dyDescent="0.25">
      <c r="A56" s="34" t="s">
        <v>678</v>
      </c>
      <c r="U56" s="40">
        <f>(U54/I54)-1</f>
        <v>7.3838407558183716E-2</v>
      </c>
      <c r="X56" s="40">
        <f>(X54/L54)-1</f>
        <v>-0.32259953302788436</v>
      </c>
    </row>
    <row r="59" spans="1:24" x14ac:dyDescent="0.25">
      <c r="A59" s="25" t="s">
        <v>576</v>
      </c>
      <c r="G59" s="62" t="s">
        <v>484</v>
      </c>
      <c r="H59" s="62" t="s">
        <v>485</v>
      </c>
      <c r="I59" s="62" t="s">
        <v>486</v>
      </c>
      <c r="J59" s="62" t="s">
        <v>487</v>
      </c>
      <c r="K59" s="62" t="s">
        <v>488</v>
      </c>
      <c r="L59" s="62" t="s">
        <v>489</v>
      </c>
      <c r="M59" s="62" t="s">
        <v>490</v>
      </c>
      <c r="N59" s="62" t="s">
        <v>491</v>
      </c>
      <c r="O59" s="62" t="s">
        <v>492</v>
      </c>
      <c r="P59" s="62" t="s">
        <v>493</v>
      </c>
      <c r="Q59" s="62" t="s">
        <v>494</v>
      </c>
      <c r="R59" s="62" t="s">
        <v>495</v>
      </c>
      <c r="S59" s="62" t="s">
        <v>496</v>
      </c>
      <c r="T59" s="62" t="s">
        <v>497</v>
      </c>
      <c r="U59" s="62" t="s">
        <v>574</v>
      </c>
      <c r="V59" s="25" t="s">
        <v>731</v>
      </c>
      <c r="W59" s="25" t="s">
        <v>732</v>
      </c>
      <c r="X59" s="25" t="s">
        <v>733</v>
      </c>
    </row>
    <row r="60" spans="1:24" x14ac:dyDescent="0.25">
      <c r="A60" s="24" t="s">
        <v>573</v>
      </c>
      <c r="G60" s="62">
        <f>PTF!B8</f>
        <v>71.64</v>
      </c>
      <c r="H60" s="62">
        <f>PTF!C8</f>
        <v>69.53</v>
      </c>
      <c r="I60" s="62">
        <f>PTF!D8</f>
        <v>59.76</v>
      </c>
      <c r="J60" s="62">
        <f>PTF!E8</f>
        <v>65.540000000000006</v>
      </c>
      <c r="K60" s="62">
        <f>PTF!F8</f>
        <v>64.03</v>
      </c>
      <c r="L60" s="62">
        <f>PTF!G8</f>
        <v>56.95</v>
      </c>
      <c r="M60" s="62">
        <f>PTF!H8</f>
        <v>74.36</v>
      </c>
      <c r="N60" s="62">
        <f>PTF!I8</f>
        <v>72.53</v>
      </c>
      <c r="O60" s="62">
        <f>PTF!J8</f>
        <v>67.13</v>
      </c>
      <c r="P60" s="62">
        <f>PTF!K8</f>
        <v>66.28</v>
      </c>
      <c r="Q60" s="62">
        <f>PTF!L8</f>
        <v>66.790000000000006</v>
      </c>
      <c r="R60" s="62">
        <f>PTF!M8</f>
        <v>70.599999999999994</v>
      </c>
      <c r="S60" s="62">
        <f>PTF!N8</f>
        <v>68</v>
      </c>
      <c r="T60" s="62">
        <f>PTF!O8</f>
        <v>49.19</v>
      </c>
      <c r="U60" s="62">
        <f>PTF!P8</f>
        <v>39.229999999999997</v>
      </c>
      <c r="V60" s="62">
        <f>PTF!Q8</f>
        <v>23.96</v>
      </c>
      <c r="W60" s="62">
        <f>PTF!R8</f>
        <v>17.57</v>
      </c>
      <c r="X60" s="62">
        <f>PTF!S8</f>
        <v>29.08</v>
      </c>
    </row>
    <row r="62" spans="1:24" x14ac:dyDescent="0.25">
      <c r="A62" s="34" t="s">
        <v>681</v>
      </c>
      <c r="B62" s="25" t="s">
        <v>683</v>
      </c>
      <c r="C62" s="25" t="s">
        <v>684</v>
      </c>
      <c r="D62" s="25" t="s">
        <v>685</v>
      </c>
      <c r="E62" s="25" t="s">
        <v>686</v>
      </c>
      <c r="F62" s="25" t="s">
        <v>687</v>
      </c>
      <c r="G62" s="41" t="s">
        <v>484</v>
      </c>
      <c r="H62" s="41" t="s">
        <v>485</v>
      </c>
      <c r="I62" s="41" t="s">
        <v>486</v>
      </c>
      <c r="J62" s="41" t="s">
        <v>487</v>
      </c>
      <c r="K62" s="41" t="s">
        <v>488</v>
      </c>
      <c r="L62" s="41" t="s">
        <v>489</v>
      </c>
      <c r="M62" s="41" t="s">
        <v>490</v>
      </c>
      <c r="N62" s="41" t="s">
        <v>491</v>
      </c>
      <c r="O62" s="41" t="s">
        <v>492</v>
      </c>
      <c r="P62" s="41" t="s">
        <v>493</v>
      </c>
      <c r="Q62" s="41" t="s">
        <v>494</v>
      </c>
      <c r="R62" s="41" t="s">
        <v>495</v>
      </c>
      <c r="S62" s="41" t="s">
        <v>496</v>
      </c>
      <c r="T62" s="41" t="s">
        <v>497</v>
      </c>
      <c r="U62" s="25" t="s">
        <v>574</v>
      </c>
      <c r="V62" s="273" t="s">
        <v>731</v>
      </c>
      <c r="W62" s="273" t="s">
        <v>732</v>
      </c>
      <c r="X62" s="273" t="s">
        <v>733</v>
      </c>
    </row>
    <row r="63" spans="1:24" x14ac:dyDescent="0.25">
      <c r="A63" s="25" t="s">
        <v>195</v>
      </c>
      <c r="G63" s="107">
        <f>$G$87*G35</f>
        <v>77002788.617999986</v>
      </c>
      <c r="H63" s="107">
        <f>$H$87*H35</f>
        <v>70757021.159999982</v>
      </c>
      <c r="I63" s="107">
        <f>$I$87*I35</f>
        <v>77873607.167999998</v>
      </c>
      <c r="J63" s="107">
        <f>$J$87*J35</f>
        <v>75244021.492499992</v>
      </c>
      <c r="K63" s="107">
        <f>$K$87*K35</f>
        <v>75777905.280000001</v>
      </c>
      <c r="L63" s="107">
        <f>$L$87*L35</f>
        <v>75424160.174999997</v>
      </c>
      <c r="M63" s="107">
        <f>$M$87*M35</f>
        <v>87153336.773999989</v>
      </c>
      <c r="N63" s="107">
        <f>$N$87*N35</f>
        <v>97872598.162500009</v>
      </c>
      <c r="O63" s="107">
        <f>$O$87*O35</f>
        <v>93776932.998000011</v>
      </c>
      <c r="P63" s="107">
        <f>$P$87*P35</f>
        <v>98693994</v>
      </c>
      <c r="Q63" s="107">
        <f>$Q$87*Q35</f>
        <v>100435970.45999999</v>
      </c>
      <c r="R63" s="107">
        <f>$R$87*R35</f>
        <v>109538166.15000001</v>
      </c>
      <c r="S63" s="107">
        <f>$S$87*S35</f>
        <v>70897956.734400004</v>
      </c>
      <c r="T63" s="107">
        <f>$T$87*T35</f>
        <v>46418281.453354999</v>
      </c>
      <c r="U63" s="107">
        <f>$U$87*U35</f>
        <v>40711129.669980004</v>
      </c>
      <c r="V63" s="107">
        <f t="shared" ref="V63:X63" si="25">$U$87*V35</f>
        <v>23387686.887600001</v>
      </c>
      <c r="W63" s="107">
        <f t="shared" si="25"/>
        <v>15835932.64512</v>
      </c>
      <c r="X63" s="107">
        <f t="shared" si="25"/>
        <v>25706628.339839999</v>
      </c>
    </row>
    <row r="64" spans="1:24" x14ac:dyDescent="0.25">
      <c r="A64" s="25" t="s">
        <v>668</v>
      </c>
      <c r="G64" s="107">
        <f t="shared" ref="G64:G79" si="26">$G$87*G36</f>
        <v>72836971.829999998</v>
      </c>
      <c r="H64" s="107">
        <f t="shared" ref="H64:H79" si="27">$H$87*H36</f>
        <v>66564984.52799999</v>
      </c>
      <c r="I64" s="107">
        <f t="shared" ref="I64:I79" si="28">$I$87*I36</f>
        <v>75934685.399999991</v>
      </c>
      <c r="J64" s="107">
        <f t="shared" ref="J64:J79" si="29">$J$87*J36</f>
        <v>75276822.495000005</v>
      </c>
      <c r="K64" s="107">
        <f t="shared" ref="K64:K79" si="30">$K$87*K36</f>
        <v>75760097.951999992</v>
      </c>
      <c r="L64" s="107">
        <f t="shared" ref="L64:L79" si="31">$L$87*L36</f>
        <v>67070062.709999993</v>
      </c>
      <c r="M64" s="107">
        <f t="shared" ref="M64:M79" si="32">$M$87*M36</f>
        <v>67006860.039000005</v>
      </c>
      <c r="N64" s="107">
        <f t="shared" ref="N64:N79" si="33">$N$87*N36</f>
        <v>70549014.112499997</v>
      </c>
      <c r="O64" s="107">
        <f t="shared" ref="O64:O79" si="34">$O$87*O36</f>
        <v>75000796.080000013</v>
      </c>
      <c r="P64" s="107">
        <f t="shared" ref="P64:P79" si="35">$P$87*P36</f>
        <v>85016737.837500006</v>
      </c>
      <c r="Q64" s="107">
        <f t="shared" ref="Q64:Q79" si="36">$Q$87*Q36</f>
        <v>83894648.670000002</v>
      </c>
      <c r="R64" s="107">
        <f t="shared" ref="R64:R79" si="37">$R$87*R36</f>
        <v>88114132.984500006</v>
      </c>
      <c r="S64" s="107">
        <f t="shared" ref="S64:S79" si="38">$S$87*S36</f>
        <v>88820260.074000001</v>
      </c>
      <c r="T64" s="107">
        <f t="shared" ref="T64:T79" si="39">$T$87*T36</f>
        <v>81246084.150000006</v>
      </c>
      <c r="U64" s="107">
        <f t="shared" ref="U64:X79" si="40">$U$87*U36</f>
        <v>91239372</v>
      </c>
      <c r="V64" s="107">
        <f t="shared" si="40"/>
        <v>87311133.63000001</v>
      </c>
      <c r="W64" s="107">
        <f t="shared" si="40"/>
        <v>86595350.940000013</v>
      </c>
      <c r="X64" s="107">
        <f t="shared" si="40"/>
        <v>79731653.400000006</v>
      </c>
    </row>
    <row r="65" spans="1:24" x14ac:dyDescent="0.25">
      <c r="A65" s="25" t="s">
        <v>197</v>
      </c>
      <c r="G65" s="107">
        <f t="shared" si="26"/>
        <v>77009010.035999998</v>
      </c>
      <c r="H65" s="107">
        <f t="shared" si="27"/>
        <v>69641845.055999994</v>
      </c>
      <c r="I65" s="107">
        <f t="shared" si="28"/>
        <v>79214253.299999997</v>
      </c>
      <c r="J65" s="107">
        <f t="shared" si="29"/>
        <v>78100545.337499991</v>
      </c>
      <c r="K65" s="107">
        <f t="shared" si="30"/>
        <v>78337444.415999994</v>
      </c>
      <c r="L65" s="107">
        <f t="shared" si="31"/>
        <v>68952535.322999999</v>
      </c>
      <c r="M65" s="107">
        <f t="shared" si="32"/>
        <v>70882571.717999995</v>
      </c>
      <c r="N65" s="107">
        <f t="shared" si="33"/>
        <v>72631353.375000015</v>
      </c>
      <c r="O65" s="107">
        <f t="shared" si="34"/>
        <v>74323076.478</v>
      </c>
      <c r="P65" s="107">
        <f t="shared" si="35"/>
        <v>85658080.462500006</v>
      </c>
      <c r="Q65" s="107">
        <f t="shared" si="36"/>
        <v>85444656.780000016</v>
      </c>
      <c r="R65" s="107">
        <f t="shared" si="37"/>
        <v>91341175.7685</v>
      </c>
      <c r="S65" s="107">
        <f t="shared" si="38"/>
        <v>91619841.159000009</v>
      </c>
      <c r="T65" s="107">
        <f t="shared" si="39"/>
        <v>84929105.645999998</v>
      </c>
      <c r="U65" s="107">
        <f t="shared" si="40"/>
        <v>94818516.975000009</v>
      </c>
      <c r="V65" s="107">
        <f t="shared" si="40"/>
        <v>87568959.870000005</v>
      </c>
      <c r="W65" s="107">
        <f t="shared" si="40"/>
        <v>91325452.995000005</v>
      </c>
      <c r="X65" s="107">
        <f t="shared" si="40"/>
        <v>79789210.515000001</v>
      </c>
    </row>
    <row r="66" spans="1:24" x14ac:dyDescent="0.25">
      <c r="A66" s="25" t="s">
        <v>198</v>
      </c>
      <c r="G66" s="107">
        <f t="shared" si="26"/>
        <v>164455771.28399998</v>
      </c>
      <c r="H66" s="107">
        <f t="shared" si="27"/>
        <v>149772201.26399997</v>
      </c>
      <c r="I66" s="107">
        <f t="shared" si="28"/>
        <v>169706719.89599997</v>
      </c>
      <c r="J66" s="107">
        <f t="shared" si="29"/>
        <v>169413941.75999996</v>
      </c>
      <c r="K66" s="107">
        <f t="shared" si="30"/>
        <v>170309163.02399999</v>
      </c>
      <c r="L66" s="107">
        <f t="shared" si="31"/>
        <v>150176404.37099999</v>
      </c>
      <c r="M66" s="107">
        <f t="shared" si="32"/>
        <v>154894060.377</v>
      </c>
      <c r="N66" s="107">
        <f t="shared" si="33"/>
        <v>159255288.93750003</v>
      </c>
      <c r="O66" s="107">
        <f t="shared" si="34"/>
        <v>146050414.56600001</v>
      </c>
      <c r="P66" s="107">
        <f t="shared" si="35"/>
        <v>184768530.71250001</v>
      </c>
      <c r="Q66" s="107">
        <f t="shared" si="36"/>
        <v>183966169.38000003</v>
      </c>
      <c r="R66" s="107">
        <f t="shared" si="37"/>
        <v>197250797.88749999</v>
      </c>
      <c r="S66" s="107">
        <f t="shared" si="38"/>
        <v>197930178.87299997</v>
      </c>
      <c r="T66" s="107">
        <f t="shared" si="39"/>
        <v>180254806.94550002</v>
      </c>
      <c r="U66" s="107">
        <f t="shared" si="40"/>
        <v>201583862.86500001</v>
      </c>
      <c r="V66" s="107">
        <f t="shared" si="40"/>
        <v>187484129.28</v>
      </c>
      <c r="W66" s="107">
        <f t="shared" si="40"/>
        <v>182027918.51999998</v>
      </c>
      <c r="X66" s="107">
        <f t="shared" si="40"/>
        <v>164293103.51999998</v>
      </c>
    </row>
    <row r="67" spans="1:24" x14ac:dyDescent="0.25">
      <c r="A67" s="25" t="s">
        <v>199</v>
      </c>
      <c r="G67" s="107">
        <f t="shared" si="26"/>
        <v>770619.04329599999</v>
      </c>
      <c r="H67" s="107">
        <f t="shared" si="27"/>
        <v>660680.20645199995</v>
      </c>
      <c r="I67" s="107">
        <f t="shared" si="28"/>
        <v>441064.08230399998</v>
      </c>
      <c r="J67" s="107">
        <f t="shared" si="29"/>
        <v>727590.21271999995</v>
      </c>
      <c r="K67" s="107">
        <f t="shared" si="30"/>
        <v>5968055.1719359998</v>
      </c>
      <c r="L67" s="107">
        <f t="shared" si="31"/>
        <v>4970379.7836300004</v>
      </c>
      <c r="M67" s="107">
        <f t="shared" si="32"/>
        <v>8018424.5066639995</v>
      </c>
      <c r="N67" s="107">
        <f t="shared" si="33"/>
        <v>6092195.7908999985</v>
      </c>
      <c r="O67" s="107">
        <f t="shared" si="34"/>
        <v>2634863.9120999998</v>
      </c>
      <c r="P67" s="107">
        <f t="shared" si="35"/>
        <v>538578.18969999999</v>
      </c>
      <c r="Q67" s="107">
        <f t="shared" si="36"/>
        <v>862049.84730000014</v>
      </c>
      <c r="R67" s="107">
        <f t="shared" si="37"/>
        <v>938970.06657999987</v>
      </c>
      <c r="S67" s="107">
        <f t="shared" si="38"/>
        <v>759458.99280000001</v>
      </c>
      <c r="T67" s="107">
        <f t="shared" si="39"/>
        <v>783654.20802899997</v>
      </c>
      <c r="U67" s="107">
        <f t="shared" si="40"/>
        <v>564167.02230000007</v>
      </c>
      <c r="V67" s="107">
        <f t="shared" si="40"/>
        <v>693280.0123200001</v>
      </c>
      <c r="W67" s="107">
        <f t="shared" si="40"/>
        <v>425029.08798000001</v>
      </c>
      <c r="X67" s="107">
        <f t="shared" si="40"/>
        <v>2954598.6934799999</v>
      </c>
    </row>
    <row r="68" spans="1:24" x14ac:dyDescent="0.25">
      <c r="A68" s="25" t="s">
        <v>200</v>
      </c>
      <c r="G68" s="107">
        <f t="shared" si="26"/>
        <v>4210648.4219039995</v>
      </c>
      <c r="H68" s="107">
        <f t="shared" si="27"/>
        <v>2114241.9576599998</v>
      </c>
      <c r="I68" s="107">
        <f t="shared" si="28"/>
        <v>16016784.173567999</v>
      </c>
      <c r="J68" s="107">
        <f t="shared" si="29"/>
        <v>32360457.51486</v>
      </c>
      <c r="K68" s="107">
        <f t="shared" si="30"/>
        <v>40349235.568928003</v>
      </c>
      <c r="L68" s="107">
        <f t="shared" si="31"/>
        <v>11187693.018270001</v>
      </c>
      <c r="M68" s="107">
        <f t="shared" si="32"/>
        <v>5584460.8659839993</v>
      </c>
      <c r="N68" s="107">
        <f t="shared" si="33"/>
        <v>2139941.257925</v>
      </c>
      <c r="O68" s="107">
        <f t="shared" si="34"/>
        <v>4484348.7401719997</v>
      </c>
      <c r="P68" s="107">
        <f t="shared" si="35"/>
        <v>7704078.3352000006</v>
      </c>
      <c r="Q68" s="107">
        <f t="shared" si="36"/>
        <v>3158820.0927400002</v>
      </c>
      <c r="R68" s="107">
        <f t="shared" si="37"/>
        <v>3195560.6411599996</v>
      </c>
      <c r="S68" s="107">
        <f t="shared" si="38"/>
        <v>3316989.7344000004</v>
      </c>
      <c r="T68" s="107">
        <f t="shared" si="39"/>
        <v>6233559.3890149994</v>
      </c>
      <c r="U68" s="107">
        <f t="shared" si="40"/>
        <v>4939480.3701599995</v>
      </c>
      <c r="V68" s="107">
        <f t="shared" si="40"/>
        <v>4619602.0256399997</v>
      </c>
      <c r="W68" s="107">
        <f t="shared" si="40"/>
        <v>5971436.3079000004</v>
      </c>
      <c r="X68" s="107">
        <f t="shared" si="40"/>
        <v>10337895.76932</v>
      </c>
    </row>
    <row r="69" spans="1:24" x14ac:dyDescent="0.25">
      <c r="A69" s="25" t="s">
        <v>201</v>
      </c>
      <c r="G69" s="107">
        <f t="shared" si="26"/>
        <v>6630175.6575839994</v>
      </c>
      <c r="H69" s="107">
        <f t="shared" si="27"/>
        <v>6129254.8669800004</v>
      </c>
      <c r="I69" s="107">
        <f t="shared" si="28"/>
        <v>13412124.350784</v>
      </c>
      <c r="J69" s="107">
        <f t="shared" si="29"/>
        <v>19555258.803320002</v>
      </c>
      <c r="K69" s="107">
        <f t="shared" si="30"/>
        <v>14585824.596288001</v>
      </c>
      <c r="L69" s="107">
        <f t="shared" si="31"/>
        <v>5481045.3764699996</v>
      </c>
      <c r="M69" s="107">
        <f t="shared" si="32"/>
        <v>3065848.0023600003</v>
      </c>
      <c r="N69" s="107">
        <f t="shared" si="33"/>
        <v>2571517.6048749997</v>
      </c>
      <c r="O69" s="107">
        <f t="shared" si="34"/>
        <v>4261018.5885680001</v>
      </c>
      <c r="P69" s="107">
        <f t="shared" si="35"/>
        <v>6407677.4921000004</v>
      </c>
      <c r="Q69" s="107">
        <f t="shared" si="36"/>
        <v>7539899.1891800016</v>
      </c>
      <c r="R69" s="107">
        <f t="shared" si="37"/>
        <v>9671515.0246799998</v>
      </c>
      <c r="S69" s="107">
        <f t="shared" si="38"/>
        <v>12996021.6336</v>
      </c>
      <c r="T69" s="107">
        <f t="shared" si="39"/>
        <v>13530353.761105999</v>
      </c>
      <c r="U69" s="107">
        <f t="shared" si="40"/>
        <v>11375793.943919998</v>
      </c>
      <c r="V69" s="107">
        <f t="shared" si="40"/>
        <v>4965925.0410000002</v>
      </c>
      <c r="W69" s="107">
        <f t="shared" si="40"/>
        <v>2223317.2878</v>
      </c>
      <c r="X69" s="107">
        <f t="shared" si="40"/>
        <v>4825263.5927999998</v>
      </c>
    </row>
    <row r="70" spans="1:24" x14ac:dyDescent="0.25">
      <c r="A70" s="25" t="s">
        <v>202</v>
      </c>
      <c r="G70" s="107">
        <f t="shared" si="26"/>
        <v>4464598.3810559995</v>
      </c>
      <c r="H70" s="107">
        <f t="shared" si="27"/>
        <v>4091360.1867599995</v>
      </c>
      <c r="I70" s="107">
        <f t="shared" si="28"/>
        <v>11059760.443391997</v>
      </c>
      <c r="J70" s="107">
        <f t="shared" si="29"/>
        <v>29248423.300589997</v>
      </c>
      <c r="K70" s="107">
        <f t="shared" si="30"/>
        <v>21628804.548735999</v>
      </c>
      <c r="L70" s="107">
        <f t="shared" si="31"/>
        <v>6565492.2823749995</v>
      </c>
      <c r="M70" s="107">
        <f t="shared" si="32"/>
        <v>3190642.9251840003</v>
      </c>
      <c r="N70" s="107">
        <f t="shared" si="33"/>
        <v>202753.98850000001</v>
      </c>
      <c r="O70" s="107">
        <f t="shared" si="34"/>
        <v>1156405.5736519999</v>
      </c>
      <c r="P70" s="107">
        <f t="shared" si="35"/>
        <v>2413017.3519000001</v>
      </c>
      <c r="Q70" s="107">
        <f t="shared" si="36"/>
        <v>5047127.8112200014</v>
      </c>
      <c r="R70" s="107">
        <f t="shared" si="37"/>
        <v>8065401.8072799994</v>
      </c>
      <c r="S70" s="107">
        <f t="shared" si="38"/>
        <v>8436275.4864000008</v>
      </c>
      <c r="T70" s="107">
        <f t="shared" si="39"/>
        <v>28307633.917604998</v>
      </c>
      <c r="U70" s="107">
        <f t="shared" si="40"/>
        <v>24520799.061359998</v>
      </c>
      <c r="V70" s="107">
        <f t="shared" si="40"/>
        <v>14929114.946760001</v>
      </c>
      <c r="W70" s="107">
        <f t="shared" si="40"/>
        <v>10838993.335380001</v>
      </c>
      <c r="X70" s="107">
        <f t="shared" si="40"/>
        <v>12630389.710679999</v>
      </c>
    </row>
    <row r="71" spans="1:24" x14ac:dyDescent="0.25">
      <c r="A71" s="25" t="s">
        <v>203</v>
      </c>
      <c r="G71" s="107">
        <f t="shared" si="26"/>
        <v>17325965.359439999</v>
      </c>
      <c r="H71" s="107">
        <f t="shared" si="27"/>
        <v>14714908.042883998</v>
      </c>
      <c r="I71" s="107">
        <f t="shared" si="28"/>
        <v>12252599.062847998</v>
      </c>
      <c r="J71" s="107">
        <f t="shared" si="29"/>
        <v>16217635.712429998</v>
      </c>
      <c r="K71" s="107">
        <f t="shared" si="30"/>
        <v>26193063.541920003</v>
      </c>
      <c r="L71" s="107">
        <f t="shared" si="31"/>
        <v>35233392.308665</v>
      </c>
      <c r="M71" s="107">
        <f t="shared" si="32"/>
        <v>73699654.928327993</v>
      </c>
      <c r="N71" s="107">
        <f t="shared" si="33"/>
        <v>61469571.013800003</v>
      </c>
      <c r="O71" s="107">
        <f t="shared" si="34"/>
        <v>36714956.456751995</v>
      </c>
      <c r="P71" s="107">
        <f t="shared" si="35"/>
        <v>11737562.1511</v>
      </c>
      <c r="Q71" s="107">
        <f t="shared" si="36"/>
        <v>18005412.636980001</v>
      </c>
      <c r="R71" s="107">
        <f t="shared" si="37"/>
        <v>25172267.408199999</v>
      </c>
      <c r="S71" s="107">
        <f t="shared" si="38"/>
        <v>38659539.995999999</v>
      </c>
      <c r="T71" s="107">
        <f t="shared" si="39"/>
        <v>19036612.712984998</v>
      </c>
      <c r="U71" s="107">
        <f t="shared" si="40"/>
        <v>13187823.68169</v>
      </c>
      <c r="V71" s="107">
        <f t="shared" si="40"/>
        <v>6995374.1071200008</v>
      </c>
      <c r="W71" s="107">
        <f t="shared" si="40"/>
        <v>3047340.94056</v>
      </c>
      <c r="X71" s="107">
        <f t="shared" si="40"/>
        <v>20723523.5088</v>
      </c>
    </row>
    <row r="72" spans="1:24" x14ac:dyDescent="0.25">
      <c r="A72" s="25" t="s">
        <v>204</v>
      </c>
      <c r="G72" s="107">
        <f t="shared" si="26"/>
        <v>5377506.6718079997</v>
      </c>
      <c r="H72" s="107">
        <f t="shared" si="27"/>
        <v>4047234.4741079998</v>
      </c>
      <c r="I72" s="107">
        <f t="shared" si="28"/>
        <v>11532809.750976</v>
      </c>
      <c r="J72" s="107">
        <f t="shared" si="29"/>
        <v>14167809.392340001</v>
      </c>
      <c r="K72" s="107">
        <f t="shared" si="30"/>
        <v>17597830.423711997</v>
      </c>
      <c r="L72" s="107">
        <f t="shared" si="31"/>
        <v>14921139.212780001</v>
      </c>
      <c r="M72" s="107">
        <f t="shared" si="32"/>
        <v>25108553.413943999</v>
      </c>
      <c r="N72" s="107">
        <f t="shared" si="33"/>
        <v>23250000.841924999</v>
      </c>
      <c r="O72" s="107">
        <f t="shared" si="34"/>
        <v>17997580.872375999</v>
      </c>
      <c r="P72" s="107">
        <f t="shared" si="35"/>
        <v>13238264.631900001</v>
      </c>
      <c r="Q72" s="107">
        <f t="shared" si="36"/>
        <v>3296280.1910000006</v>
      </c>
      <c r="R72" s="107">
        <f t="shared" si="37"/>
        <v>11764726.672799999</v>
      </c>
      <c r="S72" s="107">
        <f t="shared" si="38"/>
        <v>2425581.0120000001</v>
      </c>
      <c r="T72" s="107">
        <f t="shared" si="39"/>
        <v>2059.3688639999996</v>
      </c>
      <c r="U72" s="107">
        <f t="shared" si="40"/>
        <v>0</v>
      </c>
      <c r="V72" s="107">
        <f t="shared" si="40"/>
        <v>444241.47348000004</v>
      </c>
      <c r="W72" s="107">
        <f t="shared" si="40"/>
        <v>2033985.8668500003</v>
      </c>
      <c r="X72" s="107">
        <f t="shared" si="40"/>
        <v>8916901.42392</v>
      </c>
    </row>
    <row r="73" spans="1:24" x14ac:dyDescent="0.25">
      <c r="A73" s="25" t="s">
        <v>205</v>
      </c>
      <c r="G73" s="107">
        <f t="shared" si="26"/>
        <v>57685301.310815997</v>
      </c>
      <c r="H73" s="107">
        <f t="shared" si="27"/>
        <v>124058147.73794399</v>
      </c>
      <c r="I73" s="107">
        <f t="shared" si="28"/>
        <v>97838133.624576002</v>
      </c>
      <c r="J73" s="107">
        <f t="shared" si="29"/>
        <v>89129875.872110009</v>
      </c>
      <c r="K73" s="107">
        <f t="shared" si="30"/>
        <v>94330184.396799996</v>
      </c>
      <c r="L73" s="107">
        <f t="shared" si="31"/>
        <v>98349762.748899996</v>
      </c>
      <c r="M73" s="107">
        <f t="shared" si="32"/>
        <v>113188039.86203998</v>
      </c>
      <c r="N73" s="107">
        <f t="shared" si="33"/>
        <v>113765410.72722501</v>
      </c>
      <c r="O73" s="107">
        <f t="shared" si="34"/>
        <v>96618237.982644007</v>
      </c>
      <c r="P73" s="107">
        <f t="shared" si="35"/>
        <v>95546200.445600003</v>
      </c>
      <c r="Q73" s="107">
        <f t="shared" si="36"/>
        <v>74251931.481940016</v>
      </c>
      <c r="R73" s="107">
        <f t="shared" si="37"/>
        <v>112540705.11033998</v>
      </c>
      <c r="S73" s="107">
        <f t="shared" si="38"/>
        <v>202629285.77040002</v>
      </c>
      <c r="T73" s="107">
        <f t="shared" si="39"/>
        <v>126136450.17879499</v>
      </c>
      <c r="U73" s="107">
        <f t="shared" si="40"/>
        <v>77233444.627499998</v>
      </c>
      <c r="V73" s="107">
        <f t="shared" si="40"/>
        <v>30830567.473440003</v>
      </c>
      <c r="W73" s="107">
        <f t="shared" si="40"/>
        <v>12096879.217920002</v>
      </c>
      <c r="X73" s="107">
        <f t="shared" si="40"/>
        <v>33518076.827759996</v>
      </c>
    </row>
    <row r="74" spans="1:24" x14ac:dyDescent="0.25">
      <c r="A74" s="25" t="s">
        <v>206</v>
      </c>
      <c r="G74" s="107">
        <f t="shared" si="26"/>
        <v>40536975.044</v>
      </c>
      <c r="H74" s="107">
        <f t="shared" si="27"/>
        <v>39928034.7984</v>
      </c>
      <c r="I74" s="107">
        <f t="shared" si="28"/>
        <v>52174867.359200001</v>
      </c>
      <c r="J74" s="107">
        <f t="shared" si="29"/>
        <v>36300302.331499994</v>
      </c>
      <c r="K74" s="107">
        <f t="shared" si="30"/>
        <v>41233065.843199998</v>
      </c>
      <c r="L74" s="107">
        <f t="shared" si="31"/>
        <v>27124072.917099997</v>
      </c>
      <c r="M74" s="107">
        <f t="shared" si="32"/>
        <v>39685727.592</v>
      </c>
      <c r="N74" s="107">
        <f t="shared" si="33"/>
        <v>63423692.830000006</v>
      </c>
      <c r="O74" s="107">
        <f t="shared" si="34"/>
        <v>45384823.313199997</v>
      </c>
      <c r="P74" s="107">
        <f t="shared" si="35"/>
        <v>37968991.410000004</v>
      </c>
      <c r="Q74" s="107">
        <f t="shared" si="36"/>
        <v>53651113.479999997</v>
      </c>
      <c r="R74" s="107">
        <f t="shared" si="37"/>
        <v>41606138.226999998</v>
      </c>
      <c r="S74" s="107">
        <f t="shared" si="38"/>
        <v>79048214.020799994</v>
      </c>
      <c r="T74" s="107">
        <f t="shared" si="39"/>
        <v>36895845.633254997</v>
      </c>
      <c r="U74" s="107">
        <f t="shared" si="40"/>
        <v>24718266.169380002</v>
      </c>
      <c r="V74" s="107">
        <f t="shared" si="40"/>
        <v>10609671.509640001</v>
      </c>
      <c r="W74" s="107">
        <f t="shared" si="40"/>
        <v>7128779.3413200015</v>
      </c>
      <c r="X74" s="107">
        <f t="shared" si="40"/>
        <v>15849848.259</v>
      </c>
    </row>
    <row r="75" spans="1:24" x14ac:dyDescent="0.25">
      <c r="A75" s="25" t="s">
        <v>207</v>
      </c>
      <c r="G75" s="107">
        <f t="shared" si="26"/>
        <v>15470360.720799999</v>
      </c>
      <c r="H75" s="107">
        <f t="shared" si="27"/>
        <v>14554625.156400001</v>
      </c>
      <c r="I75" s="107">
        <f t="shared" si="28"/>
        <v>17461482.732799999</v>
      </c>
      <c r="J75" s="107">
        <f t="shared" si="29"/>
        <v>13267195.236499999</v>
      </c>
      <c r="K75" s="107">
        <f t="shared" si="30"/>
        <v>13564463.580800001</v>
      </c>
      <c r="L75" s="107">
        <f t="shared" si="31"/>
        <v>12096823.050399998</v>
      </c>
      <c r="M75" s="107">
        <f t="shared" si="32"/>
        <v>14120993.899800001</v>
      </c>
      <c r="N75" s="107">
        <f t="shared" si="33"/>
        <v>22925327.34</v>
      </c>
      <c r="O75" s="107">
        <f t="shared" si="34"/>
        <v>18675309.242000002</v>
      </c>
      <c r="P75" s="107">
        <f t="shared" si="35"/>
        <v>13318027.4725</v>
      </c>
      <c r="Q75" s="107">
        <f t="shared" si="36"/>
        <v>18776780.702000003</v>
      </c>
      <c r="R75" s="107">
        <f t="shared" si="37"/>
        <v>19900206.675699998</v>
      </c>
      <c r="S75" s="107">
        <f t="shared" si="38"/>
        <v>33880568.447999999</v>
      </c>
      <c r="T75" s="107">
        <f t="shared" si="39"/>
        <v>25143297.092900001</v>
      </c>
      <c r="U75" s="107">
        <f t="shared" si="40"/>
        <v>21117577.824000001</v>
      </c>
      <c r="V75" s="107">
        <f t="shared" si="40"/>
        <v>11294495.540999999</v>
      </c>
      <c r="W75" s="107">
        <f t="shared" si="40"/>
        <v>14398287.056999998</v>
      </c>
      <c r="X75" s="107">
        <f t="shared" si="40"/>
        <v>14495864.040000001</v>
      </c>
    </row>
    <row r="76" spans="1:24" x14ac:dyDescent="0.25">
      <c r="A76" s="25" t="s">
        <v>208</v>
      </c>
      <c r="G76" s="107">
        <f t="shared" si="26"/>
        <v>39888454.928399988</v>
      </c>
      <c r="H76" s="107">
        <f t="shared" si="27"/>
        <v>57298403.2236</v>
      </c>
      <c r="I76" s="107">
        <f t="shared" si="28"/>
        <v>50150226.141599998</v>
      </c>
      <c r="J76" s="107">
        <f t="shared" si="29"/>
        <v>40677045.436499998</v>
      </c>
      <c r="K76" s="107">
        <f t="shared" si="30"/>
        <v>49175812.505599998</v>
      </c>
      <c r="L76" s="107">
        <f t="shared" si="31"/>
        <v>51932153.615800001</v>
      </c>
      <c r="M76" s="107">
        <f t="shared" si="32"/>
        <v>38885894.740800001</v>
      </c>
      <c r="N76" s="107">
        <f t="shared" si="33"/>
        <v>33617352.274999999</v>
      </c>
      <c r="O76" s="107">
        <f t="shared" si="34"/>
        <v>40654844.815200001</v>
      </c>
      <c r="P76" s="107">
        <f t="shared" si="35"/>
        <v>51600053.285000004</v>
      </c>
      <c r="Q76" s="107">
        <f t="shared" si="36"/>
        <v>44574187.191999994</v>
      </c>
      <c r="R76" s="107">
        <f t="shared" si="37"/>
        <v>56715102.227799997</v>
      </c>
      <c r="S76" s="107">
        <f t="shared" si="38"/>
        <v>110483581.38479999</v>
      </c>
      <c r="T76" s="107">
        <f t="shared" si="39"/>
        <v>86396006.057900012</v>
      </c>
      <c r="U76" s="107">
        <f>$U$87*U48</f>
        <v>46992637.188000001</v>
      </c>
      <c r="V76" s="107">
        <f t="shared" ref="V76:X76" si="41">$U$87*V48</f>
        <v>49541517.963</v>
      </c>
      <c r="W76" s="107">
        <f t="shared" si="41"/>
        <v>51436430.136</v>
      </c>
      <c r="X76" s="107">
        <f t="shared" si="41"/>
        <v>32977833.147000004</v>
      </c>
    </row>
    <row r="77" spans="1:24" x14ac:dyDescent="0.25">
      <c r="A77" s="25" t="s">
        <v>209</v>
      </c>
      <c r="G77" s="107">
        <f t="shared" si="26"/>
        <v>46484276.692799993</v>
      </c>
      <c r="H77" s="107">
        <f t="shared" si="27"/>
        <v>53346849.217199996</v>
      </c>
      <c r="I77" s="107">
        <f t="shared" si="28"/>
        <v>79212282.771999985</v>
      </c>
      <c r="J77" s="107">
        <f t="shared" si="29"/>
        <v>62009341.883499995</v>
      </c>
      <c r="K77" s="107">
        <f t="shared" si="30"/>
        <v>63456441.593600005</v>
      </c>
      <c r="L77" s="107">
        <f t="shared" si="31"/>
        <v>58026261.899999999</v>
      </c>
      <c r="M77" s="107">
        <f t="shared" si="32"/>
        <v>60524778.281400003</v>
      </c>
      <c r="N77" s="107">
        <f t="shared" si="33"/>
        <v>71048066.32249999</v>
      </c>
      <c r="O77" s="107">
        <f t="shared" si="34"/>
        <v>53773336.241200007</v>
      </c>
      <c r="P77" s="107">
        <f t="shared" si="35"/>
        <v>75974555.820000008</v>
      </c>
      <c r="Q77" s="107">
        <f t="shared" si="36"/>
        <v>63709518.928000003</v>
      </c>
      <c r="R77" s="107">
        <f t="shared" si="37"/>
        <v>59428604.178599998</v>
      </c>
      <c r="S77" s="107">
        <f t="shared" si="38"/>
        <v>113410623.9138</v>
      </c>
      <c r="T77" s="107">
        <f t="shared" si="39"/>
        <v>92564318.280000001</v>
      </c>
      <c r="U77" s="107">
        <f t="shared" si="40"/>
        <v>72333003.015000001</v>
      </c>
      <c r="V77" s="107">
        <f t="shared" si="40"/>
        <v>62729219.448000006</v>
      </c>
      <c r="W77" s="107">
        <f t="shared" si="40"/>
        <v>62124699.294000007</v>
      </c>
      <c r="X77" s="107">
        <f t="shared" si="40"/>
        <v>63738695.349000007</v>
      </c>
    </row>
    <row r="78" spans="1:24" x14ac:dyDescent="0.25">
      <c r="A78" s="25" t="s">
        <v>210</v>
      </c>
      <c r="G78" s="107">
        <f t="shared" si="26"/>
        <v>76330654.433599994</v>
      </c>
      <c r="H78" s="107">
        <f t="shared" si="27"/>
        <v>53663629.563599996</v>
      </c>
      <c r="I78" s="107">
        <f t="shared" si="28"/>
        <v>91598778.056799993</v>
      </c>
      <c r="J78" s="107">
        <f t="shared" si="29"/>
        <v>71228112.24499999</v>
      </c>
      <c r="K78" s="107">
        <f t="shared" si="30"/>
        <v>96483918.959999993</v>
      </c>
      <c r="L78" s="107">
        <f t="shared" si="31"/>
        <v>143837820.19779998</v>
      </c>
      <c r="M78" s="107">
        <f t="shared" si="32"/>
        <v>97078159.297800004</v>
      </c>
      <c r="N78" s="107">
        <f t="shared" si="33"/>
        <v>102310665.99249999</v>
      </c>
      <c r="O78" s="107">
        <f t="shared" si="34"/>
        <v>96002171.228000015</v>
      </c>
      <c r="P78" s="107">
        <f t="shared" si="35"/>
        <v>104935373.51000001</v>
      </c>
      <c r="Q78" s="107">
        <f t="shared" si="36"/>
        <v>99012055.106000006</v>
      </c>
      <c r="R78" s="107">
        <f t="shared" si="37"/>
        <v>67168971.451800004</v>
      </c>
      <c r="S78" s="107">
        <f t="shared" si="38"/>
        <v>152445268.79820001</v>
      </c>
      <c r="T78" s="107">
        <f t="shared" si="39"/>
        <v>122981291.99439999</v>
      </c>
      <c r="U78" s="107">
        <f t="shared" si="40"/>
        <v>79695413.342999995</v>
      </c>
      <c r="V78" s="107">
        <f t="shared" si="40"/>
        <v>81273578.589000002</v>
      </c>
      <c r="W78" s="107">
        <f t="shared" si="40"/>
        <v>90821797.038000003</v>
      </c>
      <c r="X78" s="107">
        <f t="shared" si="40"/>
        <v>95819406.164999992</v>
      </c>
    </row>
    <row r="79" spans="1:24" x14ac:dyDescent="0.25">
      <c r="A79" s="25" t="s">
        <v>211</v>
      </c>
      <c r="G79" s="107">
        <f t="shared" si="26"/>
        <v>6809219.1479519987</v>
      </c>
      <c r="H79" s="107">
        <f t="shared" si="27"/>
        <v>6397826.5067639994</v>
      </c>
      <c r="I79" s="107">
        <f t="shared" si="28"/>
        <v>8012177.1895679999</v>
      </c>
      <c r="J79" s="107">
        <f t="shared" si="29"/>
        <v>5284854.6023999993</v>
      </c>
      <c r="K79" s="107">
        <f t="shared" si="30"/>
        <v>6208715.1540480014</v>
      </c>
      <c r="L79" s="107">
        <f t="shared" si="31"/>
        <v>7025373.8232399998</v>
      </c>
      <c r="M79" s="107">
        <f t="shared" si="32"/>
        <v>7736449.4681760008</v>
      </c>
      <c r="N79" s="107">
        <f t="shared" si="33"/>
        <v>11882743.30095</v>
      </c>
      <c r="O79" s="107">
        <f t="shared" si="34"/>
        <v>8920775.7631719988</v>
      </c>
      <c r="P79" s="107">
        <f t="shared" si="35"/>
        <v>4462370.5939999996</v>
      </c>
      <c r="Q79" s="107">
        <f t="shared" si="36"/>
        <v>8595526.2263200004</v>
      </c>
      <c r="R79" s="107">
        <f t="shared" si="37"/>
        <v>5741907.3968599988</v>
      </c>
      <c r="S79" s="107">
        <f t="shared" si="38"/>
        <v>11990997.681600001</v>
      </c>
      <c r="T79" s="107">
        <f t="shared" si="39"/>
        <v>6181753.3910299987</v>
      </c>
      <c r="U79" s="107">
        <f t="shared" si="40"/>
        <v>4070375.9686799999</v>
      </c>
      <c r="V79" s="107">
        <f t="shared" si="40"/>
        <v>1030737.8516400001</v>
      </c>
      <c r="W79" s="107">
        <f t="shared" si="40"/>
        <v>542781.06686999998</v>
      </c>
      <c r="X79" s="107">
        <f t="shared" si="40"/>
        <v>2883052.0353599996</v>
      </c>
    </row>
    <row r="80" spans="1:24" x14ac:dyDescent="0.25">
      <c r="A80" s="25" t="s">
        <v>37</v>
      </c>
      <c r="G80" s="107">
        <f>SUM(G63:G79)</f>
        <v>713289297.58145595</v>
      </c>
      <c r="H80" s="107">
        <f t="shared" ref="H80:X80" si="42">SUM(H63:H79)</f>
        <v>737741247.94675195</v>
      </c>
      <c r="I80" s="107">
        <f t="shared" si="42"/>
        <v>863892355.50441599</v>
      </c>
      <c r="J80" s="107">
        <f t="shared" si="42"/>
        <v>828209233.62876987</v>
      </c>
      <c r="K80" s="107">
        <f t="shared" si="42"/>
        <v>890960026.55756807</v>
      </c>
      <c r="L80" s="107">
        <f t="shared" si="42"/>
        <v>838374572.81443</v>
      </c>
      <c r="M80" s="107">
        <f t="shared" si="42"/>
        <v>869824456.69247997</v>
      </c>
      <c r="N80" s="107">
        <f t="shared" si="42"/>
        <v>915007493.87360024</v>
      </c>
      <c r="O80" s="107">
        <f t="shared" si="42"/>
        <v>816429892.85103607</v>
      </c>
      <c r="P80" s="107">
        <f t="shared" si="42"/>
        <v>879982093.70149994</v>
      </c>
      <c r="Q80" s="107">
        <f t="shared" si="42"/>
        <v>854222148.17468023</v>
      </c>
      <c r="R80" s="107">
        <f t="shared" si="42"/>
        <v>908154349.67929995</v>
      </c>
      <c r="S80" s="107">
        <f t="shared" si="42"/>
        <v>1219750643.7132001</v>
      </c>
      <c r="T80" s="107">
        <f t="shared" si="42"/>
        <v>957041114.18073905</v>
      </c>
      <c r="U80" s="107">
        <f t="shared" si="42"/>
        <v>809101663.72496998</v>
      </c>
      <c r="V80" s="107">
        <f t="shared" si="42"/>
        <v>665709235.64963996</v>
      </c>
      <c r="W80" s="107">
        <f t="shared" si="42"/>
        <v>638874411.0776999</v>
      </c>
      <c r="X80" s="107">
        <f t="shared" si="42"/>
        <v>669191944.29696</v>
      </c>
    </row>
    <row r="82" spans="1:27" x14ac:dyDescent="0.25">
      <c r="A82" s="34" t="s">
        <v>676</v>
      </c>
      <c r="I82" s="107">
        <f>SUM(G80:I80)</f>
        <v>2314922901.0326238</v>
      </c>
      <c r="J82" s="107"/>
      <c r="K82" s="107"/>
      <c r="L82" s="107">
        <f>SUM(J80:L80)</f>
        <v>2557543833.0007677</v>
      </c>
      <c r="M82" s="107"/>
      <c r="N82" s="107"/>
      <c r="O82" s="107">
        <f>SUM(M80:O80)</f>
        <v>2601261843.4171162</v>
      </c>
      <c r="P82" s="107"/>
      <c r="Q82" s="107"/>
      <c r="R82" s="107">
        <f>SUM(P80:R80)</f>
        <v>2642358591.55548</v>
      </c>
      <c r="S82" s="107"/>
      <c r="T82" s="107"/>
      <c r="U82" s="107">
        <f>SUM(S80:U80)</f>
        <v>2985893421.6189089</v>
      </c>
      <c r="X82" s="107">
        <f>SUM(V80:X80)</f>
        <v>1973775591.0242996</v>
      </c>
    </row>
    <row r="83" spans="1:27" x14ac:dyDescent="0.25">
      <c r="A83" s="34" t="s">
        <v>677</v>
      </c>
      <c r="L83" s="40">
        <f>(L82/I82)-1</f>
        <v>0.1048073488149075</v>
      </c>
      <c r="M83" s="40"/>
      <c r="N83" s="40"/>
      <c r="O83" s="40">
        <f>(O82/L82)-1</f>
        <v>1.7093748248707019E-2</v>
      </c>
      <c r="P83" s="40"/>
      <c r="Q83" s="40"/>
      <c r="R83" s="40">
        <f>(R82/O82)-1</f>
        <v>1.57987740612755E-2</v>
      </c>
      <c r="S83" s="40"/>
      <c r="T83" s="40"/>
      <c r="U83" s="40">
        <f>(U82/R82)-1</f>
        <v>0.13001067726436011</v>
      </c>
      <c r="X83" s="40">
        <f>(X82/U82)-1</f>
        <v>-0.33896649601306039</v>
      </c>
    </row>
    <row r="84" spans="1:27" x14ac:dyDescent="0.25">
      <c r="A84" s="34" t="s">
        <v>678</v>
      </c>
      <c r="L84" s="40"/>
      <c r="M84" s="40"/>
      <c r="N84" s="40"/>
      <c r="O84" s="40"/>
      <c r="P84" s="40"/>
      <c r="Q84" s="40"/>
      <c r="R84" s="40"/>
      <c r="S84" s="40"/>
      <c r="T84" s="40"/>
      <c r="U84" s="40">
        <f>(U82/I82)-1</f>
        <v>0.28984573105522582</v>
      </c>
      <c r="X84" s="40">
        <f>(X82/L82)-1</f>
        <v>-0.22825346508002264</v>
      </c>
    </row>
    <row r="86" spans="1:27" x14ac:dyDescent="0.25">
      <c r="A86" s="25" t="s">
        <v>578</v>
      </c>
      <c r="G86" s="25" t="s">
        <v>484</v>
      </c>
      <c r="H86" s="25" t="s">
        <v>485</v>
      </c>
      <c r="I86" s="25" t="s">
        <v>486</v>
      </c>
      <c r="J86" s="25" t="s">
        <v>487</v>
      </c>
      <c r="K86" s="25" t="s">
        <v>488</v>
      </c>
      <c r="L86" s="25" t="s">
        <v>489</v>
      </c>
      <c r="M86" s="25" t="s">
        <v>490</v>
      </c>
      <c r="N86" s="25" t="s">
        <v>491</v>
      </c>
      <c r="O86" s="25" t="s">
        <v>492</v>
      </c>
      <c r="P86" s="25" t="s">
        <v>493</v>
      </c>
      <c r="Q86" s="25" t="s">
        <v>494</v>
      </c>
      <c r="R86" s="25" t="s">
        <v>495</v>
      </c>
      <c r="S86" s="25" t="s">
        <v>496</v>
      </c>
      <c r="T86" s="25" t="s">
        <v>497</v>
      </c>
      <c r="U86" s="25" t="s">
        <v>574</v>
      </c>
      <c r="V86" s="25" t="s">
        <v>731</v>
      </c>
      <c r="W86" s="25" t="s">
        <v>732</v>
      </c>
      <c r="X86" s="25" t="s">
        <v>733</v>
      </c>
    </row>
    <row r="87" spans="1:27" x14ac:dyDescent="0.25">
      <c r="A87" s="25" t="s">
        <v>576</v>
      </c>
      <c r="G87" s="62" t="str">
        <f>PTF!B5</f>
        <v>35,48</v>
      </c>
      <c r="H87" s="62">
        <f>PTF!C5</f>
        <v>36.119999999999997</v>
      </c>
      <c r="I87" s="62">
        <f>PTF!D5</f>
        <v>37.04</v>
      </c>
      <c r="J87" s="62">
        <f>PTF!E5</f>
        <v>38.049999999999997</v>
      </c>
      <c r="K87" s="62">
        <f>PTF!F5</f>
        <v>38.72</v>
      </c>
      <c r="L87" s="62">
        <f>PTF!G5</f>
        <v>39.369999999999997</v>
      </c>
      <c r="M87" s="62">
        <f>PTF!H5</f>
        <v>40.14</v>
      </c>
      <c r="N87" s="62">
        <f>PTF!I5</f>
        <v>40.75</v>
      </c>
      <c r="O87" s="62">
        <f>PTF!J5</f>
        <v>41.24</v>
      </c>
      <c r="P87" s="62">
        <f>PTF!K5</f>
        <v>41.75</v>
      </c>
      <c r="Q87" s="62">
        <f>PTF!L5</f>
        <v>42.2</v>
      </c>
      <c r="R87" s="62">
        <f>PTF!M5</f>
        <v>42.61</v>
      </c>
      <c r="S87" s="62">
        <f>PTF!N5</f>
        <v>43.14</v>
      </c>
      <c r="T87" s="62">
        <f>PTF!O5</f>
        <v>43.61</v>
      </c>
      <c r="U87" s="62">
        <f>PTF!P5</f>
        <v>44.1</v>
      </c>
      <c r="V87" s="62">
        <f>PTF!Q5</f>
        <v>44.68</v>
      </c>
      <c r="W87" s="62">
        <f>PTF!R5</f>
        <v>45.36</v>
      </c>
      <c r="X87" s="62">
        <f>PTF!S5</f>
        <v>46.17</v>
      </c>
    </row>
    <row r="90" spans="1:27" x14ac:dyDescent="0.25">
      <c r="A90" s="33" t="s">
        <v>44</v>
      </c>
      <c r="I90" s="25" t="s">
        <v>730</v>
      </c>
      <c r="J90" s="25" t="s">
        <v>484</v>
      </c>
      <c r="K90" s="25" t="s">
        <v>485</v>
      </c>
      <c r="L90" s="25" t="s">
        <v>486</v>
      </c>
      <c r="M90" s="25" t="s">
        <v>487</v>
      </c>
      <c r="N90" s="25" t="s">
        <v>488</v>
      </c>
      <c r="O90" s="25" t="s">
        <v>489</v>
      </c>
      <c r="P90" s="25" t="s">
        <v>490</v>
      </c>
      <c r="Q90" s="25" t="s">
        <v>491</v>
      </c>
      <c r="R90" s="25" t="s">
        <v>492</v>
      </c>
      <c r="S90" s="25" t="s">
        <v>493</v>
      </c>
      <c r="T90" s="25" t="s">
        <v>494</v>
      </c>
      <c r="U90" s="25" t="s">
        <v>495</v>
      </c>
      <c r="V90" s="25" t="s">
        <v>496</v>
      </c>
      <c r="W90" s="25" t="s">
        <v>497</v>
      </c>
      <c r="X90" s="25" t="s">
        <v>574</v>
      </c>
      <c r="Y90" s="25" t="s">
        <v>731</v>
      </c>
      <c r="Z90" s="25" t="s">
        <v>732</v>
      </c>
      <c r="AA90" s="25" t="s">
        <v>733</v>
      </c>
    </row>
    <row r="91" spans="1:27" x14ac:dyDescent="0.25">
      <c r="A91" s="25" t="s">
        <v>456</v>
      </c>
      <c r="I91" s="25" t="s">
        <v>31</v>
      </c>
      <c r="J91" s="25">
        <f>SUM(G2:G3,G5:G6)</f>
        <v>105036.91999999998</v>
      </c>
      <c r="K91" s="25">
        <f t="shared" ref="K91:AA91" si="43">SUM(H2:H3,H5:H6)</f>
        <v>94061.08</v>
      </c>
      <c r="L91" s="25">
        <f t="shared" si="43"/>
        <v>103550.67</v>
      </c>
      <c r="M91" s="25">
        <f t="shared" si="43"/>
        <v>99627.139999999985</v>
      </c>
      <c r="N91" s="25">
        <f t="shared" si="43"/>
        <v>98431.87</v>
      </c>
      <c r="O91" s="25">
        <f t="shared" si="43"/>
        <v>87478.540000000008</v>
      </c>
      <c r="P91" s="25">
        <f t="shared" si="43"/>
        <v>90145.64</v>
      </c>
      <c r="Q91" s="25">
        <f t="shared" si="43"/>
        <v>93557.290000000008</v>
      </c>
      <c r="R91" s="25">
        <f t="shared" si="43"/>
        <v>89869.11</v>
      </c>
      <c r="S91" s="25">
        <f t="shared" si="43"/>
        <v>103595.63</v>
      </c>
      <c r="T91" s="25">
        <f t="shared" si="43"/>
        <v>102401.59</v>
      </c>
      <c r="U91" s="25">
        <f t="shared" si="43"/>
        <v>108681.01000000001</v>
      </c>
      <c r="V91" s="25">
        <f t="shared" si="43"/>
        <v>107699.2</v>
      </c>
      <c r="W91" s="25">
        <f t="shared" si="43"/>
        <v>97293.88</v>
      </c>
      <c r="X91" s="25">
        <f t="shared" si="43"/>
        <v>107246.73999999999</v>
      </c>
      <c r="Y91" s="25">
        <f t="shared" si="43"/>
        <v>100390.06</v>
      </c>
      <c r="Z91" s="25">
        <f t="shared" si="43"/>
        <v>98172.069999999992</v>
      </c>
      <c r="AA91" s="25">
        <f t="shared" si="43"/>
        <v>89975.95</v>
      </c>
    </row>
    <row r="92" spans="1:27" x14ac:dyDescent="0.25">
      <c r="A92" s="25" t="s">
        <v>457</v>
      </c>
      <c r="I92" s="25" t="s">
        <v>29</v>
      </c>
      <c r="J92" s="25">
        <f>SUM(G7:G10)</f>
        <v>6324.6999999999989</v>
      </c>
      <c r="K92" s="25">
        <f t="shared" ref="K92:AA92" si="44">SUM(H7:H10)</f>
        <v>5174.57</v>
      </c>
      <c r="L92" s="25">
        <f t="shared" si="44"/>
        <v>18490.87</v>
      </c>
      <c r="M92" s="25">
        <f t="shared" si="44"/>
        <v>32838.17</v>
      </c>
      <c r="N92" s="25">
        <f t="shared" si="44"/>
        <v>33289.18</v>
      </c>
      <c r="O92" s="25">
        <f t="shared" si="44"/>
        <v>12579.43</v>
      </c>
      <c r="P92" s="25">
        <f t="shared" si="44"/>
        <v>6653.4800000000005</v>
      </c>
      <c r="Q92" s="25">
        <f t="shared" si="44"/>
        <v>3723.9199999999996</v>
      </c>
      <c r="R92" s="25">
        <f t="shared" si="44"/>
        <v>4528.41</v>
      </c>
      <c r="S92" s="25">
        <f t="shared" si="44"/>
        <v>6166.31</v>
      </c>
      <c r="T92" s="25">
        <f t="shared" si="44"/>
        <v>5892.380000000001</v>
      </c>
      <c r="U92" s="25">
        <f t="shared" si="44"/>
        <v>7270.45</v>
      </c>
      <c r="V92" s="25">
        <f t="shared" si="44"/>
        <v>8695.61</v>
      </c>
      <c r="W92" s="25">
        <f t="shared" si="44"/>
        <v>22774.45</v>
      </c>
      <c r="X92" s="25">
        <f t="shared" si="44"/>
        <v>23930.18</v>
      </c>
      <c r="Y92" s="25">
        <f t="shared" si="44"/>
        <v>23856.77</v>
      </c>
      <c r="Z92" s="25">
        <f t="shared" si="44"/>
        <v>25113.379999999997</v>
      </c>
      <c r="AA92" s="25">
        <f t="shared" si="44"/>
        <v>23976.51</v>
      </c>
    </row>
    <row r="93" spans="1:27" x14ac:dyDescent="0.25">
      <c r="I93" s="25" t="s">
        <v>28</v>
      </c>
      <c r="J93" s="25">
        <f>SUM(G11:G19)</f>
        <v>118748.77000000002</v>
      </c>
      <c r="K93" s="25">
        <f t="shared" ref="K93:AA93" si="45">SUM(H11:H19)</f>
        <v>142393.16999999998</v>
      </c>
      <c r="L93" s="25">
        <f t="shared" si="45"/>
        <v>166038.39000000001</v>
      </c>
      <c r="M93" s="25">
        <f t="shared" si="45"/>
        <v>130501.45999999999</v>
      </c>
      <c r="N93" s="25">
        <f t="shared" si="45"/>
        <v>151584.51999999999</v>
      </c>
      <c r="O93" s="25">
        <f t="shared" si="45"/>
        <v>171321.3</v>
      </c>
      <c r="P93" s="25">
        <f t="shared" si="45"/>
        <v>159035.66</v>
      </c>
      <c r="Q93" s="25">
        <f t="shared" si="45"/>
        <v>169781</v>
      </c>
      <c r="R93" s="25">
        <f t="shared" si="45"/>
        <v>142418.85</v>
      </c>
      <c r="S93" s="25">
        <f t="shared" si="45"/>
        <v>138283.43000000002</v>
      </c>
      <c r="T93" s="25">
        <f t="shared" si="45"/>
        <v>127753.16</v>
      </c>
      <c r="U93" s="25">
        <f t="shared" si="45"/>
        <v>130304.23</v>
      </c>
      <c r="V93" s="25">
        <f t="shared" si="45"/>
        <v>244374.12999999998</v>
      </c>
      <c r="W93" s="25">
        <f t="shared" si="45"/>
        <v>190499.15000000002</v>
      </c>
      <c r="X93" s="25">
        <f t="shared" si="45"/>
        <v>137286.65000000002</v>
      </c>
      <c r="Y93" s="25">
        <f t="shared" si="45"/>
        <v>110863.74</v>
      </c>
      <c r="Z93" s="25">
        <f t="shared" si="45"/>
        <v>100030.21</v>
      </c>
      <c r="AA93" s="25">
        <f t="shared" si="45"/>
        <v>128166.09999999999</v>
      </c>
    </row>
    <row r="94" spans="1:27" x14ac:dyDescent="0.25">
      <c r="A94" s="102" t="s">
        <v>458</v>
      </c>
      <c r="I94" s="25" t="s">
        <v>522</v>
      </c>
      <c r="J94" s="25">
        <f>SUM(J91:J93)</f>
        <v>230110.39</v>
      </c>
      <c r="K94" s="25">
        <f t="shared" ref="K94:AA94" si="46">SUM(K91:K93)</f>
        <v>241628.81999999998</v>
      </c>
      <c r="L94" s="25">
        <f t="shared" si="46"/>
        <v>288079.93</v>
      </c>
      <c r="M94" s="25">
        <f t="shared" si="46"/>
        <v>262966.77</v>
      </c>
      <c r="N94" s="25">
        <f t="shared" si="46"/>
        <v>283305.56999999995</v>
      </c>
      <c r="O94" s="25">
        <f t="shared" si="46"/>
        <v>271379.27</v>
      </c>
      <c r="P94" s="25">
        <f t="shared" si="46"/>
        <v>255834.78</v>
      </c>
      <c r="Q94" s="25">
        <f t="shared" si="46"/>
        <v>267062.21000000002</v>
      </c>
      <c r="R94" s="25">
        <f t="shared" si="46"/>
        <v>236816.37</v>
      </c>
      <c r="S94" s="25">
        <f t="shared" si="46"/>
        <v>248045.37000000002</v>
      </c>
      <c r="T94" s="25">
        <f t="shared" si="46"/>
        <v>236047.13</v>
      </c>
      <c r="U94" s="25">
        <f t="shared" si="46"/>
        <v>246255.69</v>
      </c>
      <c r="V94" s="25">
        <f t="shared" si="46"/>
        <v>360768.93999999994</v>
      </c>
      <c r="W94" s="25">
        <f t="shared" si="46"/>
        <v>310567.48000000004</v>
      </c>
      <c r="X94" s="25">
        <f t="shared" si="46"/>
        <v>268463.57</v>
      </c>
      <c r="Y94" s="25">
        <f t="shared" si="46"/>
        <v>235110.57</v>
      </c>
      <c r="Z94" s="25">
        <f t="shared" si="46"/>
        <v>223315.65999999997</v>
      </c>
      <c r="AA94" s="25">
        <f t="shared" si="46"/>
        <v>242118.56</v>
      </c>
    </row>
    <row r="97" spans="9:15" x14ac:dyDescent="0.25">
      <c r="I97" s="25" t="s">
        <v>730</v>
      </c>
      <c r="J97" s="25" t="s">
        <v>756</v>
      </c>
      <c r="K97" s="25" t="s">
        <v>757</v>
      </c>
      <c r="L97" s="25" t="s">
        <v>758</v>
      </c>
      <c r="M97" s="25" t="s">
        <v>759</v>
      </c>
      <c r="N97" s="25" t="s">
        <v>760</v>
      </c>
      <c r="O97" s="25" t="s">
        <v>761</v>
      </c>
    </row>
    <row r="98" spans="9:15" x14ac:dyDescent="0.25">
      <c r="I98" s="25" t="s">
        <v>31</v>
      </c>
      <c r="J98" s="25">
        <f>SUM(J91:L91)</f>
        <v>302648.67</v>
      </c>
      <c r="K98" s="25">
        <f>SUM(M91:O91)</f>
        <v>285537.55</v>
      </c>
      <c r="L98" s="25">
        <f>SUM(P91:R91)</f>
        <v>273572.03999999998</v>
      </c>
      <c r="M98" s="25">
        <f>SUM(S91:U91)</f>
        <v>314678.23</v>
      </c>
      <c r="N98" s="25">
        <f>SUM(V91:X91)</f>
        <v>312239.82</v>
      </c>
      <c r="O98" s="25">
        <f>SUM(Y91:AA91)</f>
        <v>288538.08</v>
      </c>
    </row>
    <row r="99" spans="9:15" x14ac:dyDescent="0.25">
      <c r="I99" s="25" t="s">
        <v>29</v>
      </c>
      <c r="J99" s="25">
        <f t="shared" ref="J99:J101" si="47">SUM(J92:L92)</f>
        <v>29990.14</v>
      </c>
      <c r="K99" s="25">
        <f t="shared" ref="K99:K101" si="48">SUM(M92:O92)</f>
        <v>78706.78</v>
      </c>
      <c r="L99" s="25">
        <f t="shared" ref="L99:L101" si="49">SUM(P92:R92)</f>
        <v>14905.81</v>
      </c>
      <c r="M99" s="25">
        <f t="shared" ref="M99:M101" si="50">SUM(S92:U92)</f>
        <v>19329.140000000003</v>
      </c>
      <c r="N99" s="25">
        <f t="shared" ref="N99:N101" si="51">SUM(V92:X92)</f>
        <v>55400.240000000005</v>
      </c>
      <c r="O99" s="25">
        <f t="shared" ref="O99:O101" si="52">SUM(Y92:AA92)</f>
        <v>72946.659999999989</v>
      </c>
    </row>
    <row r="100" spans="9:15" x14ac:dyDescent="0.25">
      <c r="I100" s="25" t="s">
        <v>28</v>
      </c>
      <c r="J100" s="25">
        <f t="shared" si="47"/>
        <v>427180.33</v>
      </c>
      <c r="K100" s="25">
        <f t="shared" si="48"/>
        <v>453407.27999999997</v>
      </c>
      <c r="L100" s="25">
        <f t="shared" si="49"/>
        <v>471235.51</v>
      </c>
      <c r="M100" s="25">
        <f t="shared" si="50"/>
        <v>396340.82</v>
      </c>
      <c r="N100" s="25">
        <f t="shared" si="51"/>
        <v>572159.93000000005</v>
      </c>
      <c r="O100" s="25">
        <f t="shared" si="52"/>
        <v>339060.05</v>
      </c>
    </row>
    <row r="101" spans="9:15" x14ac:dyDescent="0.25">
      <c r="I101" s="25" t="s">
        <v>522</v>
      </c>
      <c r="J101" s="25">
        <f t="shared" si="47"/>
        <v>759819.1399999999</v>
      </c>
      <c r="K101" s="25">
        <f t="shared" si="48"/>
        <v>817651.61</v>
      </c>
      <c r="L101" s="25">
        <f t="shared" si="49"/>
        <v>759713.36</v>
      </c>
      <c r="M101" s="25">
        <f t="shared" si="50"/>
        <v>730348.19</v>
      </c>
      <c r="N101" s="25">
        <f t="shared" si="51"/>
        <v>939799.99</v>
      </c>
      <c r="O101" s="25">
        <f t="shared" si="52"/>
        <v>700544.79</v>
      </c>
    </row>
  </sheetData>
  <phoneticPr fontId="48" type="noConversion"/>
  <conditionalFormatting sqref="L55:U56">
    <cfRule type="colorScale" priority="8">
      <colorScale>
        <cfvo type="min"/>
        <cfvo type="percentile" val="50"/>
        <cfvo type="max"/>
        <color rgb="FFF8696B"/>
        <color rgb="FFFFEB84"/>
        <color rgb="FF63BE7B"/>
      </colorScale>
    </cfRule>
  </conditionalFormatting>
  <conditionalFormatting sqref="L83:U84">
    <cfRule type="colorScale" priority="7">
      <colorScale>
        <cfvo type="min"/>
        <cfvo type="percentile" val="50"/>
        <cfvo type="max"/>
        <color rgb="FFF8696B"/>
        <color rgb="FFFFEB84"/>
        <color rgb="FF63BE7B"/>
      </colorScale>
    </cfRule>
  </conditionalFormatting>
  <conditionalFormatting sqref="L55:X56">
    <cfRule type="colorScale" priority="1">
      <colorScale>
        <cfvo type="min"/>
        <cfvo type="percentile" val="50"/>
        <cfvo type="max"/>
        <color rgb="FFF8696B"/>
        <color rgb="FFFFEB84"/>
        <color rgb="FF63BE7B"/>
      </colorScale>
    </cfRule>
  </conditionalFormatting>
  <conditionalFormatting sqref="L83:X84">
    <cfRule type="colorScale" priority="2">
      <colorScale>
        <cfvo type="min"/>
        <cfvo type="percentile" val="50"/>
        <cfvo type="max"/>
        <color rgb="FFF8696B"/>
        <color rgb="FFFFEB84"/>
        <color rgb="FF63BE7B"/>
      </colorScale>
    </cfRule>
  </conditionalFormatting>
  <conditionalFormatting sqref="S24:X31">
    <cfRule type="colorScale" priority="9">
      <colorScale>
        <cfvo type="min"/>
        <cfvo type="percentile" val="50"/>
        <cfvo type="max"/>
        <color rgb="FFF8696B"/>
        <color rgb="FFFFEB84"/>
        <color rgb="FF63BE7B"/>
      </colorScale>
    </cfRule>
  </conditionalFormatting>
  <conditionalFormatting sqref="X55">
    <cfRule type="colorScale" priority="6">
      <colorScale>
        <cfvo type="min"/>
        <cfvo type="percentile" val="50"/>
        <cfvo type="max"/>
        <color rgb="FFF8696B"/>
        <color rgb="FFFFEB84"/>
        <color rgb="FF63BE7B"/>
      </colorScale>
    </cfRule>
  </conditionalFormatting>
  <conditionalFormatting sqref="X56">
    <cfRule type="colorScale" priority="5">
      <colorScale>
        <cfvo type="min"/>
        <cfvo type="percentile" val="50"/>
        <cfvo type="max"/>
        <color rgb="FFF8696B"/>
        <color rgb="FFFFEB84"/>
        <color rgb="FF63BE7B"/>
      </colorScale>
    </cfRule>
  </conditionalFormatting>
  <conditionalFormatting sqref="X83">
    <cfRule type="colorScale" priority="4">
      <colorScale>
        <cfvo type="min"/>
        <cfvo type="percentile" val="50"/>
        <cfvo type="max"/>
        <color rgb="FFF8696B"/>
        <color rgb="FFFFEB84"/>
        <color rgb="FF63BE7B"/>
      </colorScale>
    </cfRule>
  </conditionalFormatting>
  <conditionalFormatting sqref="X84">
    <cfRule type="colorScale" priority="3">
      <colorScale>
        <cfvo type="min"/>
        <cfvo type="percentile" val="50"/>
        <cfvo type="max"/>
        <color rgb="FFF8696B"/>
        <color rgb="FFFFEB84"/>
        <color rgb="FF63BE7B"/>
      </colorScale>
    </cfRule>
  </conditionalFormatting>
  <pageMargins left="0.7" right="0.7" top="0.75" bottom="0.75" header="0.3" footer="0.3"/>
  <pageSetup paperSize="9" orientation="portrait" r:id="rId1"/>
  <legacyDrawing r:id="rId2"/>
  <tableParts count="3">
    <tablePart r:id="rId3"/>
    <tablePart r:id="rId4"/>
    <tablePart r:id="rId5"/>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76500-9BDC-4EDA-81D5-74ECE86F8482}">
  <dimension ref="A1:D4"/>
  <sheetViews>
    <sheetView workbookViewId="0">
      <selection activeCell="G1" sqref="G1"/>
    </sheetView>
  </sheetViews>
  <sheetFormatPr defaultColWidth="9.140625" defaultRowHeight="15" x14ac:dyDescent="0.25"/>
  <cols>
    <col min="1" max="1" width="32.28515625" style="3" bestFit="1" customWidth="1"/>
    <col min="2" max="2" width="11.5703125" style="3" bestFit="1" customWidth="1"/>
    <col min="3" max="3" width="21.85546875" style="3" bestFit="1" customWidth="1"/>
    <col min="4" max="16384" width="9.140625" style="3"/>
  </cols>
  <sheetData>
    <row r="1" spans="1:4" x14ac:dyDescent="0.25">
      <c r="A1" s="3" t="s">
        <v>152</v>
      </c>
      <c r="B1" s="3" t="s">
        <v>111</v>
      </c>
      <c r="C1" s="3" t="s">
        <v>338</v>
      </c>
      <c r="D1" s="3" t="s">
        <v>454</v>
      </c>
    </row>
    <row r="2" spans="1:4" x14ac:dyDescent="0.25">
      <c r="A2" s="3" t="s">
        <v>112</v>
      </c>
      <c r="B2" s="3">
        <f>330*0.2929</f>
        <v>96.656999999999996</v>
      </c>
      <c r="C2" s="3" t="s">
        <v>423</v>
      </c>
      <c r="D2" s="3">
        <v>2305</v>
      </c>
    </row>
    <row r="3" spans="1:4" x14ac:dyDescent="0.25">
      <c r="A3" s="3" t="s">
        <v>310</v>
      </c>
      <c r="B3" s="3">
        <v>174</v>
      </c>
    </row>
    <row r="4" spans="1:4" x14ac:dyDescent="0.25">
      <c r="A4" s="3" t="s">
        <v>37</v>
      </c>
      <c r="B4" s="3">
        <f>SUM(B2:B3)</f>
        <v>270.65699999999998</v>
      </c>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5385-426E-498D-B2C5-0DE90D8D15E4}">
  <dimension ref="A1:X36"/>
  <sheetViews>
    <sheetView topLeftCell="P1" zoomScaleNormal="100" workbookViewId="0">
      <selection activeCell="S5" sqref="S5:U5"/>
    </sheetView>
  </sheetViews>
  <sheetFormatPr defaultColWidth="9.140625" defaultRowHeight="15" x14ac:dyDescent="0.25"/>
  <cols>
    <col min="1" max="1" width="44.7109375" style="25" customWidth="1"/>
    <col min="2" max="2" width="11.5703125" style="25" customWidth="1"/>
    <col min="3" max="3" width="21.85546875" style="25" customWidth="1"/>
    <col min="4" max="4" width="9.85546875" style="25" customWidth="1"/>
    <col min="5" max="5" width="11.7109375" style="25" customWidth="1"/>
    <col min="6" max="6" width="15.42578125" style="25" customWidth="1"/>
    <col min="7" max="11" width="14.85546875" style="25" bestFit="1" customWidth="1"/>
    <col min="12" max="12" width="15.85546875" style="25" bestFit="1" customWidth="1"/>
    <col min="13" max="21" width="14.85546875" style="25" bestFit="1" customWidth="1"/>
    <col min="22" max="24" width="14.28515625" style="25" bestFit="1" customWidth="1"/>
    <col min="25" max="16384" width="9.140625" style="25"/>
  </cols>
  <sheetData>
    <row r="1" spans="1:24" x14ac:dyDescent="0.25">
      <c r="A1" s="25" t="s">
        <v>35</v>
      </c>
      <c r="B1" s="25" t="s">
        <v>111</v>
      </c>
      <c r="C1" s="25" t="s">
        <v>338</v>
      </c>
      <c r="D1" s="25" t="s">
        <v>454</v>
      </c>
      <c r="E1" s="25" t="s">
        <v>551</v>
      </c>
      <c r="F1" s="25" t="s">
        <v>552</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25" t="s">
        <v>162</v>
      </c>
      <c r="B2" s="25">
        <v>6.9459999999999997</v>
      </c>
      <c r="C2" s="61" t="s">
        <v>467</v>
      </c>
      <c r="D2" s="61">
        <v>2575</v>
      </c>
      <c r="E2" s="61">
        <v>73</v>
      </c>
      <c r="F2" s="61">
        <v>2059</v>
      </c>
      <c r="G2" s="25">
        <v>307.82</v>
      </c>
      <c r="H2" s="25">
        <v>263.79000000000002</v>
      </c>
      <c r="I2" s="25">
        <v>921.54</v>
      </c>
      <c r="J2" s="25">
        <v>1720.61</v>
      </c>
      <c r="K2" s="25">
        <v>614.23</v>
      </c>
      <c r="L2" s="25">
        <v>177.8</v>
      </c>
      <c r="M2" s="25">
        <v>6.17</v>
      </c>
      <c r="N2" s="25">
        <v>22.2</v>
      </c>
      <c r="O2" s="25">
        <v>9.68</v>
      </c>
      <c r="P2" s="25">
        <v>125.15</v>
      </c>
      <c r="Q2" s="25">
        <v>167.57</v>
      </c>
      <c r="R2" s="25">
        <v>167.57</v>
      </c>
      <c r="S2" s="25">
        <v>263.70999999999998</v>
      </c>
      <c r="T2" s="25">
        <v>660.56</v>
      </c>
      <c r="U2" s="25">
        <v>12.38</v>
      </c>
      <c r="V2" s="25">
        <v>1932.06</v>
      </c>
      <c r="W2" s="25">
        <v>935.75</v>
      </c>
      <c r="X2" s="25">
        <v>694.42</v>
      </c>
    </row>
    <row r="3" spans="1:24" x14ac:dyDescent="0.25">
      <c r="A3" s="25" t="s">
        <v>163</v>
      </c>
      <c r="B3" s="25">
        <v>7.49</v>
      </c>
      <c r="C3" s="25" t="s">
        <v>422</v>
      </c>
      <c r="D3" s="25">
        <v>1948</v>
      </c>
      <c r="E3" s="25">
        <v>73</v>
      </c>
      <c r="F3" s="25">
        <v>2056</v>
      </c>
      <c r="G3" s="25">
        <v>5005.22</v>
      </c>
      <c r="H3" s="25">
        <v>4131.8599999999997</v>
      </c>
      <c r="I3" s="25">
        <v>5922.72</v>
      </c>
      <c r="J3" s="25">
        <v>15983.81</v>
      </c>
      <c r="K3" s="25">
        <v>18989.59</v>
      </c>
      <c r="L3" s="25">
        <v>16046.32</v>
      </c>
      <c r="M3" s="25">
        <v>14490.48</v>
      </c>
      <c r="N3" s="25">
        <v>5503.67</v>
      </c>
      <c r="O3" s="25">
        <v>2616.6</v>
      </c>
      <c r="P3" s="25">
        <v>3464.24</v>
      </c>
      <c r="Q3" s="25">
        <v>3951.49</v>
      </c>
      <c r="R3" s="25">
        <v>3951.49</v>
      </c>
      <c r="S3" s="25">
        <v>3940.97</v>
      </c>
      <c r="T3" s="25">
        <v>3674.36</v>
      </c>
      <c r="U3" s="25">
        <v>4015.3</v>
      </c>
      <c r="V3" s="25">
        <v>4307.07</v>
      </c>
      <c r="W3" s="25">
        <v>5166.22</v>
      </c>
      <c r="X3" s="25">
        <v>14601.93</v>
      </c>
    </row>
    <row r="4" spans="1:24" x14ac:dyDescent="0.25">
      <c r="A4" s="25" t="s">
        <v>164</v>
      </c>
      <c r="B4" s="25">
        <v>4.0179999999999998</v>
      </c>
      <c r="E4" s="25">
        <v>73</v>
      </c>
      <c r="F4" s="25">
        <v>2032</v>
      </c>
    </row>
    <row r="5" spans="1:24" x14ac:dyDescent="0.25">
      <c r="A5" s="25" t="s">
        <v>37</v>
      </c>
      <c r="B5" s="25">
        <f>SUM(B2:B4)</f>
        <v>18.454000000000001</v>
      </c>
      <c r="G5" s="25">
        <v>5313.04</v>
      </c>
      <c r="H5" s="25">
        <v>4395.6499999999996</v>
      </c>
      <c r="I5" s="25">
        <v>6844.26</v>
      </c>
      <c r="J5" s="25">
        <v>17704.419999999998</v>
      </c>
      <c r="K5" s="25">
        <v>19603.82</v>
      </c>
      <c r="L5" s="25">
        <v>16224.12</v>
      </c>
      <c r="M5" s="25">
        <v>14496.65</v>
      </c>
      <c r="N5" s="25">
        <v>5525.87</v>
      </c>
      <c r="O5" s="25">
        <v>2626.28</v>
      </c>
      <c r="P5" s="25">
        <v>3589.39</v>
      </c>
      <c r="Q5" s="25">
        <v>4119.0600000000004</v>
      </c>
      <c r="R5" s="25">
        <v>4119.0600000000004</v>
      </c>
      <c r="S5" s="25">
        <v>4204.68</v>
      </c>
      <c r="T5" s="25">
        <v>4334.92</v>
      </c>
      <c r="U5" s="25">
        <v>4027.68</v>
      </c>
      <c r="V5" s="25">
        <v>6239.13</v>
      </c>
      <c r="W5" s="25">
        <v>6101.97</v>
      </c>
      <c r="X5" s="25">
        <v>15296.35</v>
      </c>
    </row>
    <row r="7" spans="1:24" x14ac:dyDescent="0.25">
      <c r="A7" s="34" t="s">
        <v>532</v>
      </c>
      <c r="S7" s="40">
        <f>(S2/G2)-1</f>
        <v>-0.14329803131700347</v>
      </c>
      <c r="T7" s="40">
        <f>(T2/H2)-1</f>
        <v>1.504113120285075</v>
      </c>
      <c r="U7" s="40">
        <f>(U2/I2)-1</f>
        <v>-0.9865659656661675</v>
      </c>
      <c r="V7" s="40">
        <f t="shared" ref="V7:X7" si="0">(V2/J2)-1</f>
        <v>0.12289246255688391</v>
      </c>
      <c r="W7" s="40">
        <f t="shared" si="0"/>
        <v>0.52345212705338384</v>
      </c>
      <c r="X7" s="40">
        <f t="shared" si="0"/>
        <v>2.9056242969628792</v>
      </c>
    </row>
    <row r="8" spans="1:24" x14ac:dyDescent="0.25">
      <c r="A8" s="34" t="s">
        <v>526</v>
      </c>
      <c r="S8" s="40"/>
      <c r="T8" s="40">
        <f>(SUM(S2:T2)/SUM(G2:H2))-1</f>
        <v>0.61695911548083471</v>
      </c>
      <c r="U8" s="40">
        <f>(SUM(S2:U2)/SUM(G2:I2))-1</f>
        <v>-0.37270200582660828</v>
      </c>
      <c r="V8" s="40">
        <f>(SUM(S2:V2)/SUM(G2:J2))-1</f>
        <v>-0.10736644926814698</v>
      </c>
      <c r="W8" s="40">
        <f>(SUM(S2:W2)/SUM(G2:K2))-1</f>
        <v>-6.1468290147048688E-3</v>
      </c>
      <c r="X8" s="40">
        <f>(SUM(S2:X2)/SUM(G2:L2))-1</f>
        <v>0.12309432097039519</v>
      </c>
    </row>
    <row r="9" spans="1:24" x14ac:dyDescent="0.25">
      <c r="A9" s="34" t="s">
        <v>534</v>
      </c>
      <c r="S9" s="40">
        <f>(S3/G3)-1</f>
        <v>-0.21262801635092976</v>
      </c>
      <c r="T9" s="40">
        <f>(T3/H3)-1</f>
        <v>-0.11072495195868193</v>
      </c>
      <c r="U9" s="40">
        <f>(U3/I3)-1</f>
        <v>-0.32205135478293756</v>
      </c>
      <c r="V9" s="40">
        <f t="shared" ref="V9:X9" si="1">(V3/J3)-1</f>
        <v>-0.73053546056916341</v>
      </c>
      <c r="W9" s="40">
        <f t="shared" si="1"/>
        <v>-0.72794462650325786</v>
      </c>
      <c r="X9" s="40">
        <f t="shared" si="1"/>
        <v>-9.0013785092158183E-2</v>
      </c>
    </row>
    <row r="10" spans="1:24" x14ac:dyDescent="0.25">
      <c r="A10" s="34" t="s">
        <v>535</v>
      </c>
      <c r="S10" s="40"/>
      <c r="T10" s="40">
        <f>(SUM(S3:T3)/SUM(G3:H3))-1</f>
        <v>-0.16654664290998877</v>
      </c>
      <c r="U10" s="40">
        <f>(SUM(S3:U3)/SUM(G3:I3))-1</f>
        <v>-0.22770355516009499</v>
      </c>
      <c r="V10" s="40">
        <f>(SUM(S3:V3)/SUM(G3:J3))-1</f>
        <v>-0.48660287898218024</v>
      </c>
      <c r="W10" s="40">
        <f>(SUM(S3:W3)/SUM(G3:K3))-1</f>
        <v>-0.57820167408840528</v>
      </c>
      <c r="X10" s="40">
        <f>(SUM(S3:X3)/SUM(G3:L3))-1</f>
        <v>-0.45965330861967502</v>
      </c>
    </row>
    <row r="11" spans="1:24" ht="30" x14ac:dyDescent="0.25">
      <c r="A11" s="34" t="s">
        <v>529</v>
      </c>
      <c r="S11" s="40">
        <f>(S5/G5)-1</f>
        <v>-0.20861126586662249</v>
      </c>
      <c r="T11" s="40">
        <f>(T5/H5)-1</f>
        <v>-1.3815931659708958E-2</v>
      </c>
      <c r="U11" s="40">
        <f>(U5/I5)-1</f>
        <v>-0.41152440146926039</v>
      </c>
      <c r="V11" s="40">
        <f t="shared" ref="V11:X11" si="2">(V5/J5)-1</f>
        <v>-0.64759478141616611</v>
      </c>
      <c r="W11" s="40">
        <f t="shared" si="2"/>
        <v>-0.6887356647837003</v>
      </c>
      <c r="X11" s="40">
        <f t="shared" si="2"/>
        <v>-5.7184611553662057E-2</v>
      </c>
    </row>
    <row r="12" spans="1:24" x14ac:dyDescent="0.25">
      <c r="A12" s="34" t="s">
        <v>530</v>
      </c>
      <c r="S12" s="40"/>
      <c r="T12" s="40">
        <f>(SUM(S5:T5)/SUM(G5:H5))-1</f>
        <v>-0.12041686365513771</v>
      </c>
      <c r="U12" s="40">
        <f>(SUM(S5:U5)/SUM(G5:I5))-1</f>
        <v>-0.24078306283774176</v>
      </c>
      <c r="V12" s="40">
        <f>(SUM(S5:V5)/SUM(G5:J5))-1</f>
        <v>-0.45102586684266766</v>
      </c>
      <c r="W12" s="40">
        <f>(SUM(S5:W5)/SUM(G5:K5))-1</f>
        <v>-0.537544937273016</v>
      </c>
      <c r="X12" s="40">
        <f>(SUM(S5:X5)/SUM(G5:L5))-1</f>
        <v>-0.42634583481188848</v>
      </c>
    </row>
    <row r="14" spans="1:24" x14ac:dyDescent="0.25">
      <c r="A14" s="34" t="s">
        <v>667</v>
      </c>
      <c r="B14" s="25" t="s">
        <v>683</v>
      </c>
      <c r="C14" s="25" t="s">
        <v>684</v>
      </c>
      <c r="D14" s="25" t="s">
        <v>685</v>
      </c>
      <c r="E14" s="25" t="s">
        <v>686</v>
      </c>
      <c r="F14" s="25" t="s">
        <v>687</v>
      </c>
      <c r="G14" s="41" t="s">
        <v>484</v>
      </c>
      <c r="H14" s="41" t="s">
        <v>485</v>
      </c>
      <c r="I14" s="41" t="s">
        <v>486</v>
      </c>
      <c r="J14" s="41" t="s">
        <v>487</v>
      </c>
      <c r="K14" s="41" t="s">
        <v>488</v>
      </c>
      <c r="L14" s="41" t="s">
        <v>489</v>
      </c>
      <c r="M14" s="41" t="s">
        <v>490</v>
      </c>
      <c r="N14" s="41" t="s">
        <v>491</v>
      </c>
      <c r="O14" s="41" t="s">
        <v>492</v>
      </c>
      <c r="P14" s="41" t="s">
        <v>493</v>
      </c>
      <c r="Q14" s="41" t="s">
        <v>494</v>
      </c>
      <c r="R14" s="41" t="s">
        <v>495</v>
      </c>
      <c r="S14" s="41" t="s">
        <v>496</v>
      </c>
      <c r="T14" s="41" t="s">
        <v>497</v>
      </c>
      <c r="U14" s="25" t="s">
        <v>574</v>
      </c>
      <c r="V14" s="273" t="s">
        <v>731</v>
      </c>
      <c r="W14" s="273" t="s">
        <v>732</v>
      </c>
      <c r="X14" s="273" t="s">
        <v>733</v>
      </c>
    </row>
    <row r="15" spans="1:24" x14ac:dyDescent="0.25">
      <c r="A15" s="25" t="s">
        <v>162</v>
      </c>
      <c r="G15" s="107">
        <f t="shared" ref="G15:X15" si="3">$E$2*G2</f>
        <v>22470.86</v>
      </c>
      <c r="H15" s="107">
        <f t="shared" si="3"/>
        <v>19256.670000000002</v>
      </c>
      <c r="I15" s="107">
        <f t="shared" si="3"/>
        <v>67272.42</v>
      </c>
      <c r="J15" s="107">
        <f t="shared" si="3"/>
        <v>125604.53</v>
      </c>
      <c r="K15" s="107">
        <f t="shared" si="3"/>
        <v>44838.79</v>
      </c>
      <c r="L15" s="107">
        <f t="shared" si="3"/>
        <v>12979.400000000001</v>
      </c>
      <c r="M15" s="107">
        <f t="shared" si="3"/>
        <v>450.40999999999997</v>
      </c>
      <c r="N15" s="107">
        <f t="shared" si="3"/>
        <v>1620.6</v>
      </c>
      <c r="O15" s="107">
        <f t="shared" si="3"/>
        <v>706.64</v>
      </c>
      <c r="P15" s="107">
        <f t="shared" si="3"/>
        <v>9135.9500000000007</v>
      </c>
      <c r="Q15" s="107">
        <f t="shared" si="3"/>
        <v>12232.609999999999</v>
      </c>
      <c r="R15" s="107">
        <f t="shared" si="3"/>
        <v>12232.609999999999</v>
      </c>
      <c r="S15" s="107">
        <f t="shared" si="3"/>
        <v>19250.829999999998</v>
      </c>
      <c r="T15" s="107">
        <f t="shared" si="3"/>
        <v>48220.88</v>
      </c>
      <c r="U15" s="107">
        <f t="shared" si="3"/>
        <v>903.74</v>
      </c>
      <c r="V15" s="107">
        <f t="shared" si="3"/>
        <v>141040.38</v>
      </c>
      <c r="W15" s="107">
        <f t="shared" si="3"/>
        <v>68309.75</v>
      </c>
      <c r="X15" s="107">
        <f t="shared" si="3"/>
        <v>50692.659999999996</v>
      </c>
    </row>
    <row r="16" spans="1:24" x14ac:dyDescent="0.25">
      <c r="A16" s="25" t="s">
        <v>163</v>
      </c>
      <c r="G16" s="107">
        <f t="shared" ref="G16:X16" si="4">$E$3*G3</f>
        <v>365381.06</v>
      </c>
      <c r="H16" s="107">
        <f t="shared" si="4"/>
        <v>301625.77999999997</v>
      </c>
      <c r="I16" s="107">
        <f t="shared" si="4"/>
        <v>432358.56</v>
      </c>
      <c r="J16" s="107">
        <f t="shared" si="4"/>
        <v>1166818.1299999999</v>
      </c>
      <c r="K16" s="107">
        <f t="shared" si="4"/>
        <v>1386240.07</v>
      </c>
      <c r="L16" s="107">
        <f t="shared" si="4"/>
        <v>1171381.3599999999</v>
      </c>
      <c r="M16" s="107">
        <f t="shared" si="4"/>
        <v>1057805.04</v>
      </c>
      <c r="N16" s="107">
        <f t="shared" si="4"/>
        <v>401767.91000000003</v>
      </c>
      <c r="O16" s="107">
        <f t="shared" si="4"/>
        <v>191011.8</v>
      </c>
      <c r="P16" s="107">
        <f t="shared" si="4"/>
        <v>252889.52</v>
      </c>
      <c r="Q16" s="107">
        <f t="shared" si="4"/>
        <v>288458.76999999996</v>
      </c>
      <c r="R16" s="107">
        <f t="shared" si="4"/>
        <v>288458.76999999996</v>
      </c>
      <c r="S16" s="107">
        <f t="shared" si="4"/>
        <v>287690.81</v>
      </c>
      <c r="T16" s="107">
        <f t="shared" si="4"/>
        <v>268228.28000000003</v>
      </c>
      <c r="U16" s="107">
        <f t="shared" si="4"/>
        <v>293116.90000000002</v>
      </c>
      <c r="V16" s="107">
        <f t="shared" si="4"/>
        <v>314416.11</v>
      </c>
      <c r="W16" s="107">
        <f t="shared" si="4"/>
        <v>377134.06</v>
      </c>
      <c r="X16" s="107">
        <f t="shared" si="4"/>
        <v>1065940.8900000001</v>
      </c>
    </row>
    <row r="17" spans="1:24" x14ac:dyDescent="0.25">
      <c r="A17" s="25" t="s">
        <v>37</v>
      </c>
      <c r="G17" s="107">
        <f>SUM(G15:G16)</f>
        <v>387851.92</v>
      </c>
      <c r="H17" s="107">
        <f t="shared" ref="H17:X17" si="5">SUM(H15:H16)</f>
        <v>320882.44999999995</v>
      </c>
      <c r="I17" s="107">
        <f t="shared" si="5"/>
        <v>499630.98</v>
      </c>
      <c r="J17" s="107">
        <f t="shared" si="5"/>
        <v>1292422.6599999999</v>
      </c>
      <c r="K17" s="107">
        <f t="shared" si="5"/>
        <v>1431078.86</v>
      </c>
      <c r="L17" s="107">
        <f t="shared" si="5"/>
        <v>1184360.7599999998</v>
      </c>
      <c r="M17" s="107">
        <f t="shared" si="5"/>
        <v>1058255.45</v>
      </c>
      <c r="N17" s="107">
        <f t="shared" si="5"/>
        <v>403388.51</v>
      </c>
      <c r="O17" s="107">
        <f t="shared" si="5"/>
        <v>191718.44</v>
      </c>
      <c r="P17" s="107">
        <f t="shared" si="5"/>
        <v>262025.47</v>
      </c>
      <c r="Q17" s="107">
        <f t="shared" si="5"/>
        <v>300691.37999999995</v>
      </c>
      <c r="R17" s="107">
        <f t="shared" si="5"/>
        <v>300691.37999999995</v>
      </c>
      <c r="S17" s="107">
        <f t="shared" si="5"/>
        <v>306941.64</v>
      </c>
      <c r="T17" s="107">
        <f t="shared" si="5"/>
        <v>316449.16000000003</v>
      </c>
      <c r="U17" s="107">
        <f t="shared" si="5"/>
        <v>294020.64</v>
      </c>
      <c r="V17" s="107">
        <f t="shared" si="5"/>
        <v>455456.49</v>
      </c>
      <c r="W17" s="107">
        <f t="shared" si="5"/>
        <v>445443.81</v>
      </c>
      <c r="X17" s="107">
        <f t="shared" si="5"/>
        <v>1116633.55</v>
      </c>
    </row>
    <row r="18" spans="1:24" x14ac:dyDescent="0.25">
      <c r="G18" s="107"/>
      <c r="H18" s="107"/>
      <c r="I18" s="107"/>
      <c r="J18" s="107"/>
      <c r="K18" s="107"/>
      <c r="L18" s="107"/>
      <c r="M18" s="107"/>
      <c r="N18" s="107"/>
      <c r="O18" s="107"/>
      <c r="P18" s="107"/>
      <c r="Q18" s="107"/>
      <c r="R18" s="107"/>
      <c r="S18" s="107"/>
      <c r="T18" s="107"/>
      <c r="U18" s="107"/>
    </row>
    <row r="19" spans="1:24" x14ac:dyDescent="0.25">
      <c r="A19" s="34" t="s">
        <v>676</v>
      </c>
      <c r="G19" s="107"/>
      <c r="H19" s="107"/>
      <c r="I19" s="107">
        <f>SUM(G17:I17)</f>
        <v>1208365.3499999999</v>
      </c>
      <c r="J19" s="107"/>
      <c r="K19" s="107"/>
      <c r="L19" s="107">
        <f>SUM(J17:L17)</f>
        <v>3907862.28</v>
      </c>
      <c r="M19" s="107"/>
      <c r="N19" s="107"/>
      <c r="O19" s="107">
        <f>SUM(M17:O17)</f>
        <v>1653362.4</v>
      </c>
      <c r="P19" s="107"/>
      <c r="Q19" s="107"/>
      <c r="R19" s="107">
        <f>SUM(P17:R17)</f>
        <v>863408.23</v>
      </c>
      <c r="S19" s="107"/>
      <c r="T19" s="107"/>
      <c r="U19" s="107">
        <f>SUM(S17:U17)</f>
        <v>917411.44000000006</v>
      </c>
      <c r="X19" s="107">
        <f>SUM(V17:X17)</f>
        <v>2017533.85</v>
      </c>
    </row>
    <row r="20" spans="1:24" x14ac:dyDescent="0.25">
      <c r="A20" s="34" t="s">
        <v>677</v>
      </c>
      <c r="L20" s="40">
        <f>(L19/I19)-1</f>
        <v>2.234007231339429</v>
      </c>
      <c r="M20" s="40"/>
      <c r="N20" s="40"/>
      <c r="O20" s="40">
        <f>(O19/L19)-1</f>
        <v>-0.57691385173379239</v>
      </c>
      <c r="P20" s="40"/>
      <c r="Q20" s="40"/>
      <c r="R20" s="40">
        <f>(R19/O19)-1</f>
        <v>-0.47778646109286138</v>
      </c>
      <c r="S20" s="40"/>
      <c r="T20" s="40"/>
      <c r="U20" s="40">
        <f>(U19/R19)-1</f>
        <v>6.2546554600249937E-2</v>
      </c>
      <c r="X20" s="40">
        <f>(X19/U19)-1</f>
        <v>1.1991592452782145</v>
      </c>
    </row>
    <row r="21" spans="1:24" x14ac:dyDescent="0.25">
      <c r="A21" s="34" t="s">
        <v>678</v>
      </c>
      <c r="L21" s="40"/>
      <c r="M21" s="40"/>
      <c r="N21" s="40"/>
      <c r="O21" s="40"/>
      <c r="P21" s="40"/>
      <c r="Q21" s="40"/>
      <c r="R21" s="40"/>
      <c r="S21" s="40"/>
      <c r="T21" s="40"/>
      <c r="U21" s="40">
        <f>(U19/I19)-1</f>
        <v>-0.24078306283774176</v>
      </c>
      <c r="X21" s="40">
        <f>(X19/L19)-1</f>
        <v>-0.48372442388118131</v>
      </c>
    </row>
    <row r="23" spans="1:24" x14ac:dyDescent="0.25">
      <c r="A23" s="34" t="s">
        <v>681</v>
      </c>
      <c r="B23" s="25" t="s">
        <v>683</v>
      </c>
      <c r="C23" s="25" t="s">
        <v>684</v>
      </c>
      <c r="D23" s="25" t="s">
        <v>685</v>
      </c>
      <c r="E23" s="25" t="s">
        <v>686</v>
      </c>
      <c r="F23" s="25" t="s">
        <v>687</v>
      </c>
      <c r="G23" s="41" t="s">
        <v>484</v>
      </c>
      <c r="H23" s="41" t="s">
        <v>485</v>
      </c>
      <c r="I23" s="41" t="s">
        <v>486</v>
      </c>
      <c r="J23" s="41" t="s">
        <v>487</v>
      </c>
      <c r="K23" s="41" t="s">
        <v>488</v>
      </c>
      <c r="L23" s="41" t="s">
        <v>489</v>
      </c>
      <c r="M23" s="41" t="s">
        <v>490</v>
      </c>
      <c r="N23" s="41" t="s">
        <v>491</v>
      </c>
      <c r="O23" s="41" t="s">
        <v>492</v>
      </c>
      <c r="P23" s="41" t="s">
        <v>493</v>
      </c>
      <c r="Q23" s="41" t="s">
        <v>494</v>
      </c>
      <c r="R23" s="41" t="s">
        <v>495</v>
      </c>
      <c r="S23" s="41" t="s">
        <v>496</v>
      </c>
      <c r="T23" s="41" t="s">
        <v>497</v>
      </c>
      <c r="U23" s="25" t="s">
        <v>574</v>
      </c>
      <c r="V23" s="273" t="s">
        <v>731</v>
      </c>
      <c r="W23" s="273" t="s">
        <v>732</v>
      </c>
      <c r="X23" s="273" t="s">
        <v>733</v>
      </c>
    </row>
    <row r="24" spans="1:24" x14ac:dyDescent="0.25">
      <c r="A24" s="25" t="s">
        <v>162</v>
      </c>
      <c r="G24" s="107">
        <f>G15*G34</f>
        <v>797266.1128</v>
      </c>
      <c r="H24" s="107">
        <f t="shared" ref="H24:X24" si="6">H15*H34</f>
        <v>695550.92040000006</v>
      </c>
      <c r="I24" s="107">
        <f t="shared" si="6"/>
        <v>2491770.4367999998</v>
      </c>
      <c r="J24" s="107">
        <f t="shared" si="6"/>
        <v>4779252.3664999995</v>
      </c>
      <c r="K24" s="107">
        <f t="shared" si="6"/>
        <v>1736157.9487999999</v>
      </c>
      <c r="L24" s="107">
        <f t="shared" si="6"/>
        <v>510998.978</v>
      </c>
      <c r="M24" s="107">
        <f t="shared" si="6"/>
        <v>18079.457399999999</v>
      </c>
      <c r="N24" s="107">
        <f t="shared" si="6"/>
        <v>66039.45</v>
      </c>
      <c r="O24" s="107">
        <f t="shared" si="6"/>
        <v>29141.833600000002</v>
      </c>
      <c r="P24" s="107">
        <f t="shared" si="6"/>
        <v>381425.91250000003</v>
      </c>
      <c r="Q24" s="107">
        <f t="shared" si="6"/>
        <v>516216.14199999999</v>
      </c>
      <c r="R24" s="107">
        <f t="shared" si="6"/>
        <v>521231.51209999993</v>
      </c>
      <c r="S24" s="107">
        <f t="shared" si="6"/>
        <v>830480.80619999988</v>
      </c>
      <c r="T24" s="107">
        <f t="shared" si="6"/>
        <v>2102912.5767999999</v>
      </c>
      <c r="U24" s="107">
        <f t="shared" si="6"/>
        <v>39854.934000000001</v>
      </c>
      <c r="V24" s="107">
        <f t="shared" si="6"/>
        <v>6301684.1784000006</v>
      </c>
      <c r="W24" s="107">
        <f t="shared" si="6"/>
        <v>3098530.26</v>
      </c>
      <c r="X24" s="107">
        <f t="shared" si="6"/>
        <v>2340480.1121999999</v>
      </c>
    </row>
    <row r="25" spans="1:24" x14ac:dyDescent="0.25">
      <c r="A25" s="25" t="s">
        <v>163</v>
      </c>
      <c r="G25" s="107">
        <f>G16*G34</f>
        <v>12963720.008799998</v>
      </c>
      <c r="H25" s="107">
        <f t="shared" ref="H25:X25" si="7">H16*H34</f>
        <v>10894723.173599998</v>
      </c>
      <c r="I25" s="107">
        <f t="shared" si="7"/>
        <v>16014561.0624</v>
      </c>
      <c r="J25" s="107">
        <f t="shared" si="7"/>
        <v>44397429.846499994</v>
      </c>
      <c r="K25" s="107">
        <f t="shared" si="7"/>
        <v>53675215.510399997</v>
      </c>
      <c r="L25" s="107">
        <f t="shared" si="7"/>
        <v>46117284.143199995</v>
      </c>
      <c r="M25" s="107">
        <f t="shared" si="7"/>
        <v>42460294.305600002</v>
      </c>
      <c r="N25" s="107">
        <f t="shared" si="7"/>
        <v>16372042.332500001</v>
      </c>
      <c r="O25" s="107">
        <f t="shared" si="7"/>
        <v>7877326.6320000002</v>
      </c>
      <c r="P25" s="107">
        <f t="shared" si="7"/>
        <v>10558137.459999999</v>
      </c>
      <c r="Q25" s="107">
        <f t="shared" si="7"/>
        <v>12172960.093999999</v>
      </c>
      <c r="R25" s="107">
        <f t="shared" si="7"/>
        <v>12291228.189699998</v>
      </c>
      <c r="S25" s="107">
        <f t="shared" si="7"/>
        <v>12410981.543400001</v>
      </c>
      <c r="T25" s="107">
        <f t="shared" si="7"/>
        <v>11697435.290800001</v>
      </c>
      <c r="U25" s="107">
        <f t="shared" si="7"/>
        <v>12926455.290000001</v>
      </c>
      <c r="V25" s="107">
        <f t="shared" si="7"/>
        <v>14048111.794799998</v>
      </c>
      <c r="W25" s="107">
        <f t="shared" si="7"/>
        <v>17106800.961599998</v>
      </c>
      <c r="X25" s="107">
        <f t="shared" si="7"/>
        <v>49214490.891300008</v>
      </c>
    </row>
    <row r="26" spans="1:24" x14ac:dyDescent="0.25">
      <c r="A26" s="25" t="s">
        <v>37</v>
      </c>
      <c r="G26" s="107">
        <f>SUM(G24:G25)</f>
        <v>13760986.121599998</v>
      </c>
      <c r="H26" s="107">
        <f t="shared" ref="H26:X26" si="8">SUM(H24:H25)</f>
        <v>11590274.093999997</v>
      </c>
      <c r="I26" s="107">
        <f t="shared" si="8"/>
        <v>18506331.499200001</v>
      </c>
      <c r="J26" s="107">
        <f t="shared" si="8"/>
        <v>49176682.212999992</v>
      </c>
      <c r="K26" s="107">
        <f t="shared" si="8"/>
        <v>55411373.459199995</v>
      </c>
      <c r="L26" s="107">
        <f t="shared" si="8"/>
        <v>46628283.121199995</v>
      </c>
      <c r="M26" s="107">
        <f t="shared" si="8"/>
        <v>42478373.763000004</v>
      </c>
      <c r="N26" s="107">
        <f t="shared" si="8"/>
        <v>16438081.782500001</v>
      </c>
      <c r="O26" s="107">
        <f t="shared" si="8"/>
        <v>7906468.4655999998</v>
      </c>
      <c r="P26" s="107">
        <f t="shared" si="8"/>
        <v>10939563.372499999</v>
      </c>
      <c r="Q26" s="107">
        <f t="shared" si="8"/>
        <v>12689176.235999998</v>
      </c>
      <c r="R26" s="107">
        <f t="shared" si="8"/>
        <v>12812459.701799998</v>
      </c>
      <c r="S26" s="107">
        <f t="shared" si="8"/>
        <v>13241462.3496</v>
      </c>
      <c r="T26" s="107">
        <f t="shared" si="8"/>
        <v>13800347.867600001</v>
      </c>
      <c r="U26" s="107">
        <f t="shared" si="8"/>
        <v>12966310.224000001</v>
      </c>
      <c r="V26" s="107">
        <f t="shared" si="8"/>
        <v>20349795.973200001</v>
      </c>
      <c r="W26" s="107">
        <f t="shared" si="8"/>
        <v>20205331.221599996</v>
      </c>
      <c r="X26" s="107">
        <f t="shared" si="8"/>
        <v>51554971.003500007</v>
      </c>
    </row>
    <row r="27" spans="1:24" x14ac:dyDescent="0.25">
      <c r="G27" s="107"/>
      <c r="H27" s="107"/>
      <c r="I27" s="107"/>
      <c r="J27" s="107"/>
      <c r="K27" s="107"/>
      <c r="L27" s="107"/>
      <c r="M27" s="107"/>
      <c r="N27" s="107"/>
      <c r="O27" s="107"/>
      <c r="P27" s="107"/>
      <c r="Q27" s="107"/>
      <c r="R27" s="107"/>
      <c r="S27" s="107"/>
      <c r="T27" s="107"/>
      <c r="U27" s="107"/>
    </row>
    <row r="28" spans="1:24" x14ac:dyDescent="0.25">
      <c r="A28" s="34" t="s">
        <v>676</v>
      </c>
      <c r="G28" s="107"/>
      <c r="H28" s="107"/>
      <c r="I28" s="107">
        <f>SUM(G26:I26)</f>
        <v>43857591.7148</v>
      </c>
      <c r="J28" s="107"/>
      <c r="K28" s="107"/>
      <c r="L28" s="107">
        <f>SUM(J26:L26)</f>
        <v>151216338.79339999</v>
      </c>
      <c r="M28" s="107"/>
      <c r="N28" s="107"/>
      <c r="O28" s="107">
        <f>SUM(M26:O26)</f>
        <v>66822924.011100002</v>
      </c>
      <c r="P28" s="107"/>
      <c r="Q28" s="107"/>
      <c r="R28" s="107">
        <f>SUM(P26:R26)</f>
        <v>36441199.310299993</v>
      </c>
      <c r="S28" s="107"/>
      <c r="T28" s="107"/>
      <c r="U28" s="107">
        <f>SUM(S26:U26)</f>
        <v>40008120.441200003</v>
      </c>
      <c r="X28" s="107">
        <f>SUM(V26:X26)</f>
        <v>92110098.198300004</v>
      </c>
    </row>
    <row r="29" spans="1:24" x14ac:dyDescent="0.25">
      <c r="A29" s="34" t="s">
        <v>677</v>
      </c>
      <c r="L29" s="40">
        <f>(L28/I28)-1</f>
        <v>2.447894261425466</v>
      </c>
      <c r="M29" s="40"/>
      <c r="N29" s="40"/>
      <c r="O29" s="40">
        <f>(O28/L28)-1</f>
        <v>-0.55809719674275993</v>
      </c>
      <c r="P29" s="40"/>
      <c r="Q29" s="40"/>
      <c r="R29" s="40">
        <f>(R28/O28)-1</f>
        <v>-0.45466021055518735</v>
      </c>
      <c r="S29" s="40"/>
      <c r="T29" s="40"/>
      <c r="U29" s="40">
        <f>(U28/R28)-1</f>
        <v>9.7881551606668227E-2</v>
      </c>
      <c r="X29" s="40">
        <f>(X28/U28)-1</f>
        <v>1.3022850656949596</v>
      </c>
    </row>
    <row r="30" spans="1:24" x14ac:dyDescent="0.25">
      <c r="A30" s="34" t="s">
        <v>678</v>
      </c>
      <c r="L30" s="40"/>
      <c r="M30" s="40"/>
      <c r="N30" s="40"/>
      <c r="O30" s="40"/>
      <c r="P30" s="40"/>
      <c r="Q30" s="40"/>
      <c r="R30" s="40"/>
      <c r="S30" s="40"/>
      <c r="T30" s="40"/>
      <c r="U30" s="40">
        <f>(U28/I28)-1</f>
        <v>-8.7772062329199207E-2</v>
      </c>
      <c r="X30" s="40">
        <f>(X28/L28)-1</f>
        <v>-0.39087205170239014</v>
      </c>
    </row>
    <row r="33" spans="1:24" x14ac:dyDescent="0.25">
      <c r="A33" s="2" t="s">
        <v>576</v>
      </c>
      <c r="G33" s="2" t="s">
        <v>484</v>
      </c>
      <c r="H33" s="2" t="s">
        <v>485</v>
      </c>
      <c r="I33" s="2" t="s">
        <v>486</v>
      </c>
      <c r="J33" s="2" t="s">
        <v>487</v>
      </c>
      <c r="K33" s="2" t="s">
        <v>488</v>
      </c>
      <c r="L33" s="2" t="s">
        <v>489</v>
      </c>
      <c r="M33" s="2" t="s">
        <v>490</v>
      </c>
      <c r="N33" s="2" t="s">
        <v>491</v>
      </c>
      <c r="O33" s="2" t="s">
        <v>492</v>
      </c>
      <c r="P33" s="2" t="s">
        <v>493</v>
      </c>
      <c r="Q33" s="2" t="s">
        <v>494</v>
      </c>
      <c r="R33" s="2" t="s">
        <v>495</v>
      </c>
      <c r="S33" s="2" t="s">
        <v>496</v>
      </c>
      <c r="T33" s="2" t="s">
        <v>497</v>
      </c>
      <c r="U33" s="2" t="s">
        <v>574</v>
      </c>
      <c r="V33" s="25" t="s">
        <v>731</v>
      </c>
      <c r="W33" s="25" t="s">
        <v>732</v>
      </c>
      <c r="X33" s="25" t="s">
        <v>733</v>
      </c>
    </row>
    <row r="34" spans="1:24" x14ac:dyDescent="0.25">
      <c r="A34" s="4" t="s">
        <v>573</v>
      </c>
      <c r="G34" s="62" t="str">
        <f>PTF!B5</f>
        <v>35,48</v>
      </c>
      <c r="H34" s="62">
        <f>PTF!C5</f>
        <v>36.119999999999997</v>
      </c>
      <c r="I34" s="62">
        <f>PTF!D5</f>
        <v>37.04</v>
      </c>
      <c r="J34" s="62">
        <f>PTF!E5</f>
        <v>38.049999999999997</v>
      </c>
      <c r="K34" s="62">
        <f>PTF!F5</f>
        <v>38.72</v>
      </c>
      <c r="L34" s="62">
        <f>PTF!G5</f>
        <v>39.369999999999997</v>
      </c>
      <c r="M34" s="62">
        <f>PTF!H5</f>
        <v>40.14</v>
      </c>
      <c r="N34" s="62">
        <f>PTF!I5</f>
        <v>40.75</v>
      </c>
      <c r="O34" s="62">
        <f>PTF!J5</f>
        <v>41.24</v>
      </c>
      <c r="P34" s="62">
        <f>PTF!K5</f>
        <v>41.75</v>
      </c>
      <c r="Q34" s="62">
        <f>PTF!L5</f>
        <v>42.2</v>
      </c>
      <c r="R34" s="62">
        <f>PTF!M5</f>
        <v>42.61</v>
      </c>
      <c r="S34" s="62">
        <f>PTF!N5</f>
        <v>43.14</v>
      </c>
      <c r="T34" s="62">
        <f>PTF!O5</f>
        <v>43.61</v>
      </c>
      <c r="U34" s="62">
        <f>PTF!P5</f>
        <v>44.1</v>
      </c>
      <c r="V34" s="62">
        <f>PTF!Q5</f>
        <v>44.68</v>
      </c>
      <c r="W34" s="62">
        <f>PTF!R5</f>
        <v>45.36</v>
      </c>
      <c r="X34" s="62">
        <f>PTF!S5</f>
        <v>46.17</v>
      </c>
    </row>
    <row r="36" spans="1:24" x14ac:dyDescent="0.25">
      <c r="A36" s="88" t="s">
        <v>165</v>
      </c>
    </row>
  </sheetData>
  <phoneticPr fontId="48" type="noConversion"/>
  <conditionalFormatting sqref="L20:U21">
    <cfRule type="colorScale" priority="8">
      <colorScale>
        <cfvo type="min"/>
        <cfvo type="percentile" val="50"/>
        <cfvo type="max"/>
        <color rgb="FFF8696B"/>
        <color rgb="FFFFEB84"/>
        <color rgb="FF63BE7B"/>
      </colorScale>
    </cfRule>
  </conditionalFormatting>
  <conditionalFormatting sqref="L29:U30">
    <cfRule type="colorScale" priority="7">
      <colorScale>
        <cfvo type="min"/>
        <cfvo type="percentile" val="50"/>
        <cfvo type="max"/>
        <color rgb="FFF8696B"/>
        <color rgb="FFFFEB84"/>
        <color rgb="FF63BE7B"/>
      </colorScale>
    </cfRule>
  </conditionalFormatting>
  <conditionalFormatting sqref="L20:X21">
    <cfRule type="colorScale" priority="4">
      <colorScale>
        <cfvo type="min"/>
        <cfvo type="percentile" val="50"/>
        <cfvo type="max"/>
        <color rgb="FFF8696B"/>
        <color rgb="FFFFEB84"/>
        <color rgb="FF63BE7B"/>
      </colorScale>
    </cfRule>
  </conditionalFormatting>
  <conditionalFormatting sqref="L29:X30">
    <cfRule type="colorScale" priority="1">
      <colorScale>
        <cfvo type="min"/>
        <cfvo type="percentile" val="50"/>
        <cfvo type="max"/>
        <color rgb="FFF8696B"/>
        <color rgb="FFFFEB84"/>
        <color rgb="FF63BE7B"/>
      </colorScale>
    </cfRule>
  </conditionalFormatting>
  <conditionalFormatting sqref="S7:X12">
    <cfRule type="colorScale" priority="9">
      <colorScale>
        <cfvo type="min"/>
        <cfvo type="percentile" val="50"/>
        <cfvo type="max"/>
        <color rgb="FFF8696B"/>
        <color rgb="FFFFEB84"/>
        <color rgb="FF63BE7B"/>
      </colorScale>
    </cfRule>
  </conditionalFormatting>
  <conditionalFormatting sqref="X20">
    <cfRule type="colorScale" priority="6">
      <colorScale>
        <cfvo type="min"/>
        <cfvo type="percentile" val="50"/>
        <cfvo type="max"/>
        <color rgb="FFF8696B"/>
        <color rgb="FFFFEB84"/>
        <color rgb="FF63BE7B"/>
      </colorScale>
    </cfRule>
  </conditionalFormatting>
  <conditionalFormatting sqref="X21">
    <cfRule type="colorScale" priority="5">
      <colorScale>
        <cfvo type="min"/>
        <cfvo type="percentile" val="50"/>
        <cfvo type="max"/>
        <color rgb="FFF8696B"/>
        <color rgb="FFFFEB84"/>
        <color rgb="FF63BE7B"/>
      </colorScale>
    </cfRule>
  </conditionalFormatting>
  <conditionalFormatting sqref="X29">
    <cfRule type="colorScale" priority="3">
      <colorScale>
        <cfvo type="min"/>
        <cfvo type="percentile" val="50"/>
        <cfvo type="max"/>
        <color rgb="FFF8696B"/>
        <color rgb="FFFFEB84"/>
        <color rgb="FF63BE7B"/>
      </colorScale>
    </cfRule>
  </conditionalFormatting>
  <conditionalFormatting sqref="X30">
    <cfRule type="colorScale" priority="2">
      <colorScale>
        <cfvo type="min"/>
        <cfvo type="percentile" val="50"/>
        <cfvo type="max"/>
        <color rgb="FFF8696B"/>
        <color rgb="FFFFEB84"/>
        <color rgb="FF63BE7B"/>
      </colorScale>
    </cfRule>
  </conditionalFormatting>
  <pageMargins left="0.7" right="0.7" top="0.75" bottom="0.75" header="0.3" footer="0.3"/>
  <tableParts count="3">
    <tablePart r:id="rId1"/>
    <tablePart r:id="rId2"/>
    <tablePart r:id="rId3"/>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743EE-88B9-4DAF-94C1-5D786FAB0772}">
  <dimension ref="A1:R9"/>
  <sheetViews>
    <sheetView workbookViewId="0">
      <selection activeCell="V27" sqref="V27"/>
    </sheetView>
  </sheetViews>
  <sheetFormatPr defaultColWidth="9.140625" defaultRowHeight="15" x14ac:dyDescent="0.25"/>
  <cols>
    <col min="1" max="1" width="15.42578125" style="25" bestFit="1" customWidth="1"/>
    <col min="2" max="2" width="11.5703125" style="25" bestFit="1" customWidth="1"/>
    <col min="3" max="3" width="21.85546875" style="25" bestFit="1" customWidth="1"/>
    <col min="4" max="12" width="9.140625" style="25"/>
    <col min="13" max="13" width="10" style="25" bestFit="1" customWidth="1"/>
    <col min="14" max="16384" width="9.140625" style="25"/>
  </cols>
  <sheetData>
    <row r="1" spans="1:18" x14ac:dyDescent="0.25">
      <c r="A1" s="25" t="s">
        <v>35</v>
      </c>
      <c r="B1" s="25" t="s">
        <v>111</v>
      </c>
      <c r="C1" s="25" t="s">
        <v>338</v>
      </c>
      <c r="D1" s="25" t="s">
        <v>454</v>
      </c>
      <c r="E1" s="25" t="s">
        <v>484</v>
      </c>
      <c r="F1" s="25" t="s">
        <v>485</v>
      </c>
      <c r="G1" s="25" t="s">
        <v>486</v>
      </c>
      <c r="H1" s="25" t="s">
        <v>487</v>
      </c>
      <c r="I1" s="25" t="s">
        <v>488</v>
      </c>
      <c r="J1" s="25" t="s">
        <v>489</v>
      </c>
      <c r="K1" s="25" t="s">
        <v>490</v>
      </c>
      <c r="L1" s="25" t="s">
        <v>491</v>
      </c>
      <c r="M1" s="25" t="s">
        <v>492</v>
      </c>
      <c r="N1" s="25" t="s">
        <v>493</v>
      </c>
      <c r="O1" s="25" t="s">
        <v>494</v>
      </c>
      <c r="P1" s="25" t="s">
        <v>495</v>
      </c>
      <c r="Q1" s="25" t="s">
        <v>496</v>
      </c>
      <c r="R1" s="25" t="s">
        <v>497</v>
      </c>
    </row>
    <row r="2" spans="1:18" x14ac:dyDescent="0.25">
      <c r="A2" s="25" t="s">
        <v>326</v>
      </c>
      <c r="B2" s="25">
        <f>100*0.9301</f>
        <v>93.01</v>
      </c>
      <c r="C2" s="25" t="s">
        <v>421</v>
      </c>
      <c r="D2" s="25">
        <v>3154</v>
      </c>
      <c r="L2" s="25">
        <v>8025.9</v>
      </c>
      <c r="M2" s="25">
        <v>14387.42</v>
      </c>
      <c r="N2" s="25">
        <v>13681.31</v>
      </c>
      <c r="O2" s="25">
        <v>13313.03</v>
      </c>
      <c r="P2" s="25">
        <v>8101.95</v>
      </c>
      <c r="Q2" s="25">
        <v>9871.85</v>
      </c>
      <c r="R2" s="25">
        <v>10370.36</v>
      </c>
    </row>
    <row r="3" spans="1:18" x14ac:dyDescent="0.25">
      <c r="A3" s="25" t="s">
        <v>37</v>
      </c>
      <c r="B3" s="25">
        <f>SUM(B2)</f>
        <v>93.01</v>
      </c>
      <c r="L3" s="25">
        <v>8025.9</v>
      </c>
      <c r="M3" s="25">
        <v>14387.42</v>
      </c>
      <c r="N3" s="25">
        <v>13681.31</v>
      </c>
      <c r="O3" s="25">
        <v>13313.03</v>
      </c>
      <c r="P3" s="25">
        <v>8101.95</v>
      </c>
      <c r="Q3" s="25">
        <v>9871.85</v>
      </c>
      <c r="R3" s="25">
        <v>10370.36</v>
      </c>
    </row>
    <row r="7" spans="1:18" x14ac:dyDescent="0.25">
      <c r="A7" s="33" t="s">
        <v>44</v>
      </c>
    </row>
    <row r="8" spans="1:18" x14ac:dyDescent="0.25">
      <c r="A8" s="25" t="s">
        <v>327</v>
      </c>
    </row>
    <row r="9" spans="1:18" x14ac:dyDescent="0.25">
      <c r="A9" s="25" t="s">
        <v>328</v>
      </c>
    </row>
  </sheetData>
  <pageMargins left="0.7" right="0.7" top="0.75" bottom="0.75" header="0.3" footer="0.3"/>
  <pageSetup paperSize="9"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F4D2B-736C-4550-866D-017A21F40556}">
  <dimension ref="A1:AA66"/>
  <sheetViews>
    <sheetView topLeftCell="A21" zoomScale="85" zoomScaleNormal="85" workbookViewId="0">
      <selection activeCell="A5" sqref="A5"/>
    </sheetView>
  </sheetViews>
  <sheetFormatPr defaultColWidth="9.140625" defaultRowHeight="15" x14ac:dyDescent="0.25"/>
  <cols>
    <col min="1" max="1" width="45.7109375" style="25" customWidth="1"/>
    <col min="2" max="2" width="11.7109375" style="25" customWidth="1"/>
    <col min="3" max="3" width="18" style="25" customWidth="1"/>
    <col min="4" max="4" width="8.85546875" style="25" customWidth="1"/>
    <col min="5" max="5" width="11.140625" style="25" customWidth="1"/>
    <col min="6" max="6" width="14.5703125" style="25" customWidth="1"/>
    <col min="7" max="11" width="15.85546875" style="25" bestFit="1" customWidth="1"/>
    <col min="12" max="12" width="17.7109375" style="25" customWidth="1"/>
    <col min="13" max="14" width="15.85546875" style="25" bestFit="1" customWidth="1"/>
    <col min="15" max="15" width="15.5703125" style="25" bestFit="1" customWidth="1"/>
    <col min="16" max="17" width="15.85546875" style="25" bestFit="1" customWidth="1"/>
    <col min="18" max="18" width="15.5703125" style="25" bestFit="1" customWidth="1"/>
    <col min="19" max="21" width="15.85546875" style="25" bestFit="1" customWidth="1"/>
    <col min="22" max="24" width="15.28515625" style="25" bestFit="1" customWidth="1"/>
    <col min="25" max="16384" width="9.140625" style="25"/>
  </cols>
  <sheetData>
    <row r="1" spans="1:24" x14ac:dyDescent="0.25">
      <c r="A1" s="25" t="s">
        <v>35</v>
      </c>
      <c r="B1" s="25" t="s">
        <v>111</v>
      </c>
      <c r="C1" s="25" t="s">
        <v>338</v>
      </c>
      <c r="D1" s="25" t="s">
        <v>454</v>
      </c>
      <c r="E1" s="25" t="s">
        <v>551</v>
      </c>
      <c r="F1" s="25" t="s">
        <v>552</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25" t="s">
        <v>118</v>
      </c>
      <c r="B2" s="25">
        <v>50.1</v>
      </c>
      <c r="C2" s="25" t="s">
        <v>411</v>
      </c>
      <c r="D2" s="25">
        <v>2226</v>
      </c>
      <c r="E2" s="25">
        <v>73</v>
      </c>
      <c r="F2" s="25">
        <v>2027</v>
      </c>
      <c r="G2" s="25">
        <v>7493.24</v>
      </c>
      <c r="H2" s="25">
        <v>2308.91</v>
      </c>
      <c r="I2" s="25">
        <v>9654.4500000000007</v>
      </c>
      <c r="J2" s="25">
        <v>5229.74</v>
      </c>
      <c r="K2" s="25">
        <v>5394.95</v>
      </c>
      <c r="L2" s="25">
        <v>7109.58</v>
      </c>
      <c r="M2" s="25">
        <v>7580.69</v>
      </c>
      <c r="N2" s="25">
        <v>11871.04</v>
      </c>
      <c r="O2" s="25">
        <v>7568.7</v>
      </c>
      <c r="P2" s="25">
        <v>6322.74</v>
      </c>
      <c r="Q2" s="25">
        <v>6669.55</v>
      </c>
      <c r="R2" s="25">
        <v>5186.7700000000004</v>
      </c>
      <c r="S2" s="25">
        <v>14781.04</v>
      </c>
      <c r="T2" s="25">
        <v>12521.21</v>
      </c>
      <c r="U2" s="25">
        <v>9170.4699999999993</v>
      </c>
      <c r="V2" s="245">
        <v>5303.91</v>
      </c>
      <c r="W2" s="25">
        <v>8421.42</v>
      </c>
      <c r="X2" s="25">
        <v>10951.01</v>
      </c>
    </row>
    <row r="3" spans="1:24" x14ac:dyDescent="0.25">
      <c r="A3" s="25" t="s">
        <v>119</v>
      </c>
      <c r="B3" s="25">
        <v>59.6</v>
      </c>
      <c r="C3" s="25" t="s">
        <v>397</v>
      </c>
      <c r="D3" s="25">
        <v>2225</v>
      </c>
      <c r="E3" s="25">
        <v>73</v>
      </c>
      <c r="F3" s="25">
        <v>2027</v>
      </c>
      <c r="G3" s="25">
        <v>9225.99</v>
      </c>
      <c r="H3" s="25">
        <v>2729.17</v>
      </c>
      <c r="I3" s="25">
        <v>10190.99</v>
      </c>
      <c r="J3" s="25">
        <v>5965.78</v>
      </c>
      <c r="K3" s="25">
        <v>5703.98</v>
      </c>
      <c r="L3" s="25">
        <v>8859.4699999999993</v>
      </c>
      <c r="M3" s="25">
        <v>9680.68</v>
      </c>
      <c r="N3" s="25">
        <v>14365.85</v>
      </c>
      <c r="O3" s="25">
        <v>8719.57</v>
      </c>
      <c r="P3" s="25">
        <v>7230.2</v>
      </c>
      <c r="Q3" s="25">
        <v>10047.66</v>
      </c>
      <c r="R3" s="25">
        <v>6661.01</v>
      </c>
      <c r="S3" s="25">
        <v>16803.12</v>
      </c>
      <c r="T3" s="25">
        <v>13488.13</v>
      </c>
      <c r="U3" s="25">
        <v>10956.96</v>
      </c>
      <c r="V3" s="245">
        <v>6789.05</v>
      </c>
      <c r="W3" s="25">
        <v>9893.67</v>
      </c>
      <c r="X3" s="25">
        <v>14583.23</v>
      </c>
    </row>
    <row r="4" spans="1:24" x14ac:dyDescent="0.25">
      <c r="A4" s="25" t="s">
        <v>120</v>
      </c>
      <c r="B4" s="25">
        <v>149.1</v>
      </c>
      <c r="C4" s="25" t="s">
        <v>398</v>
      </c>
      <c r="D4" s="25">
        <v>2478</v>
      </c>
      <c r="E4" s="25">
        <v>73</v>
      </c>
      <c r="F4" s="25">
        <v>2030</v>
      </c>
      <c r="G4" s="25">
        <v>37855.769999999997</v>
      </c>
      <c r="H4" s="25">
        <v>41080.14</v>
      </c>
      <c r="I4" s="25">
        <v>56824.4</v>
      </c>
      <c r="J4" s="25">
        <v>44374.74</v>
      </c>
      <c r="K4" s="25">
        <v>51214.13</v>
      </c>
      <c r="L4" s="25">
        <v>63557.27</v>
      </c>
      <c r="M4" s="25">
        <v>53835.59</v>
      </c>
      <c r="N4" s="25">
        <v>60022.82</v>
      </c>
      <c r="O4" s="25">
        <v>48876.7</v>
      </c>
      <c r="P4" s="25">
        <v>27448.1</v>
      </c>
      <c r="Q4" s="25">
        <v>31912.32</v>
      </c>
      <c r="R4" s="25">
        <v>23330.16</v>
      </c>
      <c r="S4" s="25">
        <v>58674.46</v>
      </c>
      <c r="T4" s="25">
        <v>43546.720000000001</v>
      </c>
      <c r="U4" s="25">
        <v>41714.839999999997</v>
      </c>
      <c r="V4" s="245">
        <v>34944.910000000003</v>
      </c>
      <c r="W4" s="25">
        <v>36223.57</v>
      </c>
      <c r="X4" s="25">
        <v>49039.72</v>
      </c>
    </row>
    <row r="5" spans="1:24" x14ac:dyDescent="0.25">
      <c r="A5" s="25" t="s">
        <v>121</v>
      </c>
      <c r="B5" s="25">
        <v>77.900000000000006</v>
      </c>
      <c r="E5" s="25">
        <v>73</v>
      </c>
      <c r="F5" s="25">
        <v>2030</v>
      </c>
      <c r="V5" s="245"/>
    </row>
    <row r="6" spans="1:24" x14ac:dyDescent="0.25">
      <c r="A6" s="25" t="s">
        <v>122</v>
      </c>
      <c r="B6" s="25">
        <v>4.4000000000000004</v>
      </c>
      <c r="E6" s="25">
        <v>73</v>
      </c>
      <c r="F6" s="25">
        <v>2026</v>
      </c>
      <c r="V6" s="245"/>
    </row>
    <row r="7" spans="1:24" x14ac:dyDescent="0.25">
      <c r="A7" s="25" t="s">
        <v>123</v>
      </c>
      <c r="B7" s="25">
        <v>21.5</v>
      </c>
      <c r="C7" s="25" t="s">
        <v>399</v>
      </c>
      <c r="D7" s="25">
        <v>2312</v>
      </c>
      <c r="E7" s="25">
        <v>73</v>
      </c>
      <c r="F7" s="25">
        <v>2026</v>
      </c>
      <c r="G7" s="25">
        <v>1863.93</v>
      </c>
      <c r="H7" s="25">
        <v>1690.63</v>
      </c>
      <c r="I7" s="25">
        <v>3925.34</v>
      </c>
      <c r="J7" s="25">
        <v>5018.88</v>
      </c>
      <c r="K7" s="25">
        <v>3280.5</v>
      </c>
      <c r="L7" s="25">
        <v>1484.42</v>
      </c>
      <c r="M7" s="25">
        <v>1590.42</v>
      </c>
      <c r="N7" s="25">
        <v>1668.55</v>
      </c>
      <c r="O7" s="25">
        <v>2326.14</v>
      </c>
      <c r="P7" s="25">
        <v>2289.36</v>
      </c>
      <c r="Q7" s="25">
        <v>1711.53</v>
      </c>
      <c r="R7" s="25">
        <v>1712.73</v>
      </c>
      <c r="S7" s="25">
        <v>2919.58</v>
      </c>
      <c r="T7" s="25">
        <v>9176.01</v>
      </c>
      <c r="U7" s="25">
        <v>7690.56</v>
      </c>
      <c r="V7" s="245">
        <v>9537.9</v>
      </c>
      <c r="W7" s="25">
        <v>11246.92</v>
      </c>
      <c r="X7" s="25">
        <v>11335.07</v>
      </c>
    </row>
    <row r="8" spans="1:24" x14ac:dyDescent="0.25">
      <c r="A8" s="25" t="s">
        <v>37</v>
      </c>
      <c r="B8" s="25">
        <f>SUM(B2:B7)</f>
        <v>362.6</v>
      </c>
      <c r="G8" s="25">
        <v>56438.93</v>
      </c>
      <c r="H8" s="25">
        <v>47808.85</v>
      </c>
      <c r="I8" s="25">
        <v>80595.179999999993</v>
      </c>
      <c r="J8" s="25">
        <v>60589.14</v>
      </c>
      <c r="K8" s="25">
        <v>65593.56</v>
      </c>
      <c r="L8" s="25">
        <v>81010.740000000005</v>
      </c>
      <c r="M8" s="25">
        <v>72687.38</v>
      </c>
      <c r="N8" s="25">
        <v>87928.26</v>
      </c>
      <c r="O8" s="25">
        <v>67491.11</v>
      </c>
      <c r="P8" s="25">
        <v>43290.400000000001</v>
      </c>
      <c r="Q8" s="25">
        <v>50341.06</v>
      </c>
      <c r="R8" s="25">
        <v>36890.67</v>
      </c>
      <c r="S8" s="25">
        <v>93178.2</v>
      </c>
      <c r="T8" s="25">
        <v>78732.070000000007</v>
      </c>
      <c r="U8" s="25">
        <v>69532.83</v>
      </c>
      <c r="V8" s="245">
        <v>56575.77</v>
      </c>
      <c r="W8" s="25">
        <v>65785.48</v>
      </c>
      <c r="X8" s="25">
        <v>85909.03</v>
      </c>
    </row>
    <row r="11" spans="1:24" x14ac:dyDescent="0.25">
      <c r="A11" s="34" t="s">
        <v>531</v>
      </c>
      <c r="S11" s="40">
        <f>(SUM(S2:S4)/SUM(G2:G4))-1</f>
        <v>0.65384553366926235</v>
      </c>
      <c r="T11" s="40">
        <f>(SUM(T2:T4)/SUM(H2:H4))-1</f>
        <v>0.5082121556295971</v>
      </c>
      <c r="U11" s="40">
        <f>(SUM(U2:U4)/SUM(I2:I4))-1</f>
        <v>-0.19339508208181988</v>
      </c>
      <c r="V11" s="40">
        <f t="shared" ref="V11:X11" si="0">(SUM(V2:V4)/SUM(J2:J4))-1</f>
        <v>-0.15354238040275492</v>
      </c>
      <c r="W11" s="40">
        <f t="shared" si="0"/>
        <v>-0.12476357283689798</v>
      </c>
      <c r="X11" s="40">
        <f t="shared" si="0"/>
        <v>-6.2273219734045315E-2</v>
      </c>
    </row>
    <row r="12" spans="1:24" x14ac:dyDescent="0.25">
      <c r="A12" s="34" t="s">
        <v>549</v>
      </c>
      <c r="S12" s="40"/>
      <c r="T12" s="40">
        <f>(SUM(S2:T4)/SUM(G2:H4))-1</f>
        <v>0.58714439760690929</v>
      </c>
      <c r="U12" s="40">
        <f>(SUM(S2:U4)/SUM(G2:I4))-1</f>
        <v>0.24973571159631547</v>
      </c>
      <c r="V12" s="40">
        <f>(SUM(S2:V4)/SUM(G2:J4))-1</f>
        <v>0.1535267689482982</v>
      </c>
      <c r="W12" s="40">
        <f>(SUM(S2:W4)/SUM(G2:K4))-1</f>
        <v>9.479235613320669E-2</v>
      </c>
      <c r="X12" s="40">
        <f>(SUM(S2:X4)/SUM(G2:L4))-1</f>
        <v>6.1463228244747148E-2</v>
      </c>
    </row>
    <row r="13" spans="1:24" x14ac:dyDescent="0.25">
      <c r="A13" s="34" t="s">
        <v>532</v>
      </c>
      <c r="S13" s="40">
        <f>(S7/G7)-1</f>
        <v>0.56635710568529918</v>
      </c>
      <c r="T13" s="40">
        <f>(T7/H7)-1</f>
        <v>4.4275684212394193</v>
      </c>
      <c r="U13" s="40">
        <f>(U7/I7)-1</f>
        <v>0.95920862906143167</v>
      </c>
      <c r="V13" s="40">
        <f t="shared" ref="V13:X13" si="1">(V7/J7)-1</f>
        <v>0.90040407421576107</v>
      </c>
      <c r="W13" s="40">
        <f t="shared" si="1"/>
        <v>2.4284163999390338</v>
      </c>
      <c r="X13" s="40">
        <f t="shared" si="1"/>
        <v>6.6360261920480719</v>
      </c>
    </row>
    <row r="14" spans="1:24" x14ac:dyDescent="0.25">
      <c r="A14" s="34" t="s">
        <v>526</v>
      </c>
      <c r="S14" s="40"/>
      <c r="T14" s="40">
        <f>(SUM(S7:T7)/SUM(G7:H7))-1</f>
        <v>2.4028374819949581</v>
      </c>
      <c r="U14" s="40">
        <f>(SUM(S7:U7)/SUM(G7:I7))-1</f>
        <v>1.6452425834569979</v>
      </c>
      <c r="V14" s="40">
        <f>(SUM(S7:V7)/SUM(G7:J7))-1</f>
        <v>1.3461529845312903</v>
      </c>
      <c r="W14" s="40">
        <f>(SUM(S7:W7)/SUM(G7:K7))-1</f>
        <v>1.571154704143662</v>
      </c>
      <c r="X14" s="40">
        <f>(SUM(S7:X7)/SUM(G7:L7))-1</f>
        <v>2.0066579006817773</v>
      </c>
    </row>
    <row r="15" spans="1:24" ht="30" x14ac:dyDescent="0.25">
      <c r="A15" s="34" t="s">
        <v>529</v>
      </c>
      <c r="S15" s="40">
        <f>(S8/G8)-1</f>
        <v>0.6509561751082098</v>
      </c>
      <c r="T15" s="40">
        <f>(T8/H8)-1</f>
        <v>0.64680953421803733</v>
      </c>
      <c r="U15" s="40">
        <f>(U8/I8)-1</f>
        <v>-0.13725820824520762</v>
      </c>
      <c r="V15" s="40">
        <f t="shared" ref="V15:X15" si="2">(V8/J8)-1</f>
        <v>-6.6239098293852661E-2</v>
      </c>
      <c r="W15" s="40">
        <f t="shared" si="2"/>
        <v>2.9258969935463952E-3</v>
      </c>
      <c r="X15" s="40">
        <f t="shared" si="2"/>
        <v>6.0464698878198053E-2</v>
      </c>
    </row>
    <row r="16" spans="1:24" x14ac:dyDescent="0.25">
      <c r="A16" s="34" t="s">
        <v>530</v>
      </c>
      <c r="S16" s="40"/>
      <c r="T16" s="40">
        <f>(SUM(S8:T8)/SUM(G8:H8))-1</f>
        <v>0.64905449305491225</v>
      </c>
      <c r="U16" s="40">
        <f>(SUM(S8:U8)/SUM(G8:I8))-1</f>
        <v>0.30620663075293786</v>
      </c>
      <c r="V16" s="40">
        <f>(SUM(S8:V8)/SUM(G8:J8))-1</f>
        <v>0.21426198936487961</v>
      </c>
      <c r="W16" s="40">
        <f>(SUM(S8:W8)/SUM(G8:K8))-1</f>
        <v>0.16969239772692735</v>
      </c>
      <c r="X16" s="40">
        <f>(SUM(S8:X8)/SUM(G8:L8))-1</f>
        <v>0.14712149177984513</v>
      </c>
    </row>
    <row r="19" spans="1:24" x14ac:dyDescent="0.25">
      <c r="A19" s="113" t="s">
        <v>667</v>
      </c>
      <c r="B19" s="107" t="s">
        <v>683</v>
      </c>
      <c r="C19" s="107" t="s">
        <v>684</v>
      </c>
      <c r="D19" s="107" t="s">
        <v>685</v>
      </c>
      <c r="E19" s="107" t="s">
        <v>686</v>
      </c>
      <c r="F19" s="107" t="s">
        <v>687</v>
      </c>
      <c r="G19" s="122" t="s">
        <v>484</v>
      </c>
      <c r="H19" s="122" t="s">
        <v>485</v>
      </c>
      <c r="I19" s="122" t="s">
        <v>486</v>
      </c>
      <c r="J19" s="122" t="s">
        <v>487</v>
      </c>
      <c r="K19" s="122" t="s">
        <v>488</v>
      </c>
      <c r="L19" s="122" t="s">
        <v>489</v>
      </c>
      <c r="M19" s="122" t="s">
        <v>490</v>
      </c>
      <c r="N19" s="122" t="s">
        <v>491</v>
      </c>
      <c r="O19" s="122" t="s">
        <v>492</v>
      </c>
      <c r="P19" s="122" t="s">
        <v>493</v>
      </c>
      <c r="Q19" s="122" t="s">
        <v>494</v>
      </c>
      <c r="R19" s="122" t="s">
        <v>495</v>
      </c>
      <c r="S19" s="122" t="s">
        <v>496</v>
      </c>
      <c r="T19" s="122" t="s">
        <v>497</v>
      </c>
      <c r="U19" s="107" t="s">
        <v>574</v>
      </c>
      <c r="V19" s="251" t="s">
        <v>731</v>
      </c>
      <c r="W19" s="251" t="s">
        <v>732</v>
      </c>
      <c r="X19" s="274" t="s">
        <v>733</v>
      </c>
    </row>
    <row r="20" spans="1:24" x14ac:dyDescent="0.25">
      <c r="A20" s="107" t="s">
        <v>118</v>
      </c>
      <c r="B20" s="107"/>
      <c r="C20" s="107"/>
      <c r="D20" s="107"/>
      <c r="E20" s="107"/>
      <c r="F20" s="107"/>
      <c r="G20" s="107">
        <f t="shared" ref="G20:X20" si="3">$E$2*G2</f>
        <v>547006.52</v>
      </c>
      <c r="H20" s="107">
        <f t="shared" si="3"/>
        <v>168550.43</v>
      </c>
      <c r="I20" s="107">
        <f t="shared" si="3"/>
        <v>704774.85000000009</v>
      </c>
      <c r="J20" s="107">
        <f t="shared" si="3"/>
        <v>381771.01999999996</v>
      </c>
      <c r="K20" s="107">
        <f t="shared" si="3"/>
        <v>393831.35</v>
      </c>
      <c r="L20" s="107">
        <f t="shared" si="3"/>
        <v>518999.33999999997</v>
      </c>
      <c r="M20" s="107">
        <f t="shared" si="3"/>
        <v>553390.37</v>
      </c>
      <c r="N20" s="107">
        <f t="shared" si="3"/>
        <v>866585.92</v>
      </c>
      <c r="O20" s="107">
        <f t="shared" si="3"/>
        <v>552515.1</v>
      </c>
      <c r="P20" s="107">
        <f t="shared" si="3"/>
        <v>461560.01999999996</v>
      </c>
      <c r="Q20" s="107">
        <f t="shared" si="3"/>
        <v>486877.15</v>
      </c>
      <c r="R20" s="107">
        <f t="shared" si="3"/>
        <v>378634.21</v>
      </c>
      <c r="S20" s="107">
        <f t="shared" si="3"/>
        <v>1079015.9200000002</v>
      </c>
      <c r="T20" s="107">
        <f t="shared" si="3"/>
        <v>914048.33</v>
      </c>
      <c r="U20" s="107">
        <f t="shared" si="3"/>
        <v>669444.30999999994</v>
      </c>
      <c r="V20" s="107">
        <f>$E$2*V2</f>
        <v>387185.43</v>
      </c>
      <c r="W20" s="107">
        <f t="shared" si="3"/>
        <v>614763.66</v>
      </c>
      <c r="X20" s="107">
        <f t="shared" si="3"/>
        <v>799423.73</v>
      </c>
    </row>
    <row r="21" spans="1:24" x14ac:dyDescent="0.25">
      <c r="A21" s="107" t="s">
        <v>119</v>
      </c>
      <c r="B21" s="107"/>
      <c r="C21" s="107"/>
      <c r="D21" s="107"/>
      <c r="E21" s="107"/>
      <c r="F21" s="107"/>
      <c r="G21" s="107">
        <f t="shared" ref="G21:X21" si="4">$E$3*G3</f>
        <v>673497.27</v>
      </c>
      <c r="H21" s="107">
        <f t="shared" si="4"/>
        <v>199229.41</v>
      </c>
      <c r="I21" s="107">
        <f t="shared" si="4"/>
        <v>743942.27</v>
      </c>
      <c r="J21" s="107">
        <f t="shared" si="4"/>
        <v>435501.94</v>
      </c>
      <c r="K21" s="107">
        <f t="shared" si="4"/>
        <v>416390.54</v>
      </c>
      <c r="L21" s="107">
        <f t="shared" si="4"/>
        <v>646741.30999999994</v>
      </c>
      <c r="M21" s="107">
        <f t="shared" si="4"/>
        <v>706689.64</v>
      </c>
      <c r="N21" s="107">
        <f t="shared" si="4"/>
        <v>1048707.05</v>
      </c>
      <c r="O21" s="107">
        <f t="shared" si="4"/>
        <v>636528.61</v>
      </c>
      <c r="P21" s="107">
        <f t="shared" si="4"/>
        <v>527804.6</v>
      </c>
      <c r="Q21" s="107">
        <f t="shared" si="4"/>
        <v>733479.17999999993</v>
      </c>
      <c r="R21" s="107">
        <f t="shared" si="4"/>
        <v>486253.73000000004</v>
      </c>
      <c r="S21" s="107">
        <f t="shared" si="4"/>
        <v>1226627.76</v>
      </c>
      <c r="T21" s="107">
        <f t="shared" si="4"/>
        <v>984633.49</v>
      </c>
      <c r="U21" s="107">
        <f t="shared" si="4"/>
        <v>799858.08</v>
      </c>
      <c r="V21" s="107">
        <f t="shared" si="4"/>
        <v>495600.65</v>
      </c>
      <c r="W21" s="107">
        <f t="shared" si="4"/>
        <v>722237.91</v>
      </c>
      <c r="X21" s="107">
        <f t="shared" si="4"/>
        <v>1064575.79</v>
      </c>
    </row>
    <row r="22" spans="1:24" x14ac:dyDescent="0.25">
      <c r="A22" s="107" t="s">
        <v>120</v>
      </c>
      <c r="B22" s="107"/>
      <c r="C22" s="107"/>
      <c r="D22" s="107"/>
      <c r="E22" s="107"/>
      <c r="F22" s="107"/>
      <c r="G22" s="107">
        <f t="shared" ref="G22:X22" si="5">$E$4*G4</f>
        <v>2763471.21</v>
      </c>
      <c r="H22" s="107">
        <f t="shared" si="5"/>
        <v>2998850.2199999997</v>
      </c>
      <c r="I22" s="107">
        <f t="shared" si="5"/>
        <v>4148181.2</v>
      </c>
      <c r="J22" s="107">
        <f t="shared" si="5"/>
        <v>3239356.02</v>
      </c>
      <c r="K22" s="107">
        <f t="shared" si="5"/>
        <v>3738631.4899999998</v>
      </c>
      <c r="L22" s="107">
        <f t="shared" si="5"/>
        <v>4639680.71</v>
      </c>
      <c r="M22" s="107">
        <f t="shared" si="5"/>
        <v>3929998.07</v>
      </c>
      <c r="N22" s="107">
        <f t="shared" si="5"/>
        <v>4381665.8600000003</v>
      </c>
      <c r="O22" s="107">
        <f t="shared" si="5"/>
        <v>3567999.0999999996</v>
      </c>
      <c r="P22" s="107">
        <f t="shared" si="5"/>
        <v>2003711.2999999998</v>
      </c>
      <c r="Q22" s="107">
        <f t="shared" si="5"/>
        <v>2329599.36</v>
      </c>
      <c r="R22" s="107">
        <f t="shared" si="5"/>
        <v>1703101.68</v>
      </c>
      <c r="S22" s="107">
        <f t="shared" si="5"/>
        <v>4283235.58</v>
      </c>
      <c r="T22" s="107">
        <f t="shared" si="5"/>
        <v>3178910.56</v>
      </c>
      <c r="U22" s="107">
        <f t="shared" si="5"/>
        <v>3045183.32</v>
      </c>
      <c r="V22" s="107">
        <f t="shared" si="5"/>
        <v>2550978.4300000002</v>
      </c>
      <c r="W22" s="107">
        <f t="shared" si="5"/>
        <v>2644320.61</v>
      </c>
      <c r="X22" s="107">
        <f t="shared" si="5"/>
        <v>3579899.56</v>
      </c>
    </row>
    <row r="23" spans="1:24" x14ac:dyDescent="0.25">
      <c r="A23" s="107" t="s">
        <v>123</v>
      </c>
      <c r="B23" s="107"/>
      <c r="C23" s="107"/>
      <c r="D23" s="107"/>
      <c r="E23" s="107"/>
      <c r="F23" s="107"/>
      <c r="G23" s="107">
        <f t="shared" ref="G23:X23" si="6">$E$7*G7</f>
        <v>136066.89000000001</v>
      </c>
      <c r="H23" s="107">
        <f t="shared" si="6"/>
        <v>123415.99</v>
      </c>
      <c r="I23" s="107">
        <f t="shared" si="6"/>
        <v>286549.82</v>
      </c>
      <c r="J23" s="107">
        <f t="shared" si="6"/>
        <v>366378.23999999999</v>
      </c>
      <c r="K23" s="107">
        <f t="shared" si="6"/>
        <v>239476.5</v>
      </c>
      <c r="L23" s="107">
        <f t="shared" si="6"/>
        <v>108362.66</v>
      </c>
      <c r="M23" s="107">
        <f t="shared" si="6"/>
        <v>116100.66</v>
      </c>
      <c r="N23" s="107">
        <f t="shared" si="6"/>
        <v>121804.15</v>
      </c>
      <c r="O23" s="107">
        <f t="shared" si="6"/>
        <v>169808.22</v>
      </c>
      <c r="P23" s="107">
        <f t="shared" si="6"/>
        <v>167123.28</v>
      </c>
      <c r="Q23" s="107">
        <f t="shared" si="6"/>
        <v>124941.69</v>
      </c>
      <c r="R23" s="107">
        <f t="shared" si="6"/>
        <v>125029.29000000001</v>
      </c>
      <c r="S23" s="107">
        <f t="shared" si="6"/>
        <v>213129.34</v>
      </c>
      <c r="T23" s="107">
        <f t="shared" si="6"/>
        <v>669848.73</v>
      </c>
      <c r="U23" s="107">
        <f t="shared" si="6"/>
        <v>561410.88</v>
      </c>
      <c r="V23" s="107">
        <f t="shared" si="6"/>
        <v>696266.7</v>
      </c>
      <c r="W23" s="107">
        <f t="shared" si="6"/>
        <v>821025.16</v>
      </c>
      <c r="X23" s="107">
        <f t="shared" si="6"/>
        <v>827460.11</v>
      </c>
    </row>
    <row r="24" spans="1:24" x14ac:dyDescent="0.25">
      <c r="A24" s="107" t="s">
        <v>37</v>
      </c>
      <c r="B24" s="107"/>
      <c r="C24" s="107"/>
      <c r="D24" s="107"/>
      <c r="E24" s="107"/>
      <c r="F24" s="107"/>
      <c r="G24" s="107">
        <f>SUM(G20:G23)</f>
        <v>4120041.89</v>
      </c>
      <c r="H24" s="107">
        <f t="shared" ref="H24:X24" si="7">SUM(H20:H23)</f>
        <v>3490046.05</v>
      </c>
      <c r="I24" s="107">
        <f t="shared" si="7"/>
        <v>5883448.1400000006</v>
      </c>
      <c r="J24" s="107">
        <f t="shared" si="7"/>
        <v>4423007.22</v>
      </c>
      <c r="K24" s="107">
        <f t="shared" si="7"/>
        <v>4788329.88</v>
      </c>
      <c r="L24" s="107">
        <f t="shared" si="7"/>
        <v>5913784.0199999996</v>
      </c>
      <c r="M24" s="107">
        <f t="shared" si="7"/>
        <v>5306178.74</v>
      </c>
      <c r="N24" s="107">
        <f t="shared" si="7"/>
        <v>6418762.9800000004</v>
      </c>
      <c r="O24" s="107">
        <f t="shared" si="7"/>
        <v>4926851.0299999993</v>
      </c>
      <c r="P24" s="107">
        <f t="shared" si="7"/>
        <v>3160199.1999999997</v>
      </c>
      <c r="Q24" s="107">
        <f t="shared" si="7"/>
        <v>3674897.38</v>
      </c>
      <c r="R24" s="107">
        <f t="shared" si="7"/>
        <v>2693018.91</v>
      </c>
      <c r="S24" s="107">
        <f t="shared" si="7"/>
        <v>6802008.5999999996</v>
      </c>
      <c r="T24" s="107">
        <f t="shared" si="7"/>
        <v>5747441.1099999994</v>
      </c>
      <c r="U24" s="107">
        <f t="shared" si="7"/>
        <v>5075896.59</v>
      </c>
      <c r="V24" s="107">
        <f t="shared" si="7"/>
        <v>4130031.21</v>
      </c>
      <c r="W24" s="107">
        <f t="shared" si="7"/>
        <v>4802347.34</v>
      </c>
      <c r="X24" s="107">
        <f t="shared" si="7"/>
        <v>6271359.1900000004</v>
      </c>
    </row>
    <row r="26" spans="1:24" x14ac:dyDescent="0.25">
      <c r="A26" s="34" t="s">
        <v>676</v>
      </c>
      <c r="I26" s="107">
        <f>SUM(G24:I24)</f>
        <v>13493536.08</v>
      </c>
      <c r="J26" s="107"/>
      <c r="K26" s="107"/>
      <c r="L26" s="107">
        <f>SUM(J24:L24)</f>
        <v>15125121.119999999</v>
      </c>
      <c r="M26" s="107"/>
      <c r="N26" s="107"/>
      <c r="O26" s="107">
        <f>SUM(M24:O24)</f>
        <v>16651792.75</v>
      </c>
      <c r="P26" s="107"/>
      <c r="Q26" s="107"/>
      <c r="R26" s="107">
        <f>SUM(P24:R24)</f>
        <v>9528115.4900000002</v>
      </c>
      <c r="S26" s="107"/>
      <c r="T26" s="107"/>
      <c r="U26" s="107">
        <f>SUM(S24:U24)</f>
        <v>17625346.299999997</v>
      </c>
      <c r="X26" s="107">
        <f>SUM(V24:X24)</f>
        <v>15203737.740000002</v>
      </c>
    </row>
    <row r="27" spans="1:24" x14ac:dyDescent="0.25">
      <c r="A27" s="34" t="s">
        <v>677</v>
      </c>
      <c r="L27" s="40">
        <f>(L26/I26)-1</f>
        <v>0.12091604678912304</v>
      </c>
      <c r="M27" s="40"/>
      <c r="N27" s="40"/>
      <c r="O27" s="40">
        <f>(O26/L26)-1</f>
        <v>0.10093615898263963</v>
      </c>
      <c r="P27" s="40"/>
      <c r="Q27" s="40"/>
      <c r="R27" s="40">
        <f>(R26/O26)-1</f>
        <v>-0.42780242145399028</v>
      </c>
      <c r="S27" s="40"/>
      <c r="T27" s="40"/>
      <c r="U27" s="40">
        <f>(U26/R26)-1</f>
        <v>0.8498250066866051</v>
      </c>
      <c r="X27" s="40">
        <f>(X26/U26)-1</f>
        <v>-0.13739353081533467</v>
      </c>
    </row>
    <row r="28" spans="1:24" x14ac:dyDescent="0.25">
      <c r="A28" s="34" t="s">
        <v>678</v>
      </c>
      <c r="L28" s="40"/>
      <c r="M28" s="40"/>
      <c r="N28" s="40"/>
      <c r="O28" s="40"/>
      <c r="P28" s="40"/>
      <c r="Q28" s="40"/>
      <c r="R28" s="40"/>
      <c r="S28" s="40"/>
      <c r="T28" s="40"/>
      <c r="U28" s="40">
        <f>(U26/I26)-1</f>
        <v>0.30620663075293719</v>
      </c>
      <c r="X28" s="40">
        <f>(X26/L26)-1</f>
        <v>5.1977514346015496E-3</v>
      </c>
    </row>
    <row r="30" spans="1:24" x14ac:dyDescent="0.25">
      <c r="A30" s="113" t="s">
        <v>681</v>
      </c>
      <c r="B30" s="107" t="s">
        <v>683</v>
      </c>
      <c r="C30" s="107" t="s">
        <v>684</v>
      </c>
      <c r="D30" s="107" t="s">
        <v>685</v>
      </c>
      <c r="E30" s="107" t="s">
        <v>686</v>
      </c>
      <c r="F30" s="107" t="s">
        <v>687</v>
      </c>
      <c r="G30" s="122" t="s">
        <v>484</v>
      </c>
      <c r="H30" s="122" t="s">
        <v>485</v>
      </c>
      <c r="I30" s="122" t="s">
        <v>486</v>
      </c>
      <c r="J30" s="122" t="s">
        <v>487</v>
      </c>
      <c r="K30" s="122" t="s">
        <v>488</v>
      </c>
      <c r="L30" s="122" t="s">
        <v>489</v>
      </c>
      <c r="M30" s="122" t="s">
        <v>490</v>
      </c>
      <c r="N30" s="122" t="s">
        <v>491</v>
      </c>
      <c r="O30" s="122" t="s">
        <v>492</v>
      </c>
      <c r="P30" s="122" t="s">
        <v>493</v>
      </c>
      <c r="Q30" s="122" t="s">
        <v>494</v>
      </c>
      <c r="R30" s="122" t="s">
        <v>495</v>
      </c>
      <c r="S30" s="122" t="s">
        <v>496</v>
      </c>
      <c r="T30" s="122" t="s">
        <v>497</v>
      </c>
      <c r="U30" s="107" t="s">
        <v>574</v>
      </c>
      <c r="V30" s="251" t="s">
        <v>731</v>
      </c>
      <c r="W30" s="251" t="s">
        <v>732</v>
      </c>
      <c r="X30" s="274" t="s">
        <v>733</v>
      </c>
    </row>
    <row r="31" spans="1:24" x14ac:dyDescent="0.25">
      <c r="A31" s="107" t="s">
        <v>118</v>
      </c>
      <c r="B31" s="107"/>
      <c r="C31" s="107"/>
      <c r="D31" s="107"/>
      <c r="E31" s="107"/>
      <c r="F31" s="107"/>
      <c r="G31" s="107">
        <f>$G$42*G20</f>
        <v>19407791.329599999</v>
      </c>
      <c r="H31" s="107">
        <f>$H$42*H20</f>
        <v>6088041.5315999994</v>
      </c>
      <c r="I31" s="107">
        <f>$I$42*I20</f>
        <v>26104860.444000002</v>
      </c>
      <c r="J31" s="107">
        <f>$J$42*J20</f>
        <v>14526387.310999997</v>
      </c>
      <c r="K31" s="107">
        <f>$K$42*K20</f>
        <v>15249149.872</v>
      </c>
      <c r="L31" s="107">
        <f>$L$42*L20</f>
        <v>20433004.015799999</v>
      </c>
      <c r="M31" s="107">
        <f>$M$42*M20</f>
        <v>22213089.4518</v>
      </c>
      <c r="N31" s="107">
        <f>$N$42*N20</f>
        <v>35313376.240000002</v>
      </c>
      <c r="O31" s="107">
        <f>$O$42*O20</f>
        <v>22785722.723999999</v>
      </c>
      <c r="P31" s="107">
        <f>$P$42*P20</f>
        <v>19270130.834999997</v>
      </c>
      <c r="Q31" s="107">
        <f>$Q$42*Q20</f>
        <v>20546215.730000004</v>
      </c>
      <c r="R31" s="107">
        <f>$R$42*R20</f>
        <v>16133603.688100001</v>
      </c>
      <c r="S31" s="107">
        <f>$S$42*S20</f>
        <v>46548746.788800009</v>
      </c>
      <c r="T31" s="107">
        <f>$T$42*T20</f>
        <v>39861647.671299994</v>
      </c>
      <c r="U31" s="107">
        <f>$U$42*U20</f>
        <v>29522494.070999999</v>
      </c>
      <c r="V31" s="107">
        <f t="shared" ref="V31:X35" si="8">$V$42*V20</f>
        <v>17299445.012400001</v>
      </c>
      <c r="W31" s="107">
        <f t="shared" si="8"/>
        <v>27467640.3288</v>
      </c>
      <c r="X31" s="107">
        <f t="shared" si="8"/>
        <v>35718252.256399997</v>
      </c>
    </row>
    <row r="32" spans="1:24" x14ac:dyDescent="0.25">
      <c r="A32" s="107" t="s">
        <v>119</v>
      </c>
      <c r="B32" s="107"/>
      <c r="C32" s="107"/>
      <c r="D32" s="107"/>
      <c r="E32" s="107"/>
      <c r="F32" s="107"/>
      <c r="G32" s="107">
        <f t="shared" ref="G32:G34" si="9">$G$42*G21</f>
        <v>23895683.139599998</v>
      </c>
      <c r="H32" s="107">
        <f t="shared" ref="H32:H34" si="10">$H$42*H21</f>
        <v>7196166.2891999995</v>
      </c>
      <c r="I32" s="107">
        <f t="shared" ref="I32:I34" si="11">$I$42*I21</f>
        <v>27555621.680799998</v>
      </c>
      <c r="J32" s="107">
        <f t="shared" ref="J32:J34" si="12">$J$42*J21</f>
        <v>16570848.816999998</v>
      </c>
      <c r="K32" s="107">
        <f t="shared" ref="K32:K34" si="13">$K$42*K21</f>
        <v>16122641.708799999</v>
      </c>
      <c r="L32" s="107">
        <f t="shared" ref="L32:L34" si="14">$L$42*L21</f>
        <v>25462205.374699995</v>
      </c>
      <c r="M32" s="107">
        <f t="shared" ref="M32:M33" si="15">$M$42*M21</f>
        <v>28366522.149599999</v>
      </c>
      <c r="N32" s="107">
        <f t="shared" ref="N32:N34" si="16">$N$42*N21</f>
        <v>42734812.287500001</v>
      </c>
      <c r="O32" s="107">
        <f t="shared" ref="O32:O34" si="17">$O$42*O21</f>
        <v>26250439.876400001</v>
      </c>
      <c r="P32" s="107">
        <f t="shared" ref="P32:P34" si="18">$P$42*P21</f>
        <v>22035842.050000001</v>
      </c>
      <c r="Q32" s="107">
        <f t="shared" ref="Q32:Q34" si="19">$Q$42*Q21</f>
        <v>30952821.395999998</v>
      </c>
      <c r="R32" s="107">
        <f t="shared" ref="R32:R34" si="20">$R$42*R21</f>
        <v>20719271.4353</v>
      </c>
      <c r="S32" s="107">
        <f t="shared" ref="S32:S34" si="21">$S$42*S21</f>
        <v>52916721.566399999</v>
      </c>
      <c r="T32" s="107">
        <f t="shared" ref="T32:T34" si="22">$T$42*T21</f>
        <v>42939866.498899996</v>
      </c>
      <c r="U32" s="107">
        <f t="shared" ref="U32:U34" si="23">$U$42*U21</f>
        <v>35273741.328000002</v>
      </c>
      <c r="V32" s="107">
        <f t="shared" si="8"/>
        <v>22143437.041999999</v>
      </c>
      <c r="W32" s="107">
        <f t="shared" si="8"/>
        <v>32269589.818800002</v>
      </c>
      <c r="X32" s="107">
        <f t="shared" si="8"/>
        <v>47565246.297200002</v>
      </c>
    </row>
    <row r="33" spans="1:24" x14ac:dyDescent="0.25">
      <c r="A33" s="107" t="s">
        <v>120</v>
      </c>
      <c r="B33" s="107"/>
      <c r="C33" s="107"/>
      <c r="D33" s="107"/>
      <c r="E33" s="107"/>
      <c r="F33" s="107"/>
      <c r="G33" s="107">
        <f t="shared" si="9"/>
        <v>98047958.530799985</v>
      </c>
      <c r="H33" s="107">
        <f t="shared" si="10"/>
        <v>108318469.94639999</v>
      </c>
      <c r="I33" s="107">
        <f t="shared" si="11"/>
        <v>153648631.648</v>
      </c>
      <c r="J33" s="107">
        <f t="shared" si="12"/>
        <v>123257496.56099999</v>
      </c>
      <c r="K33" s="107">
        <f t="shared" si="13"/>
        <v>144759811.29279998</v>
      </c>
      <c r="L33" s="107">
        <f t="shared" si="14"/>
        <v>182664229.55269998</v>
      </c>
      <c r="M33" s="107">
        <f t="shared" si="15"/>
        <v>157750122.5298</v>
      </c>
      <c r="N33" s="107">
        <f t="shared" si="16"/>
        <v>178552883.79500002</v>
      </c>
      <c r="O33" s="107">
        <f t="shared" si="17"/>
        <v>147144282.884</v>
      </c>
      <c r="P33" s="107">
        <f t="shared" si="18"/>
        <v>83654946.774999991</v>
      </c>
      <c r="Q33" s="107">
        <f t="shared" si="19"/>
        <v>98309092.991999999</v>
      </c>
      <c r="R33" s="107">
        <f t="shared" si="20"/>
        <v>72569162.58479999</v>
      </c>
      <c r="S33" s="107">
        <f t="shared" si="21"/>
        <v>184778782.92120001</v>
      </c>
      <c r="T33" s="107">
        <f t="shared" si="22"/>
        <v>138632289.52160001</v>
      </c>
      <c r="U33" s="107">
        <f t="shared" si="23"/>
        <v>134292584.412</v>
      </c>
      <c r="V33" s="107">
        <f t="shared" si="8"/>
        <v>113977716.25240001</v>
      </c>
      <c r="W33" s="107">
        <f t="shared" si="8"/>
        <v>118148244.8548</v>
      </c>
      <c r="X33" s="107">
        <f t="shared" si="8"/>
        <v>159949912.34079999</v>
      </c>
    </row>
    <row r="34" spans="1:24" x14ac:dyDescent="0.25">
      <c r="A34" s="107" t="s">
        <v>123</v>
      </c>
      <c r="B34" s="107"/>
      <c r="C34" s="107"/>
      <c r="D34" s="107"/>
      <c r="E34" s="107"/>
      <c r="F34" s="107"/>
      <c r="G34" s="107">
        <f t="shared" si="9"/>
        <v>4827653.2571999999</v>
      </c>
      <c r="H34" s="107">
        <f t="shared" si="10"/>
        <v>4457785.5587999998</v>
      </c>
      <c r="I34" s="107">
        <f t="shared" si="11"/>
        <v>10613805.332800001</v>
      </c>
      <c r="J34" s="107">
        <f t="shared" si="12"/>
        <v>13940692.031999998</v>
      </c>
      <c r="K34" s="107">
        <f t="shared" si="13"/>
        <v>9272530.0800000001</v>
      </c>
      <c r="L34" s="107">
        <f t="shared" si="14"/>
        <v>4266237.9242000002</v>
      </c>
      <c r="M34" s="107">
        <f>$M$42*M23</f>
        <v>4660280.4923999999</v>
      </c>
      <c r="N34" s="107">
        <f t="shared" si="16"/>
        <v>4963519.1124999998</v>
      </c>
      <c r="O34" s="107">
        <f t="shared" si="17"/>
        <v>7002890.9928000001</v>
      </c>
      <c r="P34" s="107">
        <f t="shared" si="18"/>
        <v>6977396.9400000004</v>
      </c>
      <c r="Q34" s="107">
        <f t="shared" si="19"/>
        <v>5272539.3180000009</v>
      </c>
      <c r="R34" s="107">
        <f t="shared" si="20"/>
        <v>5327498.0469000004</v>
      </c>
      <c r="S34" s="107">
        <f t="shared" si="21"/>
        <v>9194399.7276000008</v>
      </c>
      <c r="T34" s="107">
        <f t="shared" si="22"/>
        <v>29212103.1153</v>
      </c>
      <c r="U34" s="107">
        <f t="shared" si="23"/>
        <v>24758219.808000002</v>
      </c>
      <c r="V34" s="107">
        <f t="shared" si="8"/>
        <v>31109196.155999999</v>
      </c>
      <c r="W34" s="107">
        <f t="shared" si="8"/>
        <v>36683404.148800001</v>
      </c>
      <c r="X34" s="107">
        <f t="shared" si="8"/>
        <v>36970917.7148</v>
      </c>
    </row>
    <row r="35" spans="1:24" x14ac:dyDescent="0.25">
      <c r="A35" s="107" t="s">
        <v>37</v>
      </c>
      <c r="B35" s="107"/>
      <c r="C35" s="107"/>
      <c r="D35" s="107"/>
      <c r="E35" s="107"/>
      <c r="F35" s="107"/>
      <c r="G35" s="107">
        <f>SUM(G31:G34)</f>
        <v>146179086.2572</v>
      </c>
      <c r="H35" s="107">
        <f t="shared" ref="H35:U35" si="24">SUM(H31:H34)</f>
        <v>126060463.32599999</v>
      </c>
      <c r="I35" s="107">
        <f t="shared" si="24"/>
        <v>217922919.1056</v>
      </c>
      <c r="J35" s="107">
        <f t="shared" si="24"/>
        <v>168295424.72099999</v>
      </c>
      <c r="K35" s="107">
        <f t="shared" si="24"/>
        <v>185404132.95359999</v>
      </c>
      <c r="L35" s="107">
        <f t="shared" si="24"/>
        <v>232825676.86739999</v>
      </c>
      <c r="M35" s="107">
        <f t="shared" si="24"/>
        <v>212990014.62360001</v>
      </c>
      <c r="N35" s="107">
        <f t="shared" si="24"/>
        <v>261564591.43500003</v>
      </c>
      <c r="O35" s="107">
        <f t="shared" si="24"/>
        <v>203183336.4772</v>
      </c>
      <c r="P35" s="107">
        <f t="shared" si="24"/>
        <v>131938316.59999999</v>
      </c>
      <c r="Q35" s="107">
        <f t="shared" si="24"/>
        <v>155080669.43599999</v>
      </c>
      <c r="R35" s="107">
        <f t="shared" si="24"/>
        <v>114749535.7551</v>
      </c>
      <c r="S35" s="107">
        <f t="shared" si="24"/>
        <v>293438651.00400001</v>
      </c>
      <c r="T35" s="107">
        <f t="shared" si="24"/>
        <v>250645906.8071</v>
      </c>
      <c r="U35" s="107">
        <f t="shared" si="24"/>
        <v>223847039.61899999</v>
      </c>
      <c r="V35" s="107">
        <f t="shared" si="8"/>
        <v>184529794.4628</v>
      </c>
      <c r="W35" s="107">
        <f t="shared" si="8"/>
        <v>214568879.1512</v>
      </c>
      <c r="X35" s="107">
        <f t="shared" si="8"/>
        <v>280204328.6092</v>
      </c>
    </row>
    <row r="36" spans="1:24" x14ac:dyDescent="0.25">
      <c r="G36" s="103"/>
      <c r="H36" s="103"/>
      <c r="I36" s="103"/>
      <c r="J36" s="103"/>
      <c r="K36" s="103"/>
      <c r="L36" s="103"/>
      <c r="M36" s="103"/>
      <c r="N36" s="103"/>
      <c r="O36" s="103"/>
      <c r="P36" s="103"/>
      <c r="Q36" s="103"/>
      <c r="R36" s="103"/>
      <c r="S36" s="103"/>
      <c r="T36" s="103"/>
      <c r="U36" s="103"/>
    </row>
    <row r="37" spans="1:24" x14ac:dyDescent="0.25">
      <c r="A37" s="34" t="s">
        <v>676</v>
      </c>
      <c r="G37" s="103"/>
      <c r="H37" s="103"/>
      <c r="I37" s="107">
        <f>SUM(G35:I35)</f>
        <v>490162468.68879998</v>
      </c>
      <c r="J37" s="107"/>
      <c r="K37" s="107"/>
      <c r="L37" s="107">
        <f>SUM(J35:L35)</f>
        <v>586525234.54200006</v>
      </c>
      <c r="M37" s="107"/>
      <c r="N37" s="107"/>
      <c r="O37" s="107">
        <f>SUM(M35:O35)</f>
        <v>677737942.5358001</v>
      </c>
      <c r="P37" s="107"/>
      <c r="Q37" s="107"/>
      <c r="R37" s="107">
        <f>SUM(P35:R35)</f>
        <v>401768521.79110003</v>
      </c>
      <c r="S37" s="107"/>
      <c r="T37" s="107"/>
      <c r="U37" s="107">
        <f>SUM(S35:U35)</f>
        <v>767931597.43009996</v>
      </c>
      <c r="X37" s="107">
        <f>SUM(V35:X35)</f>
        <v>679303002.22319996</v>
      </c>
    </row>
    <row r="38" spans="1:24" x14ac:dyDescent="0.25">
      <c r="A38" s="34" t="s">
        <v>677</v>
      </c>
      <c r="L38" s="40">
        <f>(L37/I37)-1</f>
        <v>0.1965935215541359</v>
      </c>
      <c r="M38" s="40"/>
      <c r="N38" s="40"/>
      <c r="O38" s="40">
        <f>(O37/L37)-1</f>
        <v>0.15551369765876366</v>
      </c>
      <c r="P38" s="40"/>
      <c r="Q38" s="40"/>
      <c r="R38" s="40">
        <f>(R37/O37)-1</f>
        <v>-0.40719192983668984</v>
      </c>
      <c r="S38" s="40"/>
      <c r="T38" s="40"/>
      <c r="U38" s="40">
        <f>(U37/R37)-1</f>
        <v>0.91137820854314411</v>
      </c>
      <c r="X38" s="40">
        <f>(X37/U37)-1</f>
        <v>-0.11541209595164148</v>
      </c>
    </row>
    <row r="39" spans="1:24" x14ac:dyDescent="0.25">
      <c r="A39" s="34" t="s">
        <v>678</v>
      </c>
      <c r="L39" s="40"/>
      <c r="M39" s="40"/>
      <c r="N39" s="40"/>
      <c r="O39" s="40"/>
      <c r="P39" s="40"/>
      <c r="Q39" s="40"/>
      <c r="R39" s="40"/>
      <c r="S39" s="40"/>
      <c r="T39" s="40"/>
      <c r="U39" s="40">
        <f>(U37/I37)-1</f>
        <v>0.56668787694892497</v>
      </c>
      <c r="X39" s="40">
        <f>(X37/L37)-1</f>
        <v>0.15818205631620819</v>
      </c>
    </row>
    <row r="41" spans="1:24" x14ac:dyDescent="0.25">
      <c r="A41" s="25" t="s">
        <v>578</v>
      </c>
      <c r="G41" s="25" t="s">
        <v>484</v>
      </c>
      <c r="H41" s="25" t="s">
        <v>485</v>
      </c>
      <c r="I41" s="25" t="s">
        <v>486</v>
      </c>
      <c r="J41" s="25" t="s">
        <v>487</v>
      </c>
      <c r="K41" s="25" t="s">
        <v>488</v>
      </c>
      <c r="L41" s="25" t="s">
        <v>489</v>
      </c>
      <c r="M41" s="25" t="s">
        <v>490</v>
      </c>
      <c r="N41" s="25" t="s">
        <v>491</v>
      </c>
      <c r="O41" s="25" t="s">
        <v>492</v>
      </c>
      <c r="P41" s="25" t="s">
        <v>493</v>
      </c>
      <c r="Q41" s="25" t="s">
        <v>494</v>
      </c>
      <c r="R41" s="25" t="s">
        <v>495</v>
      </c>
      <c r="S41" s="25" t="s">
        <v>496</v>
      </c>
      <c r="T41" s="25" t="s">
        <v>497</v>
      </c>
      <c r="U41" s="25" t="s">
        <v>574</v>
      </c>
      <c r="V41" s="25" t="s">
        <v>731</v>
      </c>
      <c r="W41" s="25" t="s">
        <v>732</v>
      </c>
      <c r="X41" s="25" t="s">
        <v>733</v>
      </c>
    </row>
    <row r="42" spans="1:24" x14ac:dyDescent="0.25">
      <c r="A42" s="25" t="s">
        <v>576</v>
      </c>
      <c r="G42" s="62" t="str">
        <f>PTF!B5</f>
        <v>35,48</v>
      </c>
      <c r="H42" s="62">
        <f>PTF!C5</f>
        <v>36.119999999999997</v>
      </c>
      <c r="I42" s="62">
        <f>PTF!D5</f>
        <v>37.04</v>
      </c>
      <c r="J42" s="62">
        <f>PTF!E5</f>
        <v>38.049999999999997</v>
      </c>
      <c r="K42" s="62">
        <f>PTF!F5</f>
        <v>38.72</v>
      </c>
      <c r="L42" s="62">
        <f>PTF!G5</f>
        <v>39.369999999999997</v>
      </c>
      <c r="M42" s="62">
        <f>PTF!H5</f>
        <v>40.14</v>
      </c>
      <c r="N42" s="62">
        <f>PTF!I5</f>
        <v>40.75</v>
      </c>
      <c r="O42" s="62">
        <f>PTF!J5</f>
        <v>41.24</v>
      </c>
      <c r="P42" s="62">
        <f>PTF!K5</f>
        <v>41.75</v>
      </c>
      <c r="Q42" s="62">
        <f>PTF!L5</f>
        <v>42.2</v>
      </c>
      <c r="R42" s="62">
        <f>PTF!M5</f>
        <v>42.61</v>
      </c>
      <c r="S42" s="62">
        <f>PTF!N5</f>
        <v>43.14</v>
      </c>
      <c r="T42" s="62">
        <f>PTF!O5</f>
        <v>43.61</v>
      </c>
      <c r="U42" s="62">
        <f>PTF!P5</f>
        <v>44.1</v>
      </c>
      <c r="V42" s="62">
        <f>PTF!Q5</f>
        <v>44.68</v>
      </c>
      <c r="W42" s="62">
        <f>PTF!R5</f>
        <v>45.36</v>
      </c>
      <c r="X42" s="62">
        <f>PTF!S5</f>
        <v>46.17</v>
      </c>
    </row>
    <row r="44" spans="1:24" x14ac:dyDescent="0.25">
      <c r="I44" s="25" t="s">
        <v>827</v>
      </c>
      <c r="J44" s="25" t="s">
        <v>735</v>
      </c>
      <c r="K44" s="25" t="s">
        <v>736</v>
      </c>
      <c r="L44" s="25" t="s">
        <v>737</v>
      </c>
      <c r="M44" s="25" t="s">
        <v>738</v>
      </c>
      <c r="N44" s="25" t="s">
        <v>739</v>
      </c>
      <c r="O44" s="25" t="s">
        <v>740</v>
      </c>
    </row>
    <row r="45" spans="1:24" x14ac:dyDescent="0.25">
      <c r="I45" s="25" t="s">
        <v>828</v>
      </c>
      <c r="J45" s="25">
        <v>583</v>
      </c>
      <c r="K45" s="25">
        <v>631</v>
      </c>
      <c r="L45" s="25">
        <v>870</v>
      </c>
      <c r="M45" s="25">
        <v>583</v>
      </c>
      <c r="N45" s="25">
        <v>765</v>
      </c>
    </row>
    <row r="46" spans="1:24" x14ac:dyDescent="0.25">
      <c r="I46" s="25" t="s">
        <v>829</v>
      </c>
      <c r="J46" s="25">
        <v>490</v>
      </c>
      <c r="K46" s="25">
        <v>586</v>
      </c>
      <c r="L46" s="25">
        <v>677</v>
      </c>
      <c r="M46" s="25">
        <v>401</v>
      </c>
      <c r="N46" s="25">
        <v>767</v>
      </c>
      <c r="O46" s="25">
        <v>679</v>
      </c>
    </row>
    <row r="50" spans="1:27" x14ac:dyDescent="0.25">
      <c r="A50" s="33" t="s">
        <v>44</v>
      </c>
      <c r="L50" s="86" t="s">
        <v>104</v>
      </c>
    </row>
    <row r="51" spans="1:27" x14ac:dyDescent="0.25">
      <c r="A51" s="25" t="s">
        <v>124</v>
      </c>
      <c r="L51" s="25" t="s">
        <v>126</v>
      </c>
    </row>
    <row r="52" spans="1:27" x14ac:dyDescent="0.25">
      <c r="A52" s="25" t="s">
        <v>125</v>
      </c>
      <c r="L52" s="25" t="s">
        <v>130</v>
      </c>
    </row>
    <row r="53" spans="1:27" x14ac:dyDescent="0.25">
      <c r="A53" s="25" t="s">
        <v>127</v>
      </c>
      <c r="L53" s="25" t="s">
        <v>131</v>
      </c>
    </row>
    <row r="54" spans="1:27" x14ac:dyDescent="0.25">
      <c r="A54" s="25" t="s">
        <v>128</v>
      </c>
      <c r="L54" s="25" t="s">
        <v>134</v>
      </c>
    </row>
    <row r="55" spans="1:27" x14ac:dyDescent="0.25">
      <c r="A55" s="25" t="s">
        <v>129</v>
      </c>
    </row>
    <row r="56" spans="1:27" x14ac:dyDescent="0.25">
      <c r="A56" s="25" t="s">
        <v>132</v>
      </c>
    </row>
    <row r="57" spans="1:27" x14ac:dyDescent="0.25">
      <c r="A57" s="25" t="s">
        <v>133</v>
      </c>
      <c r="I57" s="25" t="s">
        <v>769</v>
      </c>
      <c r="J57" s="25" t="s">
        <v>484</v>
      </c>
      <c r="K57" s="25" t="s">
        <v>485</v>
      </c>
      <c r="L57" s="25" t="s">
        <v>486</v>
      </c>
      <c r="M57" s="25" t="s">
        <v>487</v>
      </c>
      <c r="N57" s="25" t="s">
        <v>488</v>
      </c>
      <c r="O57" s="25" t="s">
        <v>489</v>
      </c>
      <c r="P57" s="25" t="s">
        <v>490</v>
      </c>
      <c r="Q57" s="25" t="s">
        <v>491</v>
      </c>
      <c r="R57" s="25" t="s">
        <v>492</v>
      </c>
      <c r="S57" s="25" t="s">
        <v>493</v>
      </c>
      <c r="T57" s="25" t="s">
        <v>494</v>
      </c>
      <c r="U57" s="25" t="s">
        <v>495</v>
      </c>
      <c r="V57" s="25" t="s">
        <v>496</v>
      </c>
      <c r="W57" s="25" t="s">
        <v>497</v>
      </c>
      <c r="X57" s="25" t="s">
        <v>574</v>
      </c>
      <c r="Y57" s="25" t="s">
        <v>731</v>
      </c>
      <c r="Z57" s="25" t="s">
        <v>732</v>
      </c>
      <c r="AA57" s="25" t="s">
        <v>733</v>
      </c>
    </row>
    <row r="58" spans="1:27" x14ac:dyDescent="0.25">
      <c r="I58" s="25" t="s">
        <v>28</v>
      </c>
      <c r="J58" s="25">
        <f>SUM(G2:G4)</f>
        <v>54575</v>
      </c>
      <c r="K58" s="25">
        <f t="shared" ref="K58:AA58" si="25">SUM(H2:H4)</f>
        <v>46118.22</v>
      </c>
      <c r="L58" s="25">
        <f t="shared" si="25"/>
        <v>76669.84</v>
      </c>
      <c r="M58" s="25">
        <f t="shared" si="25"/>
        <v>55570.259999999995</v>
      </c>
      <c r="N58" s="25">
        <f t="shared" si="25"/>
        <v>62313.06</v>
      </c>
      <c r="O58" s="25">
        <f t="shared" si="25"/>
        <v>79526.319999999992</v>
      </c>
      <c r="P58" s="25">
        <f t="shared" si="25"/>
        <v>71096.959999999992</v>
      </c>
      <c r="Q58" s="25">
        <f t="shared" si="25"/>
        <v>86259.709999999992</v>
      </c>
      <c r="R58" s="25">
        <f t="shared" si="25"/>
        <v>65164.97</v>
      </c>
      <c r="S58" s="25">
        <f t="shared" si="25"/>
        <v>41001.039999999994</v>
      </c>
      <c r="T58" s="25">
        <f t="shared" si="25"/>
        <v>48629.53</v>
      </c>
      <c r="U58" s="25">
        <f t="shared" si="25"/>
        <v>35177.94</v>
      </c>
      <c r="V58" s="25">
        <f t="shared" si="25"/>
        <v>90258.62</v>
      </c>
      <c r="W58" s="25">
        <f t="shared" si="25"/>
        <v>69556.06</v>
      </c>
      <c r="X58" s="25">
        <f t="shared" si="25"/>
        <v>61842.27</v>
      </c>
      <c r="Y58" s="25">
        <f t="shared" si="25"/>
        <v>47037.87</v>
      </c>
      <c r="Z58" s="25">
        <f t="shared" si="25"/>
        <v>54538.66</v>
      </c>
      <c r="AA58" s="25">
        <f t="shared" si="25"/>
        <v>74573.959999999992</v>
      </c>
    </row>
    <row r="59" spans="1:27" x14ac:dyDescent="0.25">
      <c r="I59" s="25" t="s">
        <v>29</v>
      </c>
      <c r="J59" s="25">
        <f>G7</f>
        <v>1863.93</v>
      </c>
      <c r="K59" s="25">
        <f t="shared" ref="K59:AA59" si="26">H7</f>
        <v>1690.63</v>
      </c>
      <c r="L59" s="25">
        <f t="shared" si="26"/>
        <v>3925.34</v>
      </c>
      <c r="M59" s="25">
        <f t="shared" si="26"/>
        <v>5018.88</v>
      </c>
      <c r="N59" s="25">
        <f t="shared" si="26"/>
        <v>3280.5</v>
      </c>
      <c r="O59" s="25">
        <f t="shared" si="26"/>
        <v>1484.42</v>
      </c>
      <c r="P59" s="25">
        <f t="shared" si="26"/>
        <v>1590.42</v>
      </c>
      <c r="Q59" s="25">
        <f t="shared" si="26"/>
        <v>1668.55</v>
      </c>
      <c r="R59" s="25">
        <f t="shared" si="26"/>
        <v>2326.14</v>
      </c>
      <c r="S59" s="25">
        <f t="shared" si="26"/>
        <v>2289.36</v>
      </c>
      <c r="T59" s="25">
        <f t="shared" si="26"/>
        <v>1711.53</v>
      </c>
      <c r="U59" s="25">
        <f t="shared" si="26"/>
        <v>1712.73</v>
      </c>
      <c r="V59" s="25">
        <f t="shared" si="26"/>
        <v>2919.58</v>
      </c>
      <c r="W59" s="25">
        <f t="shared" si="26"/>
        <v>9176.01</v>
      </c>
      <c r="X59" s="25">
        <f t="shared" si="26"/>
        <v>7690.56</v>
      </c>
      <c r="Y59" s="25">
        <f t="shared" si="26"/>
        <v>9537.9</v>
      </c>
      <c r="Z59" s="25">
        <f t="shared" si="26"/>
        <v>11246.92</v>
      </c>
      <c r="AA59" s="25">
        <f t="shared" si="26"/>
        <v>11335.07</v>
      </c>
    </row>
    <row r="60" spans="1:27" x14ac:dyDescent="0.25">
      <c r="I60" s="25" t="s">
        <v>522</v>
      </c>
      <c r="J60" s="25">
        <f>SUM(J58:J59)</f>
        <v>56438.93</v>
      </c>
      <c r="K60" s="25">
        <f t="shared" ref="K60:AA60" si="27">SUM(K58:K59)</f>
        <v>47808.85</v>
      </c>
      <c r="L60" s="25">
        <f t="shared" si="27"/>
        <v>80595.179999999993</v>
      </c>
      <c r="M60" s="25">
        <f t="shared" si="27"/>
        <v>60589.139999999992</v>
      </c>
      <c r="N60" s="25">
        <f t="shared" si="27"/>
        <v>65593.56</v>
      </c>
      <c r="O60" s="25">
        <f t="shared" si="27"/>
        <v>81010.739999999991</v>
      </c>
      <c r="P60" s="25">
        <f t="shared" si="27"/>
        <v>72687.37999999999</v>
      </c>
      <c r="Q60" s="25">
        <f t="shared" si="27"/>
        <v>87928.26</v>
      </c>
      <c r="R60" s="25">
        <f t="shared" si="27"/>
        <v>67491.11</v>
      </c>
      <c r="S60" s="25">
        <f t="shared" si="27"/>
        <v>43290.399999999994</v>
      </c>
      <c r="T60" s="25">
        <f t="shared" si="27"/>
        <v>50341.06</v>
      </c>
      <c r="U60" s="25">
        <f t="shared" si="27"/>
        <v>36890.670000000006</v>
      </c>
      <c r="V60" s="25">
        <f t="shared" si="27"/>
        <v>93178.2</v>
      </c>
      <c r="W60" s="25">
        <f t="shared" si="27"/>
        <v>78732.069999999992</v>
      </c>
      <c r="X60" s="25">
        <f t="shared" si="27"/>
        <v>69532.83</v>
      </c>
      <c r="Y60" s="25">
        <f t="shared" si="27"/>
        <v>56575.770000000004</v>
      </c>
      <c r="Z60" s="25">
        <f t="shared" si="27"/>
        <v>65785.58</v>
      </c>
      <c r="AA60" s="25">
        <f t="shared" si="27"/>
        <v>85909.03</v>
      </c>
    </row>
    <row r="63" spans="1:27" x14ac:dyDescent="0.25">
      <c r="I63" s="25" t="s">
        <v>769</v>
      </c>
      <c r="J63" s="25" t="s">
        <v>756</v>
      </c>
      <c r="K63" s="25" t="s">
        <v>757</v>
      </c>
      <c r="L63" s="25" t="s">
        <v>758</v>
      </c>
      <c r="M63" s="25" t="s">
        <v>759</v>
      </c>
      <c r="N63" s="25" t="s">
        <v>760</v>
      </c>
      <c r="O63" s="25" t="s">
        <v>761</v>
      </c>
    </row>
    <row r="64" spans="1:27" x14ac:dyDescent="0.25">
      <c r="I64" s="25" t="s">
        <v>28</v>
      </c>
      <c r="J64" s="25">
        <f>SUM(J58:L58)</f>
        <v>177363.06</v>
      </c>
      <c r="K64" s="25">
        <f>SUM(M58:O58)</f>
        <v>197409.63999999998</v>
      </c>
      <c r="L64" s="25">
        <f>SUM(P58:R58)</f>
        <v>222521.63999999998</v>
      </c>
      <c r="M64" s="25">
        <f>SUM(S58:U58)</f>
        <v>124808.51</v>
      </c>
      <c r="N64" s="25">
        <f>SUM(V58:X58)</f>
        <v>221656.94999999998</v>
      </c>
      <c r="O64" s="25">
        <f>SUM(Y58:AA58)</f>
        <v>176150.49</v>
      </c>
    </row>
    <row r="65" spans="9:15" x14ac:dyDescent="0.25">
      <c r="I65" s="25" t="s">
        <v>29</v>
      </c>
      <c r="J65" s="25">
        <f t="shared" ref="J65:J66" si="28">SUM(J59:L59)</f>
        <v>7479.9000000000005</v>
      </c>
      <c r="K65" s="25">
        <f t="shared" ref="K65:K66" si="29">SUM(M59:O59)</f>
        <v>9783.8000000000011</v>
      </c>
      <c r="L65" s="25">
        <f t="shared" ref="L65:L66" si="30">SUM(P59:R59)</f>
        <v>5585.1100000000006</v>
      </c>
      <c r="M65" s="25">
        <f t="shared" ref="M65:M66" si="31">SUM(S59:U59)</f>
        <v>5713.6200000000008</v>
      </c>
      <c r="N65" s="25">
        <f t="shared" ref="N65:N66" si="32">SUM(V59:X59)</f>
        <v>19786.150000000001</v>
      </c>
      <c r="O65" s="25">
        <f t="shared" ref="O65:O66" si="33">SUM(Y59:AA59)</f>
        <v>32119.89</v>
      </c>
    </row>
    <row r="66" spans="9:15" x14ac:dyDescent="0.25">
      <c r="I66" s="25" t="s">
        <v>522</v>
      </c>
      <c r="J66" s="25">
        <f t="shared" si="28"/>
        <v>184842.96</v>
      </c>
      <c r="K66" s="25">
        <f t="shared" si="29"/>
        <v>207193.43999999997</v>
      </c>
      <c r="L66" s="25">
        <f t="shared" si="30"/>
        <v>228106.75</v>
      </c>
      <c r="M66" s="25">
        <f t="shared" si="31"/>
        <v>130522.13</v>
      </c>
      <c r="N66" s="25">
        <f t="shared" si="32"/>
        <v>241443.09999999998</v>
      </c>
      <c r="O66" s="25">
        <f t="shared" si="33"/>
        <v>208270.38</v>
      </c>
    </row>
  </sheetData>
  <phoneticPr fontId="48" type="noConversion"/>
  <conditionalFormatting sqref="L27:U28">
    <cfRule type="colorScale" priority="8">
      <colorScale>
        <cfvo type="min"/>
        <cfvo type="percentile" val="50"/>
        <cfvo type="max"/>
        <color rgb="FFF8696B"/>
        <color rgb="FFFFEB84"/>
        <color rgb="FF63BE7B"/>
      </colorScale>
    </cfRule>
  </conditionalFormatting>
  <conditionalFormatting sqref="L38:U39">
    <cfRule type="colorScale" priority="7">
      <colorScale>
        <cfvo type="min"/>
        <cfvo type="percentile" val="50"/>
        <cfvo type="max"/>
        <color rgb="FFF8696B"/>
        <color rgb="FFFFEB84"/>
        <color rgb="FF63BE7B"/>
      </colorScale>
    </cfRule>
  </conditionalFormatting>
  <conditionalFormatting sqref="L27:X28">
    <cfRule type="colorScale" priority="4">
      <colorScale>
        <cfvo type="min"/>
        <cfvo type="percentile" val="50"/>
        <cfvo type="max"/>
        <color rgb="FFF8696B"/>
        <color rgb="FFFFEB84"/>
        <color rgb="FF63BE7B"/>
      </colorScale>
    </cfRule>
  </conditionalFormatting>
  <conditionalFormatting sqref="L38:X39">
    <cfRule type="colorScale" priority="1">
      <colorScale>
        <cfvo type="min"/>
        <cfvo type="percentile" val="50"/>
        <cfvo type="max"/>
        <color rgb="FFF8696B"/>
        <color rgb="FFFFEB84"/>
        <color rgb="FF63BE7B"/>
      </colorScale>
    </cfRule>
  </conditionalFormatting>
  <conditionalFormatting sqref="S11:X16">
    <cfRule type="colorScale" priority="9">
      <colorScale>
        <cfvo type="min"/>
        <cfvo type="percentile" val="50"/>
        <cfvo type="max"/>
        <color rgb="FFF8696B"/>
        <color rgb="FFFFEB84"/>
        <color rgb="FF63BE7B"/>
      </colorScale>
    </cfRule>
  </conditionalFormatting>
  <conditionalFormatting sqref="X27">
    <cfRule type="colorScale" priority="6">
      <colorScale>
        <cfvo type="min"/>
        <cfvo type="percentile" val="50"/>
        <cfvo type="max"/>
        <color rgb="FFF8696B"/>
        <color rgb="FFFFEB84"/>
        <color rgb="FF63BE7B"/>
      </colorScale>
    </cfRule>
  </conditionalFormatting>
  <conditionalFormatting sqref="X28">
    <cfRule type="colorScale" priority="5">
      <colorScale>
        <cfvo type="min"/>
        <cfvo type="percentile" val="50"/>
        <cfvo type="max"/>
        <color rgb="FFF8696B"/>
        <color rgb="FFFFEB84"/>
        <color rgb="FF63BE7B"/>
      </colorScale>
    </cfRule>
  </conditionalFormatting>
  <conditionalFormatting sqref="X38">
    <cfRule type="colorScale" priority="3">
      <colorScale>
        <cfvo type="min"/>
        <cfvo type="percentile" val="50"/>
        <cfvo type="max"/>
        <color rgb="FFF8696B"/>
        <color rgb="FFFFEB84"/>
        <color rgb="FF63BE7B"/>
      </colorScale>
    </cfRule>
  </conditionalFormatting>
  <conditionalFormatting sqref="X39">
    <cfRule type="colorScale" priority="2">
      <colorScale>
        <cfvo type="min"/>
        <cfvo type="percentile" val="50"/>
        <cfvo type="max"/>
        <color rgb="FFF8696B"/>
        <color rgb="FFFFEB84"/>
        <color rgb="FF63BE7B"/>
      </colorScale>
    </cfRule>
  </conditionalFormatting>
  <pageMargins left="0.7" right="0.7" top="0.75" bottom="0.75" header="0.3" footer="0.3"/>
  <legacyDrawing r:id="rId1"/>
  <tableParts count="3">
    <tablePart r:id="rId2"/>
    <tablePart r:id="rId3"/>
    <tablePart r:id="rId4"/>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50133-73BD-4F63-9BAB-972DA850480B}">
  <dimension ref="A1:X34"/>
  <sheetViews>
    <sheetView workbookViewId="0">
      <selection activeCell="F5" sqref="F5"/>
    </sheetView>
  </sheetViews>
  <sheetFormatPr defaultColWidth="9.140625" defaultRowHeight="15" x14ac:dyDescent="0.25"/>
  <cols>
    <col min="1" max="1" width="41.85546875" style="25" customWidth="1"/>
    <col min="2" max="2" width="15" style="25" customWidth="1"/>
    <col min="3" max="3" width="21.85546875" style="25" customWidth="1"/>
    <col min="4" max="4" width="9.140625" style="25" customWidth="1"/>
    <col min="5" max="5" width="14" style="25" customWidth="1"/>
    <col min="6" max="6" width="17.85546875" style="25" customWidth="1"/>
    <col min="7" max="8" width="9.140625" style="25"/>
    <col min="9" max="18" width="8.7109375" style="25" customWidth="1"/>
    <col min="19" max="16384" width="9.140625" style="25"/>
  </cols>
  <sheetData>
    <row r="1" spans="1:24" x14ac:dyDescent="0.25">
      <c r="A1" s="25" t="s">
        <v>35</v>
      </c>
      <c r="B1" s="25" t="s">
        <v>111</v>
      </c>
      <c r="C1" s="25" t="s">
        <v>338</v>
      </c>
      <c r="D1" s="25" t="s">
        <v>454</v>
      </c>
      <c r="E1" s="25" t="s">
        <v>551</v>
      </c>
      <c r="F1" s="25" t="s">
        <v>552</v>
      </c>
      <c r="G1" s="25" t="s">
        <v>484</v>
      </c>
      <c r="H1" s="25" t="s">
        <v>485</v>
      </c>
      <c r="I1" s="25" t="s">
        <v>486</v>
      </c>
      <c r="J1" s="25" t="s">
        <v>487</v>
      </c>
      <c r="K1" s="25" t="s">
        <v>488</v>
      </c>
      <c r="L1" s="25" t="s">
        <v>489</v>
      </c>
      <c r="M1" s="25" t="s">
        <v>490</v>
      </c>
      <c r="N1" s="25" t="s">
        <v>491</v>
      </c>
      <c r="O1" s="25" t="s">
        <v>492</v>
      </c>
      <c r="P1" s="25" t="s">
        <v>493</v>
      </c>
      <c r="Q1" s="25" t="s">
        <v>494</v>
      </c>
      <c r="R1" s="25" t="s">
        <v>495</v>
      </c>
      <c r="S1" s="25" t="s">
        <v>496</v>
      </c>
      <c r="T1" s="25" t="s">
        <v>497</v>
      </c>
      <c r="U1" s="25" t="s">
        <v>574</v>
      </c>
      <c r="V1" s="25" t="s">
        <v>731</v>
      </c>
      <c r="W1" s="25" t="s">
        <v>732</v>
      </c>
      <c r="X1" s="25" t="s">
        <v>733</v>
      </c>
    </row>
    <row r="2" spans="1:24" x14ac:dyDescent="0.25">
      <c r="A2" s="25" t="s">
        <v>305</v>
      </c>
      <c r="B2" s="25">
        <v>6.88</v>
      </c>
      <c r="E2" s="25">
        <v>133</v>
      </c>
      <c r="F2" s="30">
        <v>46904</v>
      </c>
    </row>
    <row r="3" spans="1:24" x14ac:dyDescent="0.25">
      <c r="A3" s="25" t="s">
        <v>308</v>
      </c>
      <c r="B3" s="25">
        <v>3.6</v>
      </c>
      <c r="E3" s="25">
        <v>133</v>
      </c>
      <c r="F3" s="30">
        <v>46904</v>
      </c>
    </row>
    <row r="4" spans="1:24" x14ac:dyDescent="0.25">
      <c r="A4" s="25" t="s">
        <v>306</v>
      </c>
      <c r="B4" s="25">
        <v>1.72</v>
      </c>
      <c r="E4" s="25">
        <v>133</v>
      </c>
      <c r="F4" s="30">
        <v>46904</v>
      </c>
    </row>
    <row r="5" spans="1:24" x14ac:dyDescent="0.25">
      <c r="A5" s="25" t="s">
        <v>307</v>
      </c>
      <c r="B5" s="25">
        <v>3.6</v>
      </c>
      <c r="C5" s="25" t="s">
        <v>420</v>
      </c>
      <c r="D5" s="25">
        <v>1597</v>
      </c>
      <c r="E5" s="25" t="s">
        <v>524</v>
      </c>
      <c r="F5" s="25" t="s">
        <v>543</v>
      </c>
      <c r="G5" s="25">
        <v>687.64</v>
      </c>
      <c r="H5" s="25">
        <v>553.61</v>
      </c>
      <c r="I5" s="25">
        <v>405.55</v>
      </c>
      <c r="J5" s="25">
        <v>1022.99</v>
      </c>
      <c r="K5" s="25">
        <v>742.38</v>
      </c>
      <c r="L5" s="25">
        <v>388.85</v>
      </c>
      <c r="M5" s="25">
        <v>269.41000000000003</v>
      </c>
      <c r="N5" s="25">
        <v>202.62</v>
      </c>
      <c r="O5" s="25">
        <v>172.52</v>
      </c>
      <c r="P5" s="25">
        <v>278.04000000000002</v>
      </c>
      <c r="Q5" s="25">
        <v>119.02</v>
      </c>
      <c r="R5" s="25">
        <v>212.53</v>
      </c>
      <c r="S5" s="25">
        <v>685.77</v>
      </c>
      <c r="T5" s="25">
        <v>1369.41</v>
      </c>
      <c r="U5" s="25">
        <v>1647.88</v>
      </c>
      <c r="V5" s="25">
        <v>1684.84</v>
      </c>
      <c r="W5" s="25">
        <v>1680.94</v>
      </c>
      <c r="X5" s="25">
        <v>1266.52</v>
      </c>
    </row>
    <row r="6" spans="1:24" x14ac:dyDescent="0.25">
      <c r="A6" s="25" t="s">
        <v>37</v>
      </c>
      <c r="B6" s="25">
        <f>SUM(B2:B5)</f>
        <v>15.8</v>
      </c>
      <c r="G6" s="25">
        <v>687.64</v>
      </c>
      <c r="H6" s="25">
        <v>553.61</v>
      </c>
      <c r="I6" s="25">
        <v>405.55</v>
      </c>
      <c r="J6" s="25">
        <v>1022.99</v>
      </c>
      <c r="K6" s="25">
        <v>742.38</v>
      </c>
      <c r="L6" s="25">
        <v>388.85</v>
      </c>
      <c r="M6" s="25">
        <v>269.41000000000003</v>
      </c>
      <c r="N6" s="25">
        <v>202.62</v>
      </c>
      <c r="O6" s="25">
        <v>172.52</v>
      </c>
      <c r="P6" s="25">
        <v>278.04000000000002</v>
      </c>
      <c r="Q6" s="25">
        <v>119.02</v>
      </c>
      <c r="R6" s="25">
        <v>212.53</v>
      </c>
      <c r="S6" s="25">
        <v>685.77</v>
      </c>
      <c r="T6" s="25">
        <v>1369.41</v>
      </c>
      <c r="U6" s="25">
        <v>1647.88</v>
      </c>
      <c r="V6" s="25">
        <v>1684.84</v>
      </c>
      <c r="W6" s="25">
        <v>1680.94</v>
      </c>
      <c r="X6" s="25">
        <v>1266.52</v>
      </c>
    </row>
    <row r="8" spans="1:24" ht="30" x14ac:dyDescent="0.25">
      <c r="A8" s="44" t="s">
        <v>532</v>
      </c>
      <c r="S8" s="40">
        <f>(S5/G5)-1</f>
        <v>-2.7194462218602666E-3</v>
      </c>
      <c r="T8" s="40">
        <f>(T5/H5)-1</f>
        <v>1.4736005491230291</v>
      </c>
      <c r="U8" s="40">
        <f>(U5/I5)-1</f>
        <v>3.0633214153618544</v>
      </c>
      <c r="V8" s="40">
        <f t="shared" ref="V8:X8" si="0">(V5/J5)-1</f>
        <v>0.64697602127098008</v>
      </c>
      <c r="W8" s="40">
        <f t="shared" si="0"/>
        <v>1.2642581966109003</v>
      </c>
      <c r="X8" s="40">
        <f t="shared" si="0"/>
        <v>2.257091423428057</v>
      </c>
    </row>
    <row r="9" spans="1:24" x14ac:dyDescent="0.25">
      <c r="A9" s="44" t="s">
        <v>526</v>
      </c>
      <c r="S9" s="40"/>
      <c r="T9" s="40">
        <f>(SUM(S6:T6)/SUM(G6:H6))-1</f>
        <v>0.65573413897280997</v>
      </c>
      <c r="U9" s="40">
        <f>(SUM(S6:U6)/SUM(G6:I6))-1</f>
        <v>1.2486397862521255</v>
      </c>
      <c r="V9" s="40">
        <f>(SUM(S6:V6)/SUM(G6:J6))-1</f>
        <v>1.0180988017784172</v>
      </c>
      <c r="W9" s="40">
        <f>(SUM(S6:W6)/SUM(G6:K6))-1</f>
        <v>1.0716552809502455</v>
      </c>
      <c r="X9" s="40">
        <f>(SUM(S6:X6)/SUM(G6:L6))-1</f>
        <v>1.1929271616566082</v>
      </c>
    </row>
    <row r="12" spans="1:24" x14ac:dyDescent="0.25">
      <c r="A12" s="34" t="s">
        <v>667</v>
      </c>
      <c r="B12" s="25" t="s">
        <v>683</v>
      </c>
      <c r="C12" s="25" t="s">
        <v>684</v>
      </c>
      <c r="D12" s="25" t="s">
        <v>685</v>
      </c>
      <c r="E12" s="25" t="s">
        <v>686</v>
      </c>
      <c r="F12" s="25" t="s">
        <v>687</v>
      </c>
      <c r="G12" s="25" t="s">
        <v>484</v>
      </c>
      <c r="H12" s="25" t="s">
        <v>485</v>
      </c>
      <c r="I12" s="25" t="s">
        <v>486</v>
      </c>
      <c r="J12" s="25" t="s">
        <v>487</v>
      </c>
      <c r="K12" s="25" t="s">
        <v>488</v>
      </c>
      <c r="L12" s="25" t="s">
        <v>489</v>
      </c>
      <c r="M12" s="25" t="s">
        <v>490</v>
      </c>
      <c r="N12" s="25" t="s">
        <v>491</v>
      </c>
      <c r="O12" s="25" t="s">
        <v>492</v>
      </c>
      <c r="P12" s="25" t="s">
        <v>493</v>
      </c>
      <c r="Q12" s="25" t="s">
        <v>494</v>
      </c>
      <c r="R12" s="25" t="s">
        <v>495</v>
      </c>
      <c r="S12" s="25" t="s">
        <v>496</v>
      </c>
      <c r="T12" s="25" t="s">
        <v>497</v>
      </c>
      <c r="U12" s="25" t="s">
        <v>574</v>
      </c>
      <c r="V12" s="25" t="s">
        <v>731</v>
      </c>
      <c r="W12" s="25" t="s">
        <v>732</v>
      </c>
      <c r="X12" s="25" t="s">
        <v>733</v>
      </c>
    </row>
    <row r="13" spans="1:24" x14ac:dyDescent="0.25">
      <c r="A13" s="25" t="s">
        <v>307</v>
      </c>
      <c r="G13" s="24">
        <f t="shared" ref="G13:X13" si="1">G20*G6</f>
        <v>49262.529600000002</v>
      </c>
      <c r="H13" s="24">
        <f t="shared" si="1"/>
        <v>38492.503300000004</v>
      </c>
      <c r="I13" s="24">
        <f t="shared" si="1"/>
        <v>24235.668000000001</v>
      </c>
      <c r="J13" s="24">
        <f t="shared" si="1"/>
        <v>67046.76460000001</v>
      </c>
      <c r="K13" s="24">
        <f t="shared" si="1"/>
        <v>47534.591399999998</v>
      </c>
      <c r="L13" s="24">
        <f t="shared" si="1"/>
        <v>22145.007500000003</v>
      </c>
      <c r="M13" s="24">
        <f t="shared" si="1"/>
        <v>20033.327600000001</v>
      </c>
      <c r="N13" s="24">
        <f t="shared" si="1"/>
        <v>14696.028600000001</v>
      </c>
      <c r="O13" s="24">
        <f t="shared" si="1"/>
        <v>11581.267599999999</v>
      </c>
      <c r="P13" s="24">
        <f t="shared" si="1"/>
        <v>18428.4912</v>
      </c>
      <c r="Q13" s="24">
        <f t="shared" si="1"/>
        <v>7949.3458000000001</v>
      </c>
      <c r="R13" s="24">
        <f t="shared" si="1"/>
        <v>15004.617999999999</v>
      </c>
      <c r="S13" s="24">
        <f t="shared" si="1"/>
        <v>46632.36</v>
      </c>
      <c r="T13" s="24">
        <f t="shared" si="1"/>
        <v>67361.277900000001</v>
      </c>
      <c r="U13" s="24">
        <f t="shared" si="1"/>
        <v>64646.332399999999</v>
      </c>
      <c r="V13" s="24">
        <f t="shared" si="1"/>
        <v>40368.7664</v>
      </c>
      <c r="W13" s="24">
        <f t="shared" si="1"/>
        <v>29534.115800000003</v>
      </c>
      <c r="X13" s="24">
        <f t="shared" si="1"/>
        <v>36830.401599999997</v>
      </c>
    </row>
    <row r="14" spans="1:24" x14ac:dyDescent="0.25">
      <c r="B14" s="24"/>
      <c r="C14" s="24"/>
      <c r="D14" s="24"/>
      <c r="E14" s="24"/>
      <c r="F14" s="24"/>
      <c r="G14" s="24"/>
      <c r="H14" s="24"/>
      <c r="I14" s="24"/>
      <c r="J14" s="24"/>
      <c r="K14" s="24"/>
      <c r="L14" s="24"/>
      <c r="M14" s="24"/>
      <c r="N14" s="24"/>
      <c r="O14" s="24"/>
      <c r="P14" s="24"/>
    </row>
    <row r="15" spans="1:24" x14ac:dyDescent="0.25">
      <c r="A15" s="34" t="s">
        <v>676</v>
      </c>
      <c r="I15" s="24">
        <f>SUM(G13:I13)</f>
        <v>111990.70090000001</v>
      </c>
      <c r="L15" s="24">
        <f>SUM(J13:L13)</f>
        <v>136726.36350000001</v>
      </c>
      <c r="O15" s="24">
        <f>SUM(M13:O13)</f>
        <v>46310.623800000001</v>
      </c>
      <c r="R15" s="24">
        <f>SUM(P13:R13)</f>
        <v>41382.455000000002</v>
      </c>
      <c r="U15" s="24">
        <f>SUM(S13:U13)</f>
        <v>178639.97029999999</v>
      </c>
      <c r="X15" s="24">
        <f>SUM(V13:X13)</f>
        <v>106733.2838</v>
      </c>
    </row>
    <row r="16" spans="1:24" x14ac:dyDescent="0.25">
      <c r="A16" s="34" t="s">
        <v>677</v>
      </c>
      <c r="L16" s="40">
        <f>(L15/I15)-1</f>
        <v>0.22087246888549461</v>
      </c>
      <c r="M16" s="40"/>
      <c r="N16" s="40"/>
      <c r="O16" s="40">
        <f>(O15/L15)-1</f>
        <v>-0.66128972778538064</v>
      </c>
      <c r="P16" s="40"/>
      <c r="Q16" s="40"/>
      <c r="R16" s="40">
        <f>(R15/O15)-1</f>
        <v>-0.1064155132369432</v>
      </c>
      <c r="S16" s="40"/>
      <c r="T16" s="40"/>
      <c r="U16" s="40">
        <f>(U15/R15)-1</f>
        <v>3.3168045564237305</v>
      </c>
      <c r="X16" s="40">
        <f>(X15/U15)-1</f>
        <v>-0.40252294253768128</v>
      </c>
    </row>
    <row r="17" spans="1:24" x14ac:dyDescent="0.25">
      <c r="A17" s="34" t="s">
        <v>678</v>
      </c>
      <c r="L17" s="40"/>
      <c r="M17" s="40"/>
      <c r="N17" s="40"/>
      <c r="O17" s="40"/>
      <c r="P17" s="40"/>
      <c r="Q17" s="40"/>
      <c r="R17" s="40"/>
      <c r="S17" s="40"/>
      <c r="T17" s="40"/>
      <c r="U17" s="40">
        <f>(U15/I15)-1</f>
        <v>0.59513217494292836</v>
      </c>
      <c r="X17" s="40">
        <f>(X15/L15)-1</f>
        <v>-0.21936573848832019</v>
      </c>
    </row>
    <row r="19" spans="1:24" x14ac:dyDescent="0.25">
      <c r="A19" s="25" t="s">
        <v>576</v>
      </c>
      <c r="G19" s="25" t="s">
        <v>484</v>
      </c>
      <c r="H19" s="25" t="s">
        <v>485</v>
      </c>
      <c r="I19" s="25" t="s">
        <v>486</v>
      </c>
      <c r="J19" s="25" t="s">
        <v>487</v>
      </c>
      <c r="K19" s="25" t="s">
        <v>488</v>
      </c>
      <c r="L19" s="25" t="s">
        <v>489</v>
      </c>
      <c r="M19" s="25" t="s">
        <v>490</v>
      </c>
      <c r="N19" s="25" t="s">
        <v>491</v>
      </c>
      <c r="O19" s="25" t="s">
        <v>492</v>
      </c>
      <c r="P19" s="25" t="s">
        <v>493</v>
      </c>
      <c r="Q19" s="25" t="s">
        <v>494</v>
      </c>
      <c r="R19" s="25" t="s">
        <v>495</v>
      </c>
      <c r="S19" s="25" t="s">
        <v>496</v>
      </c>
      <c r="T19" s="25" t="s">
        <v>497</v>
      </c>
      <c r="U19" s="25" t="s">
        <v>574</v>
      </c>
      <c r="V19" s="25" t="s">
        <v>731</v>
      </c>
      <c r="W19" s="25" t="s">
        <v>732</v>
      </c>
      <c r="X19" s="25" t="s">
        <v>733</v>
      </c>
    </row>
    <row r="20" spans="1:24" x14ac:dyDescent="0.25">
      <c r="A20" s="24" t="s">
        <v>573</v>
      </c>
      <c r="G20" s="62">
        <f>PTF!B8</f>
        <v>71.64</v>
      </c>
      <c r="H20" s="62">
        <f>PTF!C8</f>
        <v>69.53</v>
      </c>
      <c r="I20" s="62">
        <f>PTF!D8</f>
        <v>59.76</v>
      </c>
      <c r="J20" s="62">
        <f>PTF!E8</f>
        <v>65.540000000000006</v>
      </c>
      <c r="K20" s="62">
        <f>PTF!F8</f>
        <v>64.03</v>
      </c>
      <c r="L20" s="62">
        <f>PTF!G8</f>
        <v>56.95</v>
      </c>
      <c r="M20" s="62">
        <f>PTF!H8</f>
        <v>74.36</v>
      </c>
      <c r="N20" s="62">
        <f>PTF!I8</f>
        <v>72.53</v>
      </c>
      <c r="O20" s="62">
        <f>PTF!J8</f>
        <v>67.13</v>
      </c>
      <c r="P20" s="62">
        <f>PTF!K8</f>
        <v>66.28</v>
      </c>
      <c r="Q20" s="62">
        <f>PTF!L8</f>
        <v>66.790000000000006</v>
      </c>
      <c r="R20" s="62">
        <f>PTF!M8</f>
        <v>70.599999999999994</v>
      </c>
      <c r="S20" s="62">
        <f>PTF!N8</f>
        <v>68</v>
      </c>
      <c r="T20" s="62">
        <f>PTF!O8</f>
        <v>49.19</v>
      </c>
      <c r="U20" s="62">
        <f>PTF!P8</f>
        <v>39.229999999999997</v>
      </c>
      <c r="V20" s="62">
        <f>PTF!Q8</f>
        <v>23.96</v>
      </c>
      <c r="W20" s="62">
        <f>PTF!R8</f>
        <v>17.57</v>
      </c>
      <c r="X20" s="62">
        <f>PTF!S8</f>
        <v>29.08</v>
      </c>
    </row>
    <row r="22" spans="1:24" x14ac:dyDescent="0.25">
      <c r="A22" s="34" t="s">
        <v>667</v>
      </c>
      <c r="B22" s="25" t="s">
        <v>683</v>
      </c>
      <c r="C22" s="25" t="s">
        <v>684</v>
      </c>
      <c r="D22" s="25" t="s">
        <v>685</v>
      </c>
      <c r="E22" s="25" t="s">
        <v>686</v>
      </c>
      <c r="F22" s="25" t="s">
        <v>687</v>
      </c>
      <c r="G22" s="25" t="s">
        <v>484</v>
      </c>
      <c r="H22" s="25" t="s">
        <v>485</v>
      </c>
      <c r="I22" s="25" t="s">
        <v>486</v>
      </c>
      <c r="J22" s="25" t="s">
        <v>487</v>
      </c>
      <c r="K22" s="25" t="s">
        <v>488</v>
      </c>
      <c r="L22" s="25" t="s">
        <v>489</v>
      </c>
      <c r="M22" s="25" t="s">
        <v>490</v>
      </c>
      <c r="N22" s="25" t="s">
        <v>491</v>
      </c>
      <c r="O22" s="25" t="s">
        <v>492</v>
      </c>
      <c r="P22" s="25" t="s">
        <v>493</v>
      </c>
      <c r="Q22" s="25" t="s">
        <v>494</v>
      </c>
      <c r="R22" s="25" t="s">
        <v>495</v>
      </c>
      <c r="S22" s="25" t="s">
        <v>496</v>
      </c>
      <c r="T22" s="25" t="s">
        <v>497</v>
      </c>
      <c r="U22" s="25" t="s">
        <v>574</v>
      </c>
      <c r="V22" s="25" t="s">
        <v>731</v>
      </c>
      <c r="W22" s="25" t="s">
        <v>732</v>
      </c>
      <c r="X22" s="25" t="s">
        <v>733</v>
      </c>
    </row>
    <row r="23" spans="1:24" x14ac:dyDescent="0.25">
      <c r="A23" s="25" t="s">
        <v>307</v>
      </c>
      <c r="G23" s="24">
        <f>G30*G13</f>
        <v>1747834.550208</v>
      </c>
      <c r="H23" s="24">
        <f>H30*H13</f>
        <v>1390349.2191960001</v>
      </c>
      <c r="I23" s="24">
        <f t="shared" ref="I23:X23" si="2">I30*I13</f>
        <v>897689.14272</v>
      </c>
      <c r="J23" s="24">
        <f t="shared" si="2"/>
        <v>2551129.3930300004</v>
      </c>
      <c r="K23" s="24">
        <f t="shared" si="2"/>
        <v>1840539.3790079998</v>
      </c>
      <c r="L23" s="24">
        <f t="shared" si="2"/>
        <v>871848.94527500006</v>
      </c>
      <c r="M23" s="24">
        <f t="shared" si="2"/>
        <v>804137.76986400003</v>
      </c>
      <c r="N23" s="24">
        <f t="shared" si="2"/>
        <v>598863.16545000009</v>
      </c>
      <c r="O23" s="24">
        <f t="shared" si="2"/>
        <v>477611.47582399996</v>
      </c>
      <c r="P23" s="24">
        <f t="shared" si="2"/>
        <v>769389.50760000001</v>
      </c>
      <c r="Q23" s="24">
        <f t="shared" si="2"/>
        <v>335462.39276000002</v>
      </c>
      <c r="R23" s="24">
        <f t="shared" si="2"/>
        <v>639346.77297999989</v>
      </c>
      <c r="S23" s="24">
        <f t="shared" si="2"/>
        <v>2011720.0104</v>
      </c>
      <c r="T23" s="24">
        <f t="shared" si="2"/>
        <v>2937625.3292189999</v>
      </c>
      <c r="U23" s="24">
        <f t="shared" si="2"/>
        <v>2850903.2588400003</v>
      </c>
      <c r="V23" s="24">
        <f t="shared" si="2"/>
        <v>1803676.482752</v>
      </c>
      <c r="W23" s="24">
        <f t="shared" si="2"/>
        <v>1339667.4926880002</v>
      </c>
      <c r="X23" s="24">
        <f t="shared" si="2"/>
        <v>1700459.6418719999</v>
      </c>
    </row>
    <row r="25" spans="1:24" x14ac:dyDescent="0.25">
      <c r="A25" s="34" t="s">
        <v>676</v>
      </c>
      <c r="I25" s="24">
        <f>SUM(G23:I23)</f>
        <v>4035872.912124</v>
      </c>
      <c r="L25" s="24">
        <f>SUM(J23:L23)</f>
        <v>5263517.717313</v>
      </c>
      <c r="O25" s="24">
        <f>SUM(M23:O23)</f>
        <v>1880612.411138</v>
      </c>
      <c r="R25" s="24">
        <f>SUM(P23:R23)</f>
        <v>1744198.67334</v>
      </c>
      <c r="U25" s="24">
        <f>SUM(S23:U23)</f>
        <v>7800248.5984589998</v>
      </c>
      <c r="X25" s="24">
        <f>SUM(V23:X23)</f>
        <v>4843803.6173120001</v>
      </c>
    </row>
    <row r="26" spans="1:24" x14ac:dyDescent="0.25">
      <c r="A26" s="34" t="s">
        <v>677</v>
      </c>
      <c r="L26" s="40">
        <f>(L25/I25)-1</f>
        <v>0.30418321684537752</v>
      </c>
      <c r="M26" s="40"/>
      <c r="N26" s="40"/>
      <c r="O26" s="40">
        <f>(O25/L25)-1</f>
        <v>-0.64270806860738694</v>
      </c>
      <c r="P26" s="40"/>
      <c r="Q26" s="40"/>
      <c r="R26" s="40">
        <f>(R25/O25)-1</f>
        <v>-7.2536869899445744E-2</v>
      </c>
      <c r="S26" s="40"/>
      <c r="T26" s="40"/>
      <c r="U26" s="40">
        <f>(U25/R25)-1</f>
        <v>3.4721101544711948</v>
      </c>
      <c r="X26" s="40">
        <f>(X25/U25)-1</f>
        <v>-0.37901932788796866</v>
      </c>
    </row>
    <row r="27" spans="1:24" x14ac:dyDescent="0.25">
      <c r="A27" s="34" t="s">
        <v>678</v>
      </c>
      <c r="L27" s="40"/>
      <c r="M27" s="40"/>
      <c r="N27" s="40"/>
      <c r="O27" s="40"/>
      <c r="P27" s="40"/>
      <c r="Q27" s="40"/>
      <c r="R27" s="40"/>
      <c r="S27" s="40"/>
      <c r="T27" s="40"/>
      <c r="U27" s="40">
        <f>(U25/I25)-1</f>
        <v>0.93272899526310482</v>
      </c>
      <c r="X27" s="40">
        <f>(X25/L25)-1</f>
        <v>-7.9740227456717272E-2</v>
      </c>
    </row>
    <row r="29" spans="1:24" x14ac:dyDescent="0.25">
      <c r="A29" s="25" t="s">
        <v>578</v>
      </c>
      <c r="G29" s="25" t="s">
        <v>484</v>
      </c>
      <c r="H29" s="25" t="s">
        <v>485</v>
      </c>
      <c r="I29" s="25" t="s">
        <v>486</v>
      </c>
      <c r="J29" s="25" t="s">
        <v>487</v>
      </c>
      <c r="K29" s="25" t="s">
        <v>488</v>
      </c>
      <c r="L29" s="25" t="s">
        <v>489</v>
      </c>
      <c r="M29" s="25" t="s">
        <v>490</v>
      </c>
      <c r="N29" s="25" t="s">
        <v>491</v>
      </c>
      <c r="O29" s="25" t="s">
        <v>492</v>
      </c>
      <c r="P29" s="25" t="s">
        <v>493</v>
      </c>
      <c r="Q29" s="25" t="s">
        <v>494</v>
      </c>
      <c r="R29" s="25" t="s">
        <v>495</v>
      </c>
      <c r="S29" s="25" t="s">
        <v>496</v>
      </c>
      <c r="T29" s="25" t="s">
        <v>497</v>
      </c>
      <c r="U29" s="25" t="s">
        <v>574</v>
      </c>
      <c r="V29" s="25" t="s">
        <v>731</v>
      </c>
      <c r="W29" s="25" t="s">
        <v>732</v>
      </c>
      <c r="X29" s="25" t="s">
        <v>733</v>
      </c>
    </row>
    <row r="30" spans="1:24" x14ac:dyDescent="0.25">
      <c r="A30" s="25" t="s">
        <v>576</v>
      </c>
      <c r="G30" s="62" t="str">
        <f>PTF!B5</f>
        <v>35,48</v>
      </c>
      <c r="H30" s="62">
        <f>PTF!C5</f>
        <v>36.119999999999997</v>
      </c>
      <c r="I30" s="62">
        <f>PTF!D5</f>
        <v>37.04</v>
      </c>
      <c r="J30" s="62">
        <f>PTF!E5</f>
        <v>38.049999999999997</v>
      </c>
      <c r="K30" s="62">
        <f>PTF!F5</f>
        <v>38.72</v>
      </c>
      <c r="L30" s="62">
        <f>PTF!G5</f>
        <v>39.369999999999997</v>
      </c>
      <c r="M30" s="62">
        <f>PTF!H5</f>
        <v>40.14</v>
      </c>
      <c r="N30" s="62">
        <f>PTF!I5</f>
        <v>40.75</v>
      </c>
      <c r="O30" s="62">
        <f>PTF!J5</f>
        <v>41.24</v>
      </c>
      <c r="P30" s="62">
        <f>PTF!K5</f>
        <v>41.75</v>
      </c>
      <c r="Q30" s="62">
        <f>PTF!L5</f>
        <v>42.2</v>
      </c>
      <c r="R30" s="62">
        <f>PTF!M5</f>
        <v>42.61</v>
      </c>
      <c r="S30" s="62">
        <f>PTF!N5</f>
        <v>43.14</v>
      </c>
      <c r="T30" s="62">
        <f>PTF!O5</f>
        <v>43.61</v>
      </c>
      <c r="U30" s="62">
        <f>PTF!P5</f>
        <v>44.1</v>
      </c>
      <c r="V30" s="62">
        <f>PTF!Q5</f>
        <v>44.68</v>
      </c>
      <c r="W30" s="62">
        <f>PTF!R5</f>
        <v>45.36</v>
      </c>
      <c r="X30" s="62">
        <f>PTF!S5</f>
        <v>46.17</v>
      </c>
    </row>
    <row r="33" spans="1:1" x14ac:dyDescent="0.25">
      <c r="A33" s="33" t="s">
        <v>44</v>
      </c>
    </row>
    <row r="34" spans="1:1" x14ac:dyDescent="0.25">
      <c r="A34" s="25" t="s">
        <v>309</v>
      </c>
    </row>
  </sheetData>
  <phoneticPr fontId="48" type="noConversion"/>
  <conditionalFormatting sqref="I16:X17">
    <cfRule type="colorScale" priority="4">
      <colorScale>
        <cfvo type="min"/>
        <cfvo type="percentile" val="50"/>
        <cfvo type="max"/>
        <color rgb="FFF8696B"/>
        <color rgb="FFFFEB84"/>
        <color rgb="FF63BE7B"/>
      </colorScale>
    </cfRule>
  </conditionalFormatting>
  <conditionalFormatting sqref="L16:U17">
    <cfRule type="colorScale" priority="8">
      <colorScale>
        <cfvo type="min"/>
        <cfvo type="percentile" val="50"/>
        <cfvo type="max"/>
        <color rgb="FFF8696B"/>
        <color rgb="FFFFEB84"/>
        <color rgb="FF63BE7B"/>
      </colorScale>
    </cfRule>
  </conditionalFormatting>
  <conditionalFormatting sqref="L26:U27">
    <cfRule type="colorScale" priority="7">
      <colorScale>
        <cfvo type="min"/>
        <cfvo type="percentile" val="50"/>
        <cfvo type="max"/>
        <color rgb="FFF8696B"/>
        <color rgb="FFFFEB84"/>
        <color rgb="FF63BE7B"/>
      </colorScale>
    </cfRule>
  </conditionalFormatting>
  <conditionalFormatting sqref="L26:X27">
    <cfRule type="colorScale" priority="1">
      <colorScale>
        <cfvo type="min"/>
        <cfvo type="percentile" val="50"/>
        <cfvo type="max"/>
        <color rgb="FFF8696B"/>
        <color rgb="FFFFEB84"/>
        <color rgb="FF63BE7B"/>
      </colorScale>
    </cfRule>
  </conditionalFormatting>
  <conditionalFormatting sqref="S8:X9">
    <cfRule type="colorScale" priority="9">
      <colorScale>
        <cfvo type="min"/>
        <cfvo type="percentile" val="50"/>
        <cfvo type="max"/>
        <color rgb="FFF8696B"/>
        <color rgb="FFFFEB84"/>
        <color rgb="FF63BE7B"/>
      </colorScale>
    </cfRule>
  </conditionalFormatting>
  <conditionalFormatting sqref="X16">
    <cfRule type="colorScale" priority="6">
      <colorScale>
        <cfvo type="min"/>
        <cfvo type="percentile" val="50"/>
        <cfvo type="max"/>
        <color rgb="FFF8696B"/>
        <color rgb="FFFFEB84"/>
        <color rgb="FF63BE7B"/>
      </colorScale>
    </cfRule>
  </conditionalFormatting>
  <conditionalFormatting sqref="X17">
    <cfRule type="colorScale" priority="5">
      <colorScale>
        <cfvo type="min"/>
        <cfvo type="percentile" val="50"/>
        <cfvo type="max"/>
        <color rgb="FFF8696B"/>
        <color rgb="FFFFEB84"/>
        <color rgb="FF63BE7B"/>
      </colorScale>
    </cfRule>
  </conditionalFormatting>
  <conditionalFormatting sqref="X26">
    <cfRule type="colorScale" priority="3">
      <colorScale>
        <cfvo type="min"/>
        <cfvo type="percentile" val="50"/>
        <cfvo type="max"/>
        <color rgb="FFF8696B"/>
        <color rgb="FFFFEB84"/>
        <color rgb="FF63BE7B"/>
      </colorScale>
    </cfRule>
  </conditionalFormatting>
  <conditionalFormatting sqref="X27">
    <cfRule type="colorScale" priority="2">
      <colorScale>
        <cfvo type="min"/>
        <cfvo type="percentile" val="50"/>
        <cfvo type="max"/>
        <color rgb="FFF8696B"/>
        <color rgb="FFFFEB84"/>
        <color rgb="FF63BE7B"/>
      </colorScale>
    </cfRule>
  </conditionalFormatting>
  <pageMargins left="0.7" right="0.7" top="0.75" bottom="0.75" header="0.3" footer="0.3"/>
  <legacyDrawing r:id="rId1"/>
  <tableParts count="3">
    <tablePart r:id="rId2"/>
    <tablePart r:id="rId3"/>
    <tablePart r:id="rId4"/>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1344E-F377-4DC6-B3AF-ACEEC0177B9C}">
  <dimension ref="A1:AA132"/>
  <sheetViews>
    <sheetView zoomScaleNormal="100" workbookViewId="0">
      <selection activeCell="B2" sqref="B2:B5"/>
    </sheetView>
  </sheetViews>
  <sheetFormatPr defaultColWidth="9.140625" defaultRowHeight="15" x14ac:dyDescent="0.25"/>
  <cols>
    <col min="1" max="1" width="51.5703125" style="25" customWidth="1"/>
    <col min="2" max="2" width="14.5703125" style="25" customWidth="1"/>
    <col min="3" max="3" width="19" style="25" customWidth="1"/>
    <col min="4" max="4" width="12.140625" style="25" customWidth="1"/>
    <col min="5" max="5" width="13.5703125" style="25" customWidth="1"/>
    <col min="6" max="6" width="17.42578125" style="25" customWidth="1"/>
    <col min="7" max="8" width="15.42578125" style="25" bestFit="1" customWidth="1"/>
    <col min="9" max="9" width="17" style="25" bestFit="1" customWidth="1"/>
    <col min="10" max="11" width="15.42578125" style="25" bestFit="1" customWidth="1"/>
    <col min="12" max="12" width="17" style="25" bestFit="1" customWidth="1"/>
    <col min="13" max="14" width="15.42578125" style="25" bestFit="1" customWidth="1"/>
    <col min="15" max="15" width="18.42578125" style="25" bestFit="1" customWidth="1"/>
    <col min="16" max="17" width="15.42578125" style="25" bestFit="1" customWidth="1"/>
    <col min="18" max="18" width="17" style="25" bestFit="1" customWidth="1"/>
    <col min="19" max="20" width="15.42578125" style="25" bestFit="1" customWidth="1"/>
    <col min="21" max="21" width="17" style="25" bestFit="1" customWidth="1"/>
    <col min="22" max="23" width="15.28515625" style="25" bestFit="1" customWidth="1"/>
    <col min="24" max="24" width="17.28515625" style="25" bestFit="1" customWidth="1"/>
    <col min="25" max="16384" width="9.140625" style="25"/>
  </cols>
  <sheetData>
    <row r="1" spans="1:26" x14ac:dyDescent="0.25">
      <c r="A1" s="41" t="s">
        <v>35</v>
      </c>
      <c r="B1" s="41" t="s">
        <v>111</v>
      </c>
      <c r="C1" s="41" t="s">
        <v>338</v>
      </c>
      <c r="D1" s="41" t="s">
        <v>454</v>
      </c>
      <c r="E1" s="41" t="s">
        <v>551</v>
      </c>
      <c r="F1" s="41" t="s">
        <v>552</v>
      </c>
      <c r="G1" s="41" t="s">
        <v>484</v>
      </c>
      <c r="H1" s="41" t="s">
        <v>485</v>
      </c>
      <c r="I1" s="41" t="s">
        <v>486</v>
      </c>
      <c r="J1" s="41" t="s">
        <v>487</v>
      </c>
      <c r="K1" s="41" t="s">
        <v>488</v>
      </c>
      <c r="L1" s="41" t="s">
        <v>489</v>
      </c>
      <c r="M1" s="41" t="s">
        <v>490</v>
      </c>
      <c r="N1" s="41" t="s">
        <v>491</v>
      </c>
      <c r="O1" s="41" t="s">
        <v>492</v>
      </c>
      <c r="P1" s="41" t="s">
        <v>493</v>
      </c>
      <c r="Q1" s="41" t="s">
        <v>494</v>
      </c>
      <c r="R1" s="41" t="s">
        <v>495</v>
      </c>
      <c r="S1" s="41" t="s">
        <v>496</v>
      </c>
      <c r="T1" s="41" t="s">
        <v>497</v>
      </c>
      <c r="U1" s="95" t="s">
        <v>574</v>
      </c>
      <c r="V1" s="247" t="s">
        <v>731</v>
      </c>
      <c r="W1" s="273" t="s">
        <v>732</v>
      </c>
      <c r="X1" s="273" t="s">
        <v>733</v>
      </c>
      <c r="Y1" s="41"/>
      <c r="Z1" s="41"/>
    </row>
    <row r="2" spans="1:26" x14ac:dyDescent="0.25">
      <c r="A2" s="247" t="s">
        <v>227</v>
      </c>
      <c r="B2" s="41">
        <v>15</v>
      </c>
      <c r="C2" s="41" t="s">
        <v>404</v>
      </c>
      <c r="D2" s="41">
        <v>1400</v>
      </c>
      <c r="E2" s="41" t="s">
        <v>524</v>
      </c>
      <c r="F2" s="41" t="s">
        <v>543</v>
      </c>
      <c r="G2" s="41">
        <v>0</v>
      </c>
      <c r="H2" s="41">
        <v>0</v>
      </c>
      <c r="I2" s="41">
        <v>0</v>
      </c>
      <c r="J2" s="41">
        <v>0</v>
      </c>
      <c r="K2" s="41">
        <v>0</v>
      </c>
      <c r="L2" s="41">
        <v>0</v>
      </c>
      <c r="M2" s="41">
        <v>0</v>
      </c>
      <c r="N2" s="41">
        <v>0</v>
      </c>
      <c r="O2" s="41">
        <v>0</v>
      </c>
      <c r="P2" s="41">
        <v>0</v>
      </c>
      <c r="Q2" s="41">
        <v>0.09</v>
      </c>
      <c r="R2" s="41">
        <v>0.01</v>
      </c>
      <c r="S2" s="41">
        <v>3.9</v>
      </c>
      <c r="T2" s="41">
        <v>8.39</v>
      </c>
      <c r="U2" s="41">
        <v>16.059999999999999</v>
      </c>
      <c r="V2" s="244">
        <v>25.23</v>
      </c>
      <c r="W2" s="273">
        <v>28.76</v>
      </c>
      <c r="X2" s="273">
        <v>34.15</v>
      </c>
      <c r="Y2" s="41"/>
      <c r="Z2" s="41"/>
    </row>
    <row r="3" spans="1:26" x14ac:dyDescent="0.25">
      <c r="A3" s="41" t="s">
        <v>228</v>
      </c>
      <c r="B3" s="41">
        <v>80</v>
      </c>
      <c r="C3" s="41" t="s">
        <v>405</v>
      </c>
      <c r="D3" s="41">
        <v>1628</v>
      </c>
      <c r="E3" s="41" t="s">
        <v>524</v>
      </c>
      <c r="F3" s="41" t="s">
        <v>543</v>
      </c>
      <c r="G3" s="41">
        <v>29101.94</v>
      </c>
      <c r="H3" s="41">
        <v>33318.480000000003</v>
      </c>
      <c r="I3" s="41">
        <v>36075.74</v>
      </c>
      <c r="J3" s="41">
        <v>33371.86</v>
      </c>
      <c r="K3" s="41">
        <v>18401.02</v>
      </c>
      <c r="L3" s="41">
        <v>32071.58</v>
      </c>
      <c r="M3" s="41">
        <v>36012.86</v>
      </c>
      <c r="N3" s="41">
        <v>35970.76</v>
      </c>
      <c r="O3" s="41">
        <v>35160.410000000003</v>
      </c>
      <c r="P3" s="41">
        <v>36316.32</v>
      </c>
      <c r="Q3" s="41">
        <v>34164.5</v>
      </c>
      <c r="R3" s="41">
        <v>33502.42</v>
      </c>
      <c r="S3" s="41">
        <v>34185.760000000002</v>
      </c>
      <c r="T3" s="41">
        <v>30985.15</v>
      </c>
      <c r="U3" s="41">
        <v>34159.89</v>
      </c>
      <c r="V3" s="244">
        <v>32079.9</v>
      </c>
      <c r="W3" s="273">
        <v>34150.36</v>
      </c>
      <c r="X3" s="273">
        <v>29507.67</v>
      </c>
      <c r="Y3" s="41"/>
      <c r="Z3" s="41"/>
    </row>
    <row r="4" spans="1:26" x14ac:dyDescent="0.25">
      <c r="A4" s="41" t="s">
        <v>229</v>
      </c>
      <c r="B4" s="41">
        <v>165</v>
      </c>
      <c r="C4" s="41" t="s">
        <v>406</v>
      </c>
      <c r="D4" s="41">
        <v>2215</v>
      </c>
      <c r="E4" s="41">
        <v>105</v>
      </c>
      <c r="F4" s="41">
        <v>2027</v>
      </c>
      <c r="G4" s="41">
        <v>105598.02</v>
      </c>
      <c r="H4" s="41">
        <v>95814.76</v>
      </c>
      <c r="I4" s="41">
        <v>101993.3</v>
      </c>
      <c r="J4" s="41">
        <v>98268.56</v>
      </c>
      <c r="K4" s="41">
        <v>97681.18</v>
      </c>
      <c r="L4" s="41">
        <v>89461.84</v>
      </c>
      <c r="M4" s="41">
        <v>96561.78</v>
      </c>
      <c r="N4" s="41">
        <v>96508.93</v>
      </c>
      <c r="O4" s="41">
        <v>90769.49</v>
      </c>
      <c r="P4" s="41">
        <v>95899.7</v>
      </c>
      <c r="Q4" s="41">
        <v>99002.14</v>
      </c>
      <c r="R4" s="41">
        <v>104641.56</v>
      </c>
      <c r="S4" s="41">
        <v>100600.8</v>
      </c>
      <c r="T4" s="41">
        <v>93044.76</v>
      </c>
      <c r="U4" s="41">
        <v>101202.89</v>
      </c>
      <c r="V4" s="244">
        <v>97191.84</v>
      </c>
      <c r="W4" s="273">
        <v>94445.48</v>
      </c>
      <c r="X4" s="273">
        <v>91656.68</v>
      </c>
      <c r="Y4" s="41"/>
      <c r="Z4" s="41"/>
    </row>
    <row r="5" spans="1:26" x14ac:dyDescent="0.25">
      <c r="A5" s="41" t="s">
        <v>465</v>
      </c>
      <c r="B5" s="41">
        <v>45</v>
      </c>
      <c r="C5" s="41" t="s">
        <v>466</v>
      </c>
      <c r="D5" s="41">
        <v>1926</v>
      </c>
      <c r="E5" s="310" t="s">
        <v>524</v>
      </c>
      <c r="F5" s="41">
        <v>2025</v>
      </c>
      <c r="G5" s="41">
        <v>28794.39</v>
      </c>
      <c r="H5" s="41">
        <v>25946.28</v>
      </c>
      <c r="I5" s="41">
        <v>28860.73</v>
      </c>
      <c r="J5" s="41">
        <v>27505.33</v>
      </c>
      <c r="K5" s="41">
        <v>28018.02</v>
      </c>
      <c r="L5" s="41">
        <v>26265.75</v>
      </c>
      <c r="M5" s="41">
        <v>26135.18</v>
      </c>
      <c r="N5" s="41">
        <v>18488.52</v>
      </c>
      <c r="O5" s="41">
        <v>26008</v>
      </c>
      <c r="P5" s="41">
        <v>26569.13</v>
      </c>
      <c r="Q5" s="41">
        <v>26406.1</v>
      </c>
      <c r="R5" s="41">
        <v>27858.91</v>
      </c>
      <c r="S5" s="41">
        <v>27547.03</v>
      </c>
      <c r="T5" s="41">
        <v>25278.84</v>
      </c>
      <c r="U5" s="41">
        <v>28172.91</v>
      </c>
      <c r="V5" s="244">
        <v>26954.05</v>
      </c>
      <c r="W5" s="273">
        <v>26266.79</v>
      </c>
      <c r="X5" s="273">
        <v>10817.13</v>
      </c>
      <c r="Y5" s="41"/>
      <c r="Z5" s="41"/>
    </row>
    <row r="6" spans="1:26" x14ac:dyDescent="0.25">
      <c r="A6" s="104" t="s">
        <v>230</v>
      </c>
      <c r="B6" s="41">
        <v>135</v>
      </c>
      <c r="C6" s="41" t="s">
        <v>402</v>
      </c>
      <c r="D6" s="41">
        <v>1177</v>
      </c>
      <c r="E6" s="41" t="s">
        <v>524</v>
      </c>
      <c r="F6" s="41" t="s">
        <v>543</v>
      </c>
      <c r="G6" s="41">
        <v>13977.2</v>
      </c>
      <c r="H6" s="41">
        <v>10356.700000000001</v>
      </c>
      <c r="I6" s="41">
        <v>17034.2</v>
      </c>
      <c r="J6" s="41">
        <v>19559</v>
      </c>
      <c r="K6" s="41">
        <v>29814.2</v>
      </c>
      <c r="L6" s="41">
        <v>31445</v>
      </c>
      <c r="M6" s="41">
        <v>40988.400000000001</v>
      </c>
      <c r="N6" s="41">
        <v>42668</v>
      </c>
      <c r="O6" s="41">
        <v>29731.4</v>
      </c>
      <c r="P6" s="41">
        <v>14884.7</v>
      </c>
      <c r="Q6" s="41">
        <v>11433</v>
      </c>
      <c r="R6" s="41">
        <v>18623.7</v>
      </c>
      <c r="S6" s="105">
        <v>16364</v>
      </c>
      <c r="T6" s="105">
        <v>12602</v>
      </c>
      <c r="U6" s="105">
        <v>14338.1</v>
      </c>
      <c r="V6" s="248">
        <v>16073.4</v>
      </c>
      <c r="W6" s="275">
        <v>15518.7</v>
      </c>
      <c r="X6" s="275">
        <v>31780.5</v>
      </c>
      <c r="Y6" s="41"/>
      <c r="Z6" s="41"/>
    </row>
    <row r="7" spans="1:26" x14ac:dyDescent="0.25">
      <c r="A7" s="41" t="s">
        <v>231</v>
      </c>
      <c r="B7" s="41">
        <v>15</v>
      </c>
      <c r="C7" s="41" t="s">
        <v>408</v>
      </c>
      <c r="D7" s="41">
        <v>1353</v>
      </c>
      <c r="E7" s="41" t="s">
        <v>524</v>
      </c>
      <c r="F7" s="41" t="s">
        <v>543</v>
      </c>
      <c r="G7" s="41">
        <v>3601.05</v>
      </c>
      <c r="H7" s="41">
        <v>2256.52</v>
      </c>
      <c r="I7" s="41">
        <v>2589.73</v>
      </c>
      <c r="J7" s="41">
        <v>7930.33</v>
      </c>
      <c r="K7" s="41">
        <v>10208.969999999999</v>
      </c>
      <c r="L7" s="41">
        <v>4783.33</v>
      </c>
      <c r="M7" s="41">
        <v>2806.87</v>
      </c>
      <c r="N7" s="41">
        <v>2199.88</v>
      </c>
      <c r="O7" s="41">
        <v>1838</v>
      </c>
      <c r="P7" s="41">
        <v>322.38</v>
      </c>
      <c r="Q7" s="41">
        <v>62.74</v>
      </c>
      <c r="R7" s="41">
        <v>660.41</v>
      </c>
      <c r="S7" s="41">
        <v>3657.78</v>
      </c>
      <c r="T7" s="41">
        <v>1798.55</v>
      </c>
      <c r="U7" s="41">
        <v>2017.27</v>
      </c>
      <c r="V7" s="244">
        <v>4686.04</v>
      </c>
      <c r="W7" s="273">
        <v>6544.28</v>
      </c>
      <c r="X7" s="273">
        <v>9713.75</v>
      </c>
      <c r="Y7" s="41"/>
      <c r="Z7" s="41"/>
    </row>
    <row r="8" spans="1:26" x14ac:dyDescent="0.25">
      <c r="A8" s="41" t="s">
        <v>232</v>
      </c>
      <c r="B8" s="41">
        <v>20.9</v>
      </c>
      <c r="C8" s="41" t="s">
        <v>403</v>
      </c>
      <c r="D8" s="41">
        <v>1340</v>
      </c>
      <c r="E8" s="41" t="s">
        <v>524</v>
      </c>
      <c r="F8" s="41" t="s">
        <v>543</v>
      </c>
      <c r="G8" s="41">
        <v>148.62</v>
      </c>
      <c r="H8" s="41">
        <v>132.77000000000001</v>
      </c>
      <c r="I8" s="41">
        <v>146.74</v>
      </c>
      <c r="J8" s="41">
        <v>141.19999999999999</v>
      </c>
      <c r="K8" s="41">
        <v>145.93</v>
      </c>
      <c r="L8" s="41">
        <v>4914.8</v>
      </c>
      <c r="M8" s="41">
        <v>6555.86</v>
      </c>
      <c r="N8" s="41">
        <v>7379.37</v>
      </c>
      <c r="O8" s="41">
        <v>2590.16</v>
      </c>
      <c r="P8" s="41">
        <v>144.80000000000001</v>
      </c>
      <c r="Q8" s="41">
        <v>140.36000000000001</v>
      </c>
      <c r="R8" s="41">
        <v>164.19</v>
      </c>
      <c r="S8" s="41">
        <v>147.4</v>
      </c>
      <c r="T8" s="41">
        <v>130.52000000000001</v>
      </c>
      <c r="U8" s="41">
        <v>145.6</v>
      </c>
      <c r="V8" s="244">
        <v>87.62</v>
      </c>
      <c r="W8" s="273">
        <v>10.37</v>
      </c>
      <c r="X8" s="273">
        <v>1622</v>
      </c>
      <c r="Y8" s="41"/>
      <c r="Z8" s="41"/>
    </row>
    <row r="9" spans="1:26" x14ac:dyDescent="0.25">
      <c r="A9" s="41" t="s">
        <v>233</v>
      </c>
      <c r="B9" s="41">
        <v>5.52</v>
      </c>
      <c r="C9" s="41" t="s">
        <v>400</v>
      </c>
      <c r="D9" s="41">
        <v>1370</v>
      </c>
      <c r="E9" s="41" t="s">
        <v>524</v>
      </c>
      <c r="F9" s="41" t="s">
        <v>543</v>
      </c>
      <c r="G9" s="41">
        <v>0</v>
      </c>
      <c r="H9" s="41">
        <v>0</v>
      </c>
      <c r="I9" s="41">
        <v>0</v>
      </c>
      <c r="J9" s="41">
        <v>0</v>
      </c>
      <c r="K9" s="41">
        <v>305.83</v>
      </c>
      <c r="L9" s="41">
        <v>1609.69</v>
      </c>
      <c r="M9" s="41">
        <v>1797.51</v>
      </c>
      <c r="N9" s="41">
        <v>1502.69</v>
      </c>
      <c r="O9" s="41">
        <v>728.06</v>
      </c>
      <c r="P9" s="41">
        <v>0</v>
      </c>
      <c r="Q9" s="41">
        <v>0</v>
      </c>
      <c r="R9" s="41">
        <v>0</v>
      </c>
      <c r="S9" s="41">
        <v>0</v>
      </c>
      <c r="T9" s="41">
        <v>0</v>
      </c>
      <c r="U9" s="41">
        <v>0</v>
      </c>
      <c r="V9" s="244">
        <v>485.81</v>
      </c>
      <c r="W9" s="273">
        <v>104.36</v>
      </c>
      <c r="X9" s="273">
        <v>847.51</v>
      </c>
      <c r="Y9" s="41"/>
      <c r="Z9" s="41"/>
    </row>
    <row r="10" spans="1:26" x14ac:dyDescent="0.25">
      <c r="A10" s="41" t="s">
        <v>234</v>
      </c>
      <c r="B10" s="41">
        <v>20.399999999999999</v>
      </c>
      <c r="C10" s="41" t="s">
        <v>407</v>
      </c>
      <c r="D10" s="41">
        <v>1002</v>
      </c>
      <c r="E10" s="41" t="s">
        <v>524</v>
      </c>
      <c r="F10" s="41" t="s">
        <v>543</v>
      </c>
      <c r="G10" s="41">
        <v>4954.78</v>
      </c>
      <c r="H10" s="41">
        <v>4203.1400000000003</v>
      </c>
      <c r="I10" s="41">
        <v>5236.7299999999996</v>
      </c>
      <c r="J10" s="41">
        <v>6449.45</v>
      </c>
      <c r="K10" s="41">
        <v>7540.64</v>
      </c>
      <c r="L10" s="41">
        <v>5874.57</v>
      </c>
      <c r="M10" s="41">
        <v>5945.52</v>
      </c>
      <c r="N10" s="41">
        <v>5420.82</v>
      </c>
      <c r="O10" s="41">
        <v>4150.62</v>
      </c>
      <c r="P10" s="41">
        <v>4791.72</v>
      </c>
      <c r="Q10" s="41">
        <v>4401.8500000000004</v>
      </c>
      <c r="R10" s="41">
        <v>4560.1000000000004</v>
      </c>
      <c r="S10" s="41">
        <v>4225.82</v>
      </c>
      <c r="T10" s="41">
        <v>3652.4</v>
      </c>
      <c r="U10" s="41">
        <v>3350.35</v>
      </c>
      <c r="V10" s="244">
        <v>4903.32</v>
      </c>
      <c r="W10" s="273">
        <v>6096.06</v>
      </c>
      <c r="X10" s="273">
        <v>9105.41</v>
      </c>
      <c r="Y10" s="41"/>
      <c r="Z10" s="41"/>
    </row>
    <row r="11" spans="1:26" x14ac:dyDescent="0.25">
      <c r="A11" s="41" t="s">
        <v>235</v>
      </c>
      <c r="B11" s="41">
        <v>15.36</v>
      </c>
      <c r="C11" s="41" t="s">
        <v>409</v>
      </c>
      <c r="D11" s="41">
        <v>1287</v>
      </c>
      <c r="E11" s="41" t="s">
        <v>524</v>
      </c>
      <c r="F11" s="41" t="s">
        <v>543</v>
      </c>
      <c r="G11" s="41">
        <v>1857.5</v>
      </c>
      <c r="H11" s="41">
        <v>1667.5</v>
      </c>
      <c r="I11" s="41">
        <v>1847.2</v>
      </c>
      <c r="J11" s="41">
        <v>1799.5</v>
      </c>
      <c r="K11" s="41">
        <v>1900.5</v>
      </c>
      <c r="L11" s="41">
        <v>2702</v>
      </c>
      <c r="M11" s="41">
        <v>4184.8</v>
      </c>
      <c r="N11" s="41">
        <v>5087.3999999999996</v>
      </c>
      <c r="O11" s="41">
        <v>4620.3</v>
      </c>
      <c r="P11" s="41">
        <v>1401</v>
      </c>
      <c r="Q11" s="41">
        <v>0</v>
      </c>
      <c r="R11" s="41">
        <v>576.79999999999995</v>
      </c>
      <c r="S11" s="41">
        <v>1860</v>
      </c>
      <c r="T11" s="41">
        <v>1162.5</v>
      </c>
      <c r="U11" s="41">
        <v>867.5</v>
      </c>
      <c r="V11" s="244">
        <v>2419.1999999999998</v>
      </c>
      <c r="W11" s="273">
        <v>2252</v>
      </c>
      <c r="X11" s="273">
        <v>4359.1000000000004</v>
      </c>
      <c r="Y11" s="41"/>
      <c r="Z11" s="41"/>
    </row>
    <row r="12" spans="1:26" x14ac:dyDescent="0.25">
      <c r="A12" s="41" t="s">
        <v>236</v>
      </c>
      <c r="B12" s="41">
        <v>24.94</v>
      </c>
      <c r="C12" s="41" t="s">
        <v>410</v>
      </c>
      <c r="D12" s="41">
        <v>2283</v>
      </c>
      <c r="E12" s="41" t="s">
        <v>524</v>
      </c>
      <c r="F12" s="41" t="s">
        <v>543</v>
      </c>
      <c r="G12" s="41">
        <v>6888.53</v>
      </c>
      <c r="H12" s="41">
        <v>4869.03</v>
      </c>
      <c r="I12" s="41">
        <v>13323.93</v>
      </c>
      <c r="J12" s="41">
        <v>17770</v>
      </c>
      <c r="K12" s="41">
        <v>18237.810000000001</v>
      </c>
      <c r="L12" s="41">
        <v>16529.3</v>
      </c>
      <c r="M12" s="41">
        <v>15491.74</v>
      </c>
      <c r="N12" s="41">
        <v>7346.68</v>
      </c>
      <c r="O12" s="41">
        <v>8336.43</v>
      </c>
      <c r="P12" s="41">
        <v>13189.53</v>
      </c>
      <c r="Q12" s="41">
        <v>7790.27</v>
      </c>
      <c r="R12" s="41">
        <v>5943.68</v>
      </c>
      <c r="S12" s="41">
        <v>6426.72</v>
      </c>
      <c r="T12" s="41">
        <v>8478.27</v>
      </c>
      <c r="U12" s="41">
        <v>6718.52</v>
      </c>
      <c r="V12" s="244">
        <v>11085.77</v>
      </c>
      <c r="W12" s="273">
        <v>7729.3</v>
      </c>
      <c r="X12" s="273">
        <v>13607.31</v>
      </c>
      <c r="Y12" s="41"/>
      <c r="Z12" s="41"/>
    </row>
    <row r="13" spans="1:26" x14ac:dyDescent="0.25">
      <c r="A13" s="41" t="s">
        <v>237</v>
      </c>
      <c r="B13" s="41">
        <v>16.8</v>
      </c>
      <c r="C13" s="41" t="s">
        <v>401</v>
      </c>
      <c r="D13" s="41">
        <v>943</v>
      </c>
      <c r="E13" s="41" t="s">
        <v>524</v>
      </c>
      <c r="F13" s="41" t="s">
        <v>543</v>
      </c>
      <c r="G13" s="41">
        <v>5162.99</v>
      </c>
      <c r="H13" s="41">
        <v>3680.01</v>
      </c>
      <c r="I13" s="41">
        <v>1610.87</v>
      </c>
      <c r="J13" s="41">
        <v>1764.97</v>
      </c>
      <c r="K13" s="41">
        <v>1768.95</v>
      </c>
      <c r="L13" s="41">
        <v>2231.27</v>
      </c>
      <c r="M13" s="41">
        <v>4728.88</v>
      </c>
      <c r="N13" s="41">
        <v>3446.14</v>
      </c>
      <c r="O13" s="41">
        <v>1641.96</v>
      </c>
      <c r="P13" s="41">
        <v>1153.55</v>
      </c>
      <c r="Q13" s="41">
        <v>864.89</v>
      </c>
      <c r="R13" s="41">
        <v>1196.21</v>
      </c>
      <c r="S13" s="41">
        <v>2934.52</v>
      </c>
      <c r="T13" s="41">
        <v>8162.78</v>
      </c>
      <c r="U13" s="41">
        <v>7237.78</v>
      </c>
      <c r="V13" s="244">
        <v>5411.05</v>
      </c>
      <c r="W13" s="273">
        <v>5095.6099999999997</v>
      </c>
      <c r="X13" s="273">
        <v>4420.16</v>
      </c>
      <c r="Y13" s="41"/>
      <c r="Z13" s="41"/>
    </row>
    <row r="14" spans="1:26" x14ac:dyDescent="0.25">
      <c r="A14" s="286" t="s">
        <v>826</v>
      </c>
      <c r="B14" s="41">
        <v>49.53</v>
      </c>
      <c r="C14" s="41"/>
      <c r="D14" s="41"/>
      <c r="E14" s="41" t="s">
        <v>524</v>
      </c>
      <c r="F14" s="41" t="s">
        <v>543</v>
      </c>
      <c r="G14" s="41"/>
      <c r="H14" s="41"/>
      <c r="I14" s="41"/>
      <c r="J14" s="41"/>
      <c r="K14" s="41"/>
      <c r="L14" s="41"/>
      <c r="M14" s="41"/>
      <c r="N14" s="41"/>
      <c r="O14" s="41"/>
      <c r="P14" s="41"/>
      <c r="Q14" s="41"/>
      <c r="R14" s="41"/>
      <c r="S14" s="41"/>
      <c r="T14" s="41"/>
      <c r="U14" s="41"/>
      <c r="V14" s="244"/>
      <c r="W14" s="273"/>
      <c r="X14" s="273"/>
      <c r="Y14" s="41"/>
      <c r="Z14" s="41"/>
    </row>
    <row r="15" spans="1:26" x14ac:dyDescent="0.25">
      <c r="A15" s="41" t="s">
        <v>37</v>
      </c>
      <c r="B15" s="41">
        <v>473.45</v>
      </c>
      <c r="C15" s="41"/>
      <c r="D15" s="41"/>
      <c r="E15" s="41"/>
      <c r="F15" s="41"/>
      <c r="G15" s="41">
        <v>200084.02</v>
      </c>
      <c r="H15" s="41">
        <v>182245.19</v>
      </c>
      <c r="I15" s="41">
        <v>208719.17</v>
      </c>
      <c r="J15" s="41">
        <v>214560.2</v>
      </c>
      <c r="K15" s="41">
        <v>214022.05</v>
      </c>
      <c r="L15" s="41">
        <v>217889.13</v>
      </c>
      <c r="M15" s="41">
        <v>241209.4</v>
      </c>
      <c r="N15" s="41">
        <v>226019.19</v>
      </c>
      <c r="O15" s="41">
        <v>205574.83</v>
      </c>
      <c r="P15" s="41">
        <v>194672.83</v>
      </c>
      <c r="Q15" s="41">
        <v>184265.94</v>
      </c>
      <c r="R15" s="41">
        <v>197727.99</v>
      </c>
      <c r="S15" s="41">
        <f>SUM(S2:S5,S7:S13)</f>
        <v>181589.73</v>
      </c>
      <c r="T15" s="41">
        <f t="shared" ref="T15:U15" si="0">SUM(T2:T5,T7:T13)</f>
        <v>172702.15999999995</v>
      </c>
      <c r="U15" s="41">
        <f t="shared" si="0"/>
        <v>183888.77</v>
      </c>
      <c r="V15" s="244">
        <v>201403.23</v>
      </c>
      <c r="W15" s="273">
        <v>198242.07</v>
      </c>
      <c r="X15" s="273">
        <v>207471.37</v>
      </c>
      <c r="Y15" s="41"/>
      <c r="Z15" s="41"/>
    </row>
    <row r="16" spans="1:26" x14ac:dyDescent="0.25">
      <c r="A16" s="41" t="s">
        <v>238</v>
      </c>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x14ac:dyDescent="0.25">
      <c r="A17" s="41" t="s">
        <v>239</v>
      </c>
      <c r="B17" s="41">
        <v>56.4</v>
      </c>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x14ac:dyDescent="0.25">
      <c r="A18" s="41" t="s">
        <v>240</v>
      </c>
      <c r="B18" s="41">
        <v>1.5</v>
      </c>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x14ac:dyDescent="0.25">
      <c r="A19" s="41" t="s">
        <v>37</v>
      </c>
      <c r="B19" s="41">
        <f>SUM(B17:B18)</f>
        <v>57.9</v>
      </c>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x14ac:dyDescent="0.25">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x14ac:dyDescent="0.25">
      <c r="A21" s="34" t="s">
        <v>542</v>
      </c>
      <c r="B21" s="41"/>
      <c r="C21" s="41"/>
      <c r="D21" s="41"/>
      <c r="E21" s="41"/>
      <c r="F21" s="41"/>
      <c r="G21" s="41"/>
      <c r="H21" s="41"/>
      <c r="I21" s="41"/>
      <c r="J21" s="41"/>
      <c r="K21" s="41"/>
      <c r="L21" s="41"/>
      <c r="M21" s="41"/>
      <c r="N21" s="41"/>
      <c r="O21" s="41"/>
      <c r="P21" s="41"/>
      <c r="Q21" s="41"/>
      <c r="R21" s="41"/>
      <c r="S21" s="99">
        <f>(SUM(S2:S5)/SUM(G2:G5))-1</f>
        <v>-7.075840847099335E-3</v>
      </c>
      <c r="T21" s="99">
        <f>(SUM(T2:T5)/SUM(H2:H5))-1</f>
        <v>-3.7157582123029553E-2</v>
      </c>
      <c r="U21" s="99">
        <f>(SUM(U2:U5)/SUM(I2:I5))-1</f>
        <v>-2.0236174769785009E-2</v>
      </c>
      <c r="V21" s="99">
        <f t="shared" ref="V21:W21" si="1">(SUM(V2:V5)/SUM(J2:J5))-1</f>
        <v>-1.8189175645595412E-2</v>
      </c>
      <c r="W21" s="99">
        <f t="shared" si="1"/>
        <v>7.488656158887208E-2</v>
      </c>
      <c r="X21" s="99">
        <f>(SUM(X2:X5)/SUM(L2:L5))-1</f>
        <v>-0.10679045085300531</v>
      </c>
      <c r="Y21" s="41"/>
      <c r="Z21" s="41"/>
    </row>
    <row r="22" spans="1:26" x14ac:dyDescent="0.25">
      <c r="A22" s="34" t="s">
        <v>550</v>
      </c>
      <c r="B22" s="41"/>
      <c r="C22" s="41"/>
      <c r="D22" s="41"/>
      <c r="E22" s="41"/>
      <c r="F22" s="41"/>
      <c r="G22" s="41"/>
      <c r="H22" s="41"/>
      <c r="I22" s="41"/>
      <c r="J22" s="41"/>
      <c r="K22" s="41"/>
      <c r="L22" s="41"/>
      <c r="M22" s="41"/>
      <c r="N22" s="41"/>
      <c r="O22" s="41"/>
      <c r="P22" s="41"/>
      <c r="Q22" s="41"/>
      <c r="R22" s="41"/>
      <c r="S22" s="99"/>
      <c r="T22" s="99">
        <f>(SUM(S2:T5)/SUM(G2:H5))-1</f>
        <v>-2.171942099331603E-2</v>
      </c>
      <c r="U22" s="99">
        <f>(SUM(S2:U5)/SUM(G2:I5))-1</f>
        <v>-2.120943933602637E-2</v>
      </c>
      <c r="V22" s="99">
        <f>(SUM(S2:V5)/SUM(G2:J5))-1</f>
        <v>-2.0463821427023854E-2</v>
      </c>
      <c r="W22" s="99">
        <f>(SUM(S2:W5)/SUM(G2:K5))-1</f>
        <v>-3.0438303481375995E-3</v>
      </c>
      <c r="X22" s="99">
        <f>(SUM(S2:X5)/SUM(G2:L5))-1</f>
        <v>-1.9416351169663448E-2</v>
      </c>
      <c r="Y22" s="41"/>
      <c r="Z22" s="41"/>
    </row>
    <row r="23" spans="1:26" x14ac:dyDescent="0.25">
      <c r="A23" s="34" t="s">
        <v>532</v>
      </c>
      <c r="B23" s="41"/>
      <c r="C23" s="41"/>
      <c r="D23" s="41"/>
      <c r="E23" s="41"/>
      <c r="F23" s="41"/>
      <c r="G23" s="41"/>
      <c r="H23" s="41"/>
      <c r="I23" s="41"/>
      <c r="J23" s="41"/>
      <c r="K23" s="41"/>
      <c r="L23" s="41"/>
      <c r="M23" s="41"/>
      <c r="N23" s="41"/>
      <c r="O23" s="41"/>
      <c r="P23" s="41"/>
      <c r="Q23" s="41"/>
      <c r="R23" s="41"/>
      <c r="S23" s="99">
        <f>(SUM(S7:S13)/SUM(G7:G13))-1</f>
        <v>-0.14863840003325446</v>
      </c>
      <c r="T23" s="99">
        <f>(SUM(T7:T13)/SUM(H7:H13))-1</f>
        <v>0.39122266266166217</v>
      </c>
      <c r="U23" s="99">
        <f>(SUM(U7:U13)/SUM(I7:I13))-1</f>
        <v>-0.17847482549120997</v>
      </c>
      <c r="V23" s="99">
        <f t="shared" ref="V23:X23" si="2">(SUM(V7:V13)/SUM(J7:J13))-1</f>
        <v>-0.18899888301499479</v>
      </c>
      <c r="W23" s="99">
        <f t="shared" si="2"/>
        <v>-0.3060849996621674</v>
      </c>
      <c r="X23" s="99">
        <f t="shared" si="2"/>
        <v>0.13016652106768878</v>
      </c>
      <c r="Y23" s="41"/>
      <c r="Z23" s="41"/>
    </row>
    <row r="24" spans="1:26" x14ac:dyDescent="0.25">
      <c r="A24" s="34" t="s">
        <v>526</v>
      </c>
      <c r="B24" s="41"/>
      <c r="C24" s="41"/>
      <c r="D24" s="41"/>
      <c r="E24" s="41"/>
      <c r="F24" s="41"/>
      <c r="G24" s="41"/>
      <c r="H24" s="41"/>
      <c r="I24" s="41"/>
      <c r="J24" s="41"/>
      <c r="K24" s="41"/>
      <c r="L24" s="41"/>
      <c r="M24" s="41"/>
      <c r="N24" s="41"/>
      <c r="O24" s="41"/>
      <c r="P24" s="41"/>
      <c r="Q24" s="41"/>
      <c r="R24" s="41"/>
      <c r="S24" s="99"/>
      <c r="T24" s="99">
        <f>(SUM(S7:T13)/SUM(G7:H13))-1</f>
        <v>8.1547971155514487E-2</v>
      </c>
      <c r="U24" s="99">
        <f>(SUM(S7:U13)/SUM(G7:I13))-1</f>
        <v>-1.8750455766214036E-2</v>
      </c>
      <c r="V24" s="99">
        <f>(SUM(S7:V13)/SUM(G7:J13))-1</f>
        <v>-7.9773602914795405E-2</v>
      </c>
      <c r="W24" s="99">
        <f>(SUM(S7:W13)/SUM(G7:K13))-1</f>
        <v>-0.14454403727883458</v>
      </c>
      <c r="X24" s="99">
        <f>(SUM(S7:X13)/SUM(G7:L13))-1</f>
        <v>-8.5165013411513835E-2</v>
      </c>
      <c r="Y24" s="41"/>
      <c r="Z24" s="41"/>
    </row>
    <row r="25" spans="1:26" x14ac:dyDescent="0.25">
      <c r="A25" s="34" t="s">
        <v>529</v>
      </c>
      <c r="B25" s="41"/>
      <c r="C25" s="41"/>
      <c r="D25" s="41"/>
      <c r="E25" s="41"/>
      <c r="F25" s="41"/>
      <c r="G25" s="41"/>
      <c r="H25" s="41"/>
      <c r="I25" s="41"/>
      <c r="J25" s="41"/>
      <c r="K25" s="41"/>
      <c r="L25" s="41"/>
      <c r="M25" s="41"/>
      <c r="N25" s="41"/>
      <c r="O25" s="41"/>
      <c r="P25" s="41"/>
      <c r="Q25" s="41"/>
      <c r="R25" s="41"/>
      <c r="S25" s="99">
        <f>(S15/G15)-1</f>
        <v>-9.2432619056734167E-2</v>
      </c>
      <c r="T25" s="99">
        <f>(T15/H15)-1</f>
        <v>-5.2363686525828457E-2</v>
      </c>
      <c r="U25" s="99">
        <f>(U15/I15)-1</f>
        <v>-0.11896559381680194</v>
      </c>
      <c r="V25" s="99">
        <f t="shared" ref="V25:X25" si="3">(V15/J15)-1</f>
        <v>-6.1320645674267649E-2</v>
      </c>
      <c r="W25" s="99">
        <f t="shared" si="3"/>
        <v>-7.3730627288169481E-2</v>
      </c>
      <c r="X25" s="99">
        <f t="shared" si="3"/>
        <v>-4.7812206143555747E-2</v>
      </c>
      <c r="Y25" s="41"/>
      <c r="Z25" s="41"/>
    </row>
    <row r="26" spans="1:26" x14ac:dyDescent="0.25">
      <c r="A26" s="34" t="s">
        <v>530</v>
      </c>
      <c r="B26" s="41"/>
      <c r="C26" s="41"/>
      <c r="D26" s="41"/>
      <c r="E26" s="41"/>
      <c r="F26" s="41"/>
      <c r="G26" s="41"/>
      <c r="H26" s="41"/>
      <c r="I26" s="41"/>
      <c r="J26" s="41"/>
      <c r="K26" s="41"/>
      <c r="L26" s="41"/>
      <c r="M26" s="41"/>
      <c r="N26" s="41"/>
      <c r="O26" s="41"/>
      <c r="P26" s="41"/>
      <c r="Q26" s="41"/>
      <c r="R26" s="41"/>
      <c r="S26" s="99"/>
      <c r="T26" s="99">
        <f>(SUM(S15:T15)/SUM(G15:H15))-1</f>
        <v>-7.3332926877336946E-2</v>
      </c>
      <c r="U26" s="99">
        <f>(SUM(S15:U15)/SUM(G15:I15))-1</f>
        <v>-8.9447364697962772E-2</v>
      </c>
      <c r="V26" s="99">
        <f>(SUM(S15:V15)/SUM(G15:J15))-1</f>
        <v>-8.195628949234901E-2</v>
      </c>
      <c r="W26" s="99">
        <f>(SUM(S15:W15)/SUM(G15:K15))-1</f>
        <v>-8.0229710243208463E-2</v>
      </c>
      <c r="X26" s="99">
        <f>(SUM(S15:X15)/SUM(G15:L15))-1</f>
        <v>-7.4521985814594349E-2</v>
      </c>
      <c r="Y26" s="41"/>
      <c r="Z26" s="41"/>
    </row>
    <row r="27" spans="1:26" x14ac:dyDescent="0.25">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x14ac:dyDescent="0.25">
      <c r="A28" s="34" t="s">
        <v>667</v>
      </c>
      <c r="B28" s="25" t="s">
        <v>683</v>
      </c>
      <c r="C28" s="25" t="s">
        <v>684</v>
      </c>
      <c r="D28" s="25" t="s">
        <v>685</v>
      </c>
      <c r="E28" s="25" t="s">
        <v>686</v>
      </c>
      <c r="F28" s="25" t="s">
        <v>687</v>
      </c>
      <c r="G28" s="25" t="s">
        <v>484</v>
      </c>
      <c r="H28" s="25" t="s">
        <v>485</v>
      </c>
      <c r="I28" s="25" t="s">
        <v>486</v>
      </c>
      <c r="J28" s="25" t="s">
        <v>487</v>
      </c>
      <c r="K28" s="25" t="s">
        <v>488</v>
      </c>
      <c r="L28" s="25" t="s">
        <v>489</v>
      </c>
      <c r="M28" s="25" t="s">
        <v>490</v>
      </c>
      <c r="N28" s="25" t="s">
        <v>491</v>
      </c>
      <c r="O28" s="25" t="s">
        <v>492</v>
      </c>
      <c r="P28" s="25" t="s">
        <v>493</v>
      </c>
      <c r="Q28" s="25" t="s">
        <v>494</v>
      </c>
      <c r="R28" s="25" t="s">
        <v>495</v>
      </c>
      <c r="S28" s="25" t="s">
        <v>496</v>
      </c>
      <c r="T28" s="25" t="s">
        <v>497</v>
      </c>
      <c r="U28" s="100" t="s">
        <v>574</v>
      </c>
      <c r="V28" s="273" t="s">
        <v>731</v>
      </c>
      <c r="W28" s="273" t="s">
        <v>732</v>
      </c>
      <c r="X28" s="273" t="s">
        <v>733</v>
      </c>
      <c r="Y28" s="41"/>
      <c r="Z28" s="41"/>
    </row>
    <row r="29" spans="1:26" x14ac:dyDescent="0.25">
      <c r="A29" s="41" t="s">
        <v>227</v>
      </c>
      <c r="G29" s="107">
        <f t="shared" ref="G29:U29" si="4">G49*G2</f>
        <v>0</v>
      </c>
      <c r="H29" s="107">
        <f t="shared" si="4"/>
        <v>0</v>
      </c>
      <c r="I29" s="107">
        <f t="shared" si="4"/>
        <v>0</v>
      </c>
      <c r="J29" s="107">
        <f t="shared" si="4"/>
        <v>0</v>
      </c>
      <c r="K29" s="107">
        <f t="shared" si="4"/>
        <v>0</v>
      </c>
      <c r="L29" s="107">
        <f t="shared" si="4"/>
        <v>0</v>
      </c>
      <c r="M29" s="107">
        <f t="shared" si="4"/>
        <v>0</v>
      </c>
      <c r="N29" s="107">
        <f t="shared" si="4"/>
        <v>0</v>
      </c>
      <c r="O29" s="107">
        <f t="shared" si="4"/>
        <v>0</v>
      </c>
      <c r="P29" s="107">
        <f t="shared" si="4"/>
        <v>0</v>
      </c>
      <c r="Q29" s="107">
        <f t="shared" si="4"/>
        <v>6.0111000000000008</v>
      </c>
      <c r="R29" s="107">
        <f t="shared" si="4"/>
        <v>0.70599999999999996</v>
      </c>
      <c r="S29" s="107">
        <f t="shared" si="4"/>
        <v>265.2</v>
      </c>
      <c r="T29" s="107">
        <f t="shared" si="4"/>
        <v>412.70409999999998</v>
      </c>
      <c r="U29" s="107">
        <f t="shared" si="4"/>
        <v>630.03379999999993</v>
      </c>
      <c r="V29" s="107">
        <f t="shared" ref="V29:X29" si="5">V49*V2</f>
        <v>604.51080000000002</v>
      </c>
      <c r="W29" s="107">
        <f t="shared" si="5"/>
        <v>505.31320000000005</v>
      </c>
      <c r="X29" s="107">
        <f t="shared" si="5"/>
        <v>993.08199999999988</v>
      </c>
      <c r="Y29" s="41"/>
      <c r="Z29" s="41"/>
    </row>
    <row r="30" spans="1:26" x14ac:dyDescent="0.25">
      <c r="A30" s="41" t="s">
        <v>228</v>
      </c>
      <c r="G30" s="107">
        <f t="shared" ref="G30:U30" si="6">G49*G3</f>
        <v>2084862.9815999998</v>
      </c>
      <c r="H30" s="107">
        <f t="shared" si="6"/>
        <v>2316633.9144000001</v>
      </c>
      <c r="I30" s="107">
        <f t="shared" si="6"/>
        <v>2155886.2223999999</v>
      </c>
      <c r="J30" s="107">
        <f t="shared" si="6"/>
        <v>2187191.7044000002</v>
      </c>
      <c r="K30" s="107">
        <f t="shared" si="6"/>
        <v>1178217.3106</v>
      </c>
      <c r="L30" s="107">
        <f t="shared" si="6"/>
        <v>1826476.4810000001</v>
      </c>
      <c r="M30" s="107">
        <f t="shared" si="6"/>
        <v>2677916.2696000002</v>
      </c>
      <c r="N30" s="107">
        <f t="shared" si="6"/>
        <v>2608959.2228000001</v>
      </c>
      <c r="O30" s="107">
        <f t="shared" si="6"/>
        <v>2360318.3233000003</v>
      </c>
      <c r="P30" s="107">
        <f t="shared" si="6"/>
        <v>2407045.6896000002</v>
      </c>
      <c r="Q30" s="107">
        <f t="shared" si="6"/>
        <v>2281846.9550000001</v>
      </c>
      <c r="R30" s="107">
        <f t="shared" si="6"/>
        <v>2365270.8519999995</v>
      </c>
      <c r="S30" s="107">
        <f t="shared" si="6"/>
        <v>2324631.6800000002</v>
      </c>
      <c r="T30" s="107">
        <f t="shared" si="6"/>
        <v>1524159.5285</v>
      </c>
      <c r="U30" s="107">
        <f t="shared" si="6"/>
        <v>1340092.4846999999</v>
      </c>
      <c r="V30" s="107">
        <f t="shared" ref="V30:X30" si="7">V49*V3</f>
        <v>768634.4040000001</v>
      </c>
      <c r="W30" s="107">
        <f t="shared" si="7"/>
        <v>600021.82519999996</v>
      </c>
      <c r="X30" s="107">
        <f t="shared" si="7"/>
        <v>858083.04359999986</v>
      </c>
      <c r="Y30" s="41"/>
      <c r="Z30" s="41"/>
    </row>
    <row r="31" spans="1:26" x14ac:dyDescent="0.25">
      <c r="A31" s="41" t="s">
        <v>229</v>
      </c>
      <c r="G31" s="107">
        <f t="shared" ref="G31:U31" si="8">$E$4*G4</f>
        <v>11087792.1</v>
      </c>
      <c r="H31" s="107">
        <f t="shared" si="8"/>
        <v>10060549.799999999</v>
      </c>
      <c r="I31" s="107">
        <f t="shared" si="8"/>
        <v>10709296.5</v>
      </c>
      <c r="J31" s="107">
        <f t="shared" si="8"/>
        <v>10318198.799999999</v>
      </c>
      <c r="K31" s="107">
        <f t="shared" si="8"/>
        <v>10256523.899999999</v>
      </c>
      <c r="L31" s="107">
        <f t="shared" si="8"/>
        <v>9393493.1999999993</v>
      </c>
      <c r="M31" s="107">
        <f t="shared" si="8"/>
        <v>10138986.9</v>
      </c>
      <c r="N31" s="107">
        <f t="shared" si="8"/>
        <v>10133437.649999999</v>
      </c>
      <c r="O31" s="107">
        <f t="shared" si="8"/>
        <v>9530796.4500000011</v>
      </c>
      <c r="P31" s="107">
        <f t="shared" si="8"/>
        <v>10069468.5</v>
      </c>
      <c r="Q31" s="107">
        <f t="shared" si="8"/>
        <v>10395224.699999999</v>
      </c>
      <c r="R31" s="107">
        <f t="shared" si="8"/>
        <v>10987363.799999999</v>
      </c>
      <c r="S31" s="107">
        <f t="shared" si="8"/>
        <v>10563084</v>
      </c>
      <c r="T31" s="107">
        <f t="shared" si="8"/>
        <v>9769699.7999999989</v>
      </c>
      <c r="U31" s="107">
        <f t="shared" si="8"/>
        <v>10626303.449999999</v>
      </c>
      <c r="V31" s="107">
        <f t="shared" ref="V31:X31" si="9">$E$4*V4</f>
        <v>10205143.199999999</v>
      </c>
      <c r="W31" s="107">
        <f t="shared" si="9"/>
        <v>9916775.4000000004</v>
      </c>
      <c r="X31" s="107">
        <f t="shared" si="9"/>
        <v>9623951.3999999985</v>
      </c>
      <c r="Y31" s="41"/>
      <c r="Z31" s="41"/>
    </row>
    <row r="32" spans="1:26" x14ac:dyDescent="0.25">
      <c r="A32" s="41" t="s">
        <v>465</v>
      </c>
      <c r="G32" s="107">
        <f>G49*G5</f>
        <v>2062830.0996000001</v>
      </c>
      <c r="H32" s="107">
        <f>H49*H5</f>
        <v>1804044.8484</v>
      </c>
      <c r="I32" s="107">
        <f t="shared" ref="I32:X32" si="10">I49*I5</f>
        <v>1724717.2248</v>
      </c>
      <c r="J32" s="107">
        <f t="shared" si="10"/>
        <v>1802699.3282000003</v>
      </c>
      <c r="K32" s="107">
        <f t="shared" si="10"/>
        <v>1793993.8206</v>
      </c>
      <c r="L32" s="107">
        <f t="shared" si="10"/>
        <v>1495834.4625000001</v>
      </c>
      <c r="M32" s="107">
        <f t="shared" si="10"/>
        <v>1943411.9848</v>
      </c>
      <c r="N32" s="107">
        <f t="shared" si="10"/>
        <v>1340972.3556000001</v>
      </c>
      <c r="O32" s="107">
        <f t="shared" si="10"/>
        <v>1745917.0399999998</v>
      </c>
      <c r="P32" s="107">
        <f t="shared" si="10"/>
        <v>1761001.9364</v>
      </c>
      <c r="Q32" s="107">
        <f t="shared" si="10"/>
        <v>1763663.419</v>
      </c>
      <c r="R32" s="107">
        <f t="shared" si="10"/>
        <v>1966839.0459999999</v>
      </c>
      <c r="S32" s="107">
        <f t="shared" si="10"/>
        <v>1873198.04</v>
      </c>
      <c r="T32" s="107">
        <f t="shared" si="10"/>
        <v>1243466.1395999999</v>
      </c>
      <c r="U32" s="107">
        <f t="shared" si="10"/>
        <v>1105223.2592999998</v>
      </c>
      <c r="V32" s="107">
        <f t="shared" si="10"/>
        <v>645819.03800000006</v>
      </c>
      <c r="W32" s="107">
        <f t="shared" si="10"/>
        <v>461507.50030000001</v>
      </c>
      <c r="X32" s="107">
        <f t="shared" si="10"/>
        <v>314562.14039999997</v>
      </c>
      <c r="Y32" s="41"/>
      <c r="Z32" s="41"/>
    </row>
    <row r="33" spans="1:26" x14ac:dyDescent="0.25">
      <c r="A33" s="104" t="s">
        <v>230</v>
      </c>
      <c r="G33" s="107">
        <f t="shared" ref="G33:R33" si="11">G49*G6</f>
        <v>1001326.608</v>
      </c>
      <c r="H33" s="107">
        <f t="shared" si="11"/>
        <v>720101.35100000002</v>
      </c>
      <c r="I33" s="107">
        <f t="shared" si="11"/>
        <v>1017963.792</v>
      </c>
      <c r="J33" s="107">
        <f t="shared" si="11"/>
        <v>1281896.8600000001</v>
      </c>
      <c r="K33" s="107">
        <f t="shared" si="11"/>
        <v>1909003.226</v>
      </c>
      <c r="L33" s="107">
        <f t="shared" si="11"/>
        <v>1790792.75</v>
      </c>
      <c r="M33" s="107">
        <f t="shared" si="11"/>
        <v>3047897.4240000001</v>
      </c>
      <c r="N33" s="107">
        <f t="shared" si="11"/>
        <v>3094710.04</v>
      </c>
      <c r="O33" s="107">
        <f t="shared" si="11"/>
        <v>1995868.882</v>
      </c>
      <c r="P33" s="107">
        <f t="shared" si="11"/>
        <v>986557.91600000008</v>
      </c>
      <c r="Q33" s="107">
        <f t="shared" si="11"/>
        <v>763610.07000000007</v>
      </c>
      <c r="R33" s="107">
        <f t="shared" si="11"/>
        <v>1314833.22</v>
      </c>
      <c r="S33" s="122">
        <v>0</v>
      </c>
      <c r="T33" s="122">
        <v>0</v>
      </c>
      <c r="U33" s="122">
        <v>0</v>
      </c>
      <c r="V33" s="122">
        <v>0</v>
      </c>
      <c r="W33" s="122">
        <v>0</v>
      </c>
      <c r="X33" s="122">
        <v>0</v>
      </c>
      <c r="Y33" s="41"/>
      <c r="Z33" s="41"/>
    </row>
    <row r="34" spans="1:26" x14ac:dyDescent="0.25">
      <c r="A34" s="41" t="s">
        <v>231</v>
      </c>
      <c r="G34" s="107">
        <f t="shared" ref="G34:U34" si="12">G49*G7</f>
        <v>257979.22200000001</v>
      </c>
      <c r="H34" s="107">
        <f t="shared" si="12"/>
        <v>156895.83559999999</v>
      </c>
      <c r="I34" s="107">
        <f t="shared" si="12"/>
        <v>154762.2648</v>
      </c>
      <c r="J34" s="107">
        <f t="shared" si="12"/>
        <v>519753.82820000005</v>
      </c>
      <c r="K34" s="107">
        <f t="shared" si="12"/>
        <v>653680.34909999999</v>
      </c>
      <c r="L34" s="107">
        <f t="shared" si="12"/>
        <v>272410.64350000001</v>
      </c>
      <c r="M34" s="107">
        <f t="shared" si="12"/>
        <v>208718.85319999998</v>
      </c>
      <c r="N34" s="107">
        <f t="shared" si="12"/>
        <v>159557.29640000002</v>
      </c>
      <c r="O34" s="107">
        <f t="shared" si="12"/>
        <v>123384.93999999999</v>
      </c>
      <c r="P34" s="107">
        <f t="shared" si="12"/>
        <v>21367.346399999999</v>
      </c>
      <c r="Q34" s="107">
        <f t="shared" si="12"/>
        <v>4190.4046000000008</v>
      </c>
      <c r="R34" s="107">
        <f t="shared" si="12"/>
        <v>46624.945999999996</v>
      </c>
      <c r="S34" s="107">
        <f t="shared" si="12"/>
        <v>248729.04</v>
      </c>
      <c r="T34" s="107">
        <f t="shared" si="12"/>
        <v>88470.674499999994</v>
      </c>
      <c r="U34" s="107">
        <f t="shared" si="12"/>
        <v>79137.502099999998</v>
      </c>
      <c r="V34" s="107">
        <f t="shared" ref="V34:X34" si="13">V49*V7</f>
        <v>112277.5184</v>
      </c>
      <c r="W34" s="107">
        <f t="shared" si="13"/>
        <v>114982.9996</v>
      </c>
      <c r="X34" s="107">
        <f t="shared" si="13"/>
        <v>282475.84999999998</v>
      </c>
      <c r="Y34" s="41"/>
      <c r="Z34" s="41"/>
    </row>
    <row r="35" spans="1:26" x14ac:dyDescent="0.25">
      <c r="A35" s="41" t="s">
        <v>232</v>
      </c>
      <c r="G35" s="107">
        <f t="shared" ref="G35:U35" si="14">G49*G8</f>
        <v>10647.1368</v>
      </c>
      <c r="H35" s="107">
        <f t="shared" si="14"/>
        <v>9231.4981000000007</v>
      </c>
      <c r="I35" s="107">
        <f t="shared" si="14"/>
        <v>8769.1823999999997</v>
      </c>
      <c r="J35" s="107">
        <f t="shared" si="14"/>
        <v>9254.2479999999996</v>
      </c>
      <c r="K35" s="107">
        <f t="shared" si="14"/>
        <v>9343.8978999999999</v>
      </c>
      <c r="L35" s="107">
        <f t="shared" si="14"/>
        <v>279897.86000000004</v>
      </c>
      <c r="M35" s="107">
        <f t="shared" si="14"/>
        <v>487493.74959999998</v>
      </c>
      <c r="N35" s="107">
        <f t="shared" si="14"/>
        <v>535225.70609999995</v>
      </c>
      <c r="O35" s="107">
        <f t="shared" si="14"/>
        <v>173877.44079999998</v>
      </c>
      <c r="P35" s="107">
        <f t="shared" si="14"/>
        <v>9597.344000000001</v>
      </c>
      <c r="Q35" s="107">
        <f t="shared" si="14"/>
        <v>9374.644400000001</v>
      </c>
      <c r="R35" s="107">
        <f t="shared" si="14"/>
        <v>11591.813999999998</v>
      </c>
      <c r="S35" s="107">
        <f t="shared" si="14"/>
        <v>10023.200000000001</v>
      </c>
      <c r="T35" s="107">
        <f t="shared" si="14"/>
        <v>6420.2788</v>
      </c>
      <c r="U35" s="107">
        <f t="shared" si="14"/>
        <v>5711.887999999999</v>
      </c>
      <c r="V35" s="107">
        <f t="shared" ref="V35:X35" si="15">V49*V8</f>
        <v>2099.3752000000004</v>
      </c>
      <c r="W35" s="107">
        <f t="shared" si="15"/>
        <v>182.20089999999999</v>
      </c>
      <c r="X35" s="107">
        <f t="shared" si="15"/>
        <v>47167.759999999995</v>
      </c>
      <c r="Y35" s="41"/>
      <c r="Z35" s="41"/>
    </row>
    <row r="36" spans="1:26" x14ac:dyDescent="0.25">
      <c r="A36" s="41" t="s">
        <v>233</v>
      </c>
      <c r="G36" s="107">
        <f t="shared" ref="G36:U36" si="16">G49*G9</f>
        <v>0</v>
      </c>
      <c r="H36" s="107">
        <f t="shared" si="16"/>
        <v>0</v>
      </c>
      <c r="I36" s="107">
        <f t="shared" si="16"/>
        <v>0</v>
      </c>
      <c r="J36" s="107">
        <f t="shared" si="16"/>
        <v>0</v>
      </c>
      <c r="K36" s="107">
        <f t="shared" si="16"/>
        <v>19582.294900000001</v>
      </c>
      <c r="L36" s="107">
        <f t="shared" si="16"/>
        <v>91671.84550000001</v>
      </c>
      <c r="M36" s="107">
        <f t="shared" si="16"/>
        <v>133662.84359999999</v>
      </c>
      <c r="N36" s="107">
        <f t="shared" si="16"/>
        <v>108990.1057</v>
      </c>
      <c r="O36" s="107">
        <f t="shared" si="16"/>
        <v>48874.667799999996</v>
      </c>
      <c r="P36" s="107">
        <f t="shared" si="16"/>
        <v>0</v>
      </c>
      <c r="Q36" s="107">
        <f t="shared" si="16"/>
        <v>0</v>
      </c>
      <c r="R36" s="107">
        <f t="shared" si="16"/>
        <v>0</v>
      </c>
      <c r="S36" s="107">
        <f t="shared" si="16"/>
        <v>0</v>
      </c>
      <c r="T36" s="107">
        <f t="shared" si="16"/>
        <v>0</v>
      </c>
      <c r="U36" s="107">
        <f t="shared" si="16"/>
        <v>0</v>
      </c>
      <c r="V36" s="107">
        <f t="shared" ref="V36:X36" si="17">V49*V9</f>
        <v>11640.007600000001</v>
      </c>
      <c r="W36" s="107">
        <f t="shared" si="17"/>
        <v>1833.6052</v>
      </c>
      <c r="X36" s="107">
        <f t="shared" si="17"/>
        <v>24645.590799999998</v>
      </c>
      <c r="Y36" s="41"/>
      <c r="Z36" s="41"/>
    </row>
    <row r="37" spans="1:26" x14ac:dyDescent="0.25">
      <c r="A37" s="41" t="s">
        <v>234</v>
      </c>
      <c r="G37" s="107">
        <f t="shared" ref="G37:U37" si="18">G49*G10</f>
        <v>354960.43919999996</v>
      </c>
      <c r="H37" s="107">
        <f t="shared" si="18"/>
        <v>292244.32420000003</v>
      </c>
      <c r="I37" s="107">
        <f t="shared" si="18"/>
        <v>312946.98479999998</v>
      </c>
      <c r="J37" s="107">
        <f t="shared" si="18"/>
        <v>422696.95300000004</v>
      </c>
      <c r="K37" s="107">
        <f t="shared" si="18"/>
        <v>482827.17920000001</v>
      </c>
      <c r="L37" s="107">
        <f t="shared" si="18"/>
        <v>334556.76150000002</v>
      </c>
      <c r="M37" s="107">
        <f t="shared" si="18"/>
        <v>442108.86720000004</v>
      </c>
      <c r="N37" s="107">
        <f t="shared" si="18"/>
        <v>393172.07459999999</v>
      </c>
      <c r="O37" s="107">
        <f t="shared" si="18"/>
        <v>278631.12059999997</v>
      </c>
      <c r="P37" s="107">
        <f t="shared" si="18"/>
        <v>317595.20160000003</v>
      </c>
      <c r="Q37" s="107">
        <f t="shared" si="18"/>
        <v>293999.56150000007</v>
      </c>
      <c r="R37" s="107">
        <f t="shared" si="18"/>
        <v>321943.06</v>
      </c>
      <c r="S37" s="107">
        <f t="shared" si="18"/>
        <v>287355.76</v>
      </c>
      <c r="T37" s="107">
        <f t="shared" si="18"/>
        <v>179661.55599999998</v>
      </c>
      <c r="U37" s="107">
        <f t="shared" si="18"/>
        <v>131434.23049999998</v>
      </c>
      <c r="V37" s="107">
        <f t="shared" ref="V37:X37" si="19">V49*V10</f>
        <v>117483.5472</v>
      </c>
      <c r="W37" s="107">
        <f t="shared" si="19"/>
        <v>107107.77420000001</v>
      </c>
      <c r="X37" s="107">
        <f t="shared" si="19"/>
        <v>264785.32279999997</v>
      </c>
      <c r="Y37" s="41"/>
      <c r="Z37" s="41"/>
    </row>
    <row r="38" spans="1:26" x14ac:dyDescent="0.25">
      <c r="A38" s="41" t="s">
        <v>235</v>
      </c>
      <c r="G38" s="107">
        <f t="shared" ref="G38:U38" si="20">G49*G11</f>
        <v>133071.29999999999</v>
      </c>
      <c r="H38" s="107">
        <f t="shared" si="20"/>
        <v>115941.27500000001</v>
      </c>
      <c r="I38" s="107">
        <f t="shared" si="20"/>
        <v>110388.67200000001</v>
      </c>
      <c r="J38" s="107">
        <f t="shared" si="20"/>
        <v>117939.23000000001</v>
      </c>
      <c r="K38" s="107">
        <f t="shared" si="20"/>
        <v>121689.015</v>
      </c>
      <c r="L38" s="107">
        <f t="shared" si="20"/>
        <v>153878.9</v>
      </c>
      <c r="M38" s="107">
        <f t="shared" si="20"/>
        <v>311181.728</v>
      </c>
      <c r="N38" s="107">
        <f t="shared" si="20"/>
        <v>368989.12199999997</v>
      </c>
      <c r="O38" s="107">
        <f t="shared" si="20"/>
        <v>310160.739</v>
      </c>
      <c r="P38" s="107">
        <f t="shared" si="20"/>
        <v>92858.28</v>
      </c>
      <c r="Q38" s="107">
        <f t="shared" si="20"/>
        <v>0</v>
      </c>
      <c r="R38" s="107">
        <f t="shared" si="20"/>
        <v>40722.079999999994</v>
      </c>
      <c r="S38" s="107">
        <f t="shared" si="20"/>
        <v>126480</v>
      </c>
      <c r="T38" s="107">
        <f t="shared" si="20"/>
        <v>57183.375</v>
      </c>
      <c r="U38" s="107">
        <f t="shared" si="20"/>
        <v>34032.024999999994</v>
      </c>
      <c r="V38" s="107">
        <f t="shared" ref="V38:X38" si="21">V49*V11</f>
        <v>57964.031999999999</v>
      </c>
      <c r="W38" s="107">
        <f t="shared" si="21"/>
        <v>39567.64</v>
      </c>
      <c r="X38" s="107">
        <f t="shared" si="21"/>
        <v>126762.628</v>
      </c>
    </row>
    <row r="39" spans="1:26" x14ac:dyDescent="0.25">
      <c r="A39" s="41" t="s">
        <v>236</v>
      </c>
      <c r="G39" s="107">
        <f t="shared" ref="G39:U39" si="22">G49*G12</f>
        <v>493494.2892</v>
      </c>
      <c r="H39" s="107">
        <f t="shared" si="22"/>
        <v>338543.65590000001</v>
      </c>
      <c r="I39" s="107">
        <f t="shared" si="22"/>
        <v>796238.05680000002</v>
      </c>
      <c r="J39" s="107">
        <f t="shared" si="22"/>
        <v>1164645.8</v>
      </c>
      <c r="K39" s="107">
        <f t="shared" si="22"/>
        <v>1167766.9743000001</v>
      </c>
      <c r="L39" s="107">
        <f t="shared" si="22"/>
        <v>941343.63500000001</v>
      </c>
      <c r="M39" s="107">
        <f t="shared" si="22"/>
        <v>1151965.7863999999</v>
      </c>
      <c r="N39" s="107">
        <f t="shared" si="22"/>
        <v>532854.70039999997</v>
      </c>
      <c r="O39" s="107">
        <f t="shared" si="22"/>
        <v>559624.54590000003</v>
      </c>
      <c r="P39" s="107">
        <f t="shared" si="22"/>
        <v>874202.04840000009</v>
      </c>
      <c r="Q39" s="107">
        <f t="shared" si="22"/>
        <v>520312.1333000001</v>
      </c>
      <c r="R39" s="107">
        <f t="shared" si="22"/>
        <v>419623.80799999996</v>
      </c>
      <c r="S39" s="107">
        <f t="shared" si="22"/>
        <v>437016.96</v>
      </c>
      <c r="T39" s="107">
        <f t="shared" si="22"/>
        <v>417046.10129999998</v>
      </c>
      <c r="U39" s="107">
        <f t="shared" si="22"/>
        <v>263567.53960000002</v>
      </c>
      <c r="V39" s="107">
        <f t="shared" ref="V39:X39" si="23">V49*V12</f>
        <v>265615.04920000001</v>
      </c>
      <c r="W39" s="107">
        <f t="shared" si="23"/>
        <v>135803.80100000001</v>
      </c>
      <c r="X39" s="107">
        <f t="shared" si="23"/>
        <v>395700.57479999994</v>
      </c>
    </row>
    <row r="40" spans="1:26" x14ac:dyDescent="0.25">
      <c r="A40" s="41" t="s">
        <v>237</v>
      </c>
      <c r="G40" s="107">
        <f t="shared" ref="G40:U40" si="24">G49*G13</f>
        <v>369876.60359999997</v>
      </c>
      <c r="H40" s="107">
        <f t="shared" si="24"/>
        <v>255871.09530000002</v>
      </c>
      <c r="I40" s="107">
        <f t="shared" si="24"/>
        <v>96265.591199999995</v>
      </c>
      <c r="J40" s="107">
        <f t="shared" si="24"/>
        <v>115676.13380000001</v>
      </c>
      <c r="K40" s="107">
        <f t="shared" si="24"/>
        <v>113265.86850000001</v>
      </c>
      <c r="L40" s="107">
        <f t="shared" si="24"/>
        <v>127070.82650000001</v>
      </c>
      <c r="M40" s="107">
        <f t="shared" si="24"/>
        <v>351639.51679999998</v>
      </c>
      <c r="N40" s="107">
        <f t="shared" si="24"/>
        <v>249948.53419999999</v>
      </c>
      <c r="O40" s="107">
        <f t="shared" si="24"/>
        <v>110224.7748</v>
      </c>
      <c r="P40" s="107">
        <f t="shared" si="24"/>
        <v>76457.293999999994</v>
      </c>
      <c r="Q40" s="107">
        <f t="shared" si="24"/>
        <v>57766.003100000002</v>
      </c>
      <c r="R40" s="107">
        <f t="shared" si="24"/>
        <v>84452.425999999992</v>
      </c>
      <c r="S40" s="107">
        <f t="shared" si="24"/>
        <v>199547.36</v>
      </c>
      <c r="T40" s="107">
        <f t="shared" si="24"/>
        <v>401527.1482</v>
      </c>
      <c r="U40" s="107">
        <f t="shared" si="24"/>
        <v>283938.10939999996</v>
      </c>
      <c r="V40" s="107">
        <f t="shared" ref="V40:X40" si="25">V49*V13</f>
        <v>129648.75800000002</v>
      </c>
      <c r="W40" s="107">
        <f t="shared" si="25"/>
        <v>89529.867700000003</v>
      </c>
      <c r="X40" s="107">
        <f t="shared" si="25"/>
        <v>128538.25279999999</v>
      </c>
    </row>
    <row r="41" spans="1:26" x14ac:dyDescent="0.25">
      <c r="A41" s="41" t="s">
        <v>37</v>
      </c>
      <c r="G41" s="107">
        <f>SUM(G29:G40)</f>
        <v>17856840.780000001</v>
      </c>
      <c r="H41" s="107">
        <f t="shared" ref="H41:T41" si="26">SUM(H29:H40)</f>
        <v>16070057.597899999</v>
      </c>
      <c r="I41" s="107">
        <f t="shared" si="26"/>
        <v>17087234.4912</v>
      </c>
      <c r="J41" s="107">
        <f t="shared" si="26"/>
        <v>17939952.885600001</v>
      </c>
      <c r="K41" s="107">
        <f t="shared" si="26"/>
        <v>17705893.836099997</v>
      </c>
      <c r="L41" s="107">
        <f t="shared" si="26"/>
        <v>16707427.365500001</v>
      </c>
      <c r="M41" s="107">
        <f t="shared" si="26"/>
        <v>20894983.923200004</v>
      </c>
      <c r="N41" s="107">
        <f t="shared" si="26"/>
        <v>19526816.807799999</v>
      </c>
      <c r="O41" s="107">
        <f t="shared" si="26"/>
        <v>17237678.924199998</v>
      </c>
      <c r="P41" s="107">
        <f t="shared" si="26"/>
        <v>16616151.556399999</v>
      </c>
      <c r="Q41" s="107">
        <f t="shared" si="26"/>
        <v>16089993.902000001</v>
      </c>
      <c r="R41" s="107">
        <f t="shared" si="26"/>
        <v>17559265.757999994</v>
      </c>
      <c r="S41" s="107">
        <f t="shared" si="26"/>
        <v>16070331.24</v>
      </c>
      <c r="T41" s="107">
        <f t="shared" si="26"/>
        <v>13688047.305999996</v>
      </c>
      <c r="U41" s="107">
        <f>SUM(U29:U40)</f>
        <v>13870070.522399999</v>
      </c>
      <c r="V41" s="107">
        <f t="shared" ref="V41:X41" si="27">SUM(V29:V40)</f>
        <v>12316929.440399999</v>
      </c>
      <c r="W41" s="107">
        <f t="shared" si="27"/>
        <v>11467817.927300001</v>
      </c>
      <c r="X41" s="107">
        <f t="shared" si="27"/>
        <v>12067665.645199997</v>
      </c>
    </row>
    <row r="42" spans="1:26" x14ac:dyDescent="0.25">
      <c r="A42" s="41"/>
      <c r="B42" s="62"/>
      <c r="C42" s="62"/>
      <c r="D42" s="62"/>
      <c r="E42" s="62"/>
      <c r="F42" s="62"/>
      <c r="G42" s="107"/>
      <c r="H42" s="107"/>
      <c r="I42" s="107"/>
      <c r="J42" s="107"/>
      <c r="K42" s="107"/>
      <c r="L42" s="107"/>
      <c r="M42" s="107"/>
      <c r="N42" s="107"/>
      <c r="O42" s="107"/>
      <c r="P42" s="107"/>
      <c r="Q42" s="107"/>
      <c r="R42" s="107"/>
      <c r="S42" s="107"/>
      <c r="T42" s="107"/>
      <c r="U42" s="107"/>
    </row>
    <row r="43" spans="1:26" x14ac:dyDescent="0.25">
      <c r="G43" s="107"/>
      <c r="H43" s="107"/>
      <c r="I43" s="107"/>
      <c r="J43" s="107"/>
      <c r="K43" s="107"/>
      <c r="L43" s="107"/>
      <c r="M43" s="107"/>
      <c r="N43" s="107"/>
      <c r="O43" s="107"/>
      <c r="P43" s="107"/>
      <c r="Q43" s="107"/>
      <c r="R43" s="107"/>
      <c r="S43" s="107"/>
      <c r="T43" s="107"/>
      <c r="U43" s="107"/>
    </row>
    <row r="44" spans="1:26" x14ac:dyDescent="0.25">
      <c r="A44" s="34" t="s">
        <v>676</v>
      </c>
      <c r="G44" s="107"/>
      <c r="H44" s="107"/>
      <c r="I44" s="107">
        <f>SUM(G41:I41)</f>
        <v>51014132.869100004</v>
      </c>
      <c r="J44" s="107"/>
      <c r="K44" s="107"/>
      <c r="L44" s="107">
        <f>SUM(J41:L41)</f>
        <v>52353274.087200001</v>
      </c>
      <c r="M44" s="107"/>
      <c r="N44" s="107"/>
      <c r="O44" s="107">
        <f>SUM(M41:O41)</f>
        <v>57659479.655200005</v>
      </c>
      <c r="P44" s="107"/>
      <c r="Q44" s="107"/>
      <c r="R44" s="107">
        <f>SUM(P41:R41)</f>
        <v>50265411.216399997</v>
      </c>
      <c r="S44" s="107"/>
      <c r="T44" s="107"/>
      <c r="U44" s="107">
        <f>SUM(S41:U41)</f>
        <v>43628449.068399996</v>
      </c>
      <c r="X44" s="107">
        <f>SUM(V41:X41)</f>
        <v>35852413.012899995</v>
      </c>
    </row>
    <row r="45" spans="1:26" x14ac:dyDescent="0.25">
      <c r="A45" s="34" t="s">
        <v>677</v>
      </c>
      <c r="L45" s="40">
        <f>(L44/I44)-1</f>
        <v>2.6250396562383482E-2</v>
      </c>
      <c r="M45" s="40"/>
      <c r="N45" s="40"/>
      <c r="O45" s="40">
        <f>(O44/L44)-1</f>
        <v>0.1013538438715782</v>
      </c>
      <c r="P45" s="40"/>
      <c r="Q45" s="40"/>
      <c r="R45" s="40">
        <f>(R44/O44)-1</f>
        <v>-0.12823682216724919</v>
      </c>
      <c r="S45" s="40"/>
      <c r="T45" s="40"/>
      <c r="U45" s="40">
        <f>(U44/R44)-1</f>
        <v>-0.13203835375835093</v>
      </c>
      <c r="X45" s="40">
        <f>(X44/U44)-1</f>
        <v>-0.17823315340201196</v>
      </c>
    </row>
    <row r="46" spans="1:26" x14ac:dyDescent="0.25">
      <c r="A46" s="34" t="s">
        <v>678</v>
      </c>
      <c r="L46" s="40"/>
      <c r="M46" s="40"/>
      <c r="N46" s="40"/>
      <c r="O46" s="40"/>
      <c r="P46" s="40"/>
      <c r="Q46" s="40"/>
      <c r="R46" s="40"/>
      <c r="S46" s="40"/>
      <c r="T46" s="40"/>
      <c r="U46" s="40">
        <f>(U44/I44)-1</f>
        <v>-0.1447772094774471</v>
      </c>
      <c r="X46" s="40">
        <f>(X44/L44)-1</f>
        <v>-0.31518298257366006</v>
      </c>
    </row>
    <row r="48" spans="1:26" x14ac:dyDescent="0.25">
      <c r="A48" s="25" t="s">
        <v>576</v>
      </c>
      <c r="G48" s="25" t="s">
        <v>484</v>
      </c>
      <c r="H48" s="25" t="s">
        <v>485</v>
      </c>
      <c r="I48" s="25" t="s">
        <v>486</v>
      </c>
      <c r="J48" s="25" t="s">
        <v>487</v>
      </c>
      <c r="K48" s="25" t="s">
        <v>488</v>
      </c>
      <c r="L48" s="25" t="s">
        <v>489</v>
      </c>
      <c r="M48" s="25" t="s">
        <v>490</v>
      </c>
      <c r="N48" s="25" t="s">
        <v>491</v>
      </c>
      <c r="O48" s="25" t="s">
        <v>492</v>
      </c>
      <c r="P48" s="25" t="s">
        <v>493</v>
      </c>
      <c r="Q48" s="25" t="s">
        <v>494</v>
      </c>
      <c r="R48" s="25" t="s">
        <v>495</v>
      </c>
      <c r="S48" s="25" t="s">
        <v>496</v>
      </c>
      <c r="T48" s="25" t="s">
        <v>497</v>
      </c>
      <c r="U48" s="25" t="s">
        <v>574</v>
      </c>
      <c r="V48" s="25" t="s">
        <v>731</v>
      </c>
      <c r="W48" s="25" t="s">
        <v>732</v>
      </c>
      <c r="X48" s="25" t="s">
        <v>733</v>
      </c>
    </row>
    <row r="49" spans="1:24" x14ac:dyDescent="0.25">
      <c r="A49" s="24" t="s">
        <v>573</v>
      </c>
      <c r="G49" s="62">
        <f>PTF!B8</f>
        <v>71.64</v>
      </c>
      <c r="H49" s="62">
        <f>PTF!C8</f>
        <v>69.53</v>
      </c>
      <c r="I49" s="62">
        <f>PTF!D8</f>
        <v>59.76</v>
      </c>
      <c r="J49" s="62">
        <f>PTF!E8</f>
        <v>65.540000000000006</v>
      </c>
      <c r="K49" s="62">
        <f>PTF!F8</f>
        <v>64.03</v>
      </c>
      <c r="L49" s="62">
        <f>PTF!G8</f>
        <v>56.95</v>
      </c>
      <c r="M49" s="62">
        <f>PTF!H8</f>
        <v>74.36</v>
      </c>
      <c r="N49" s="62">
        <f>PTF!I8</f>
        <v>72.53</v>
      </c>
      <c r="O49" s="62">
        <f>PTF!J8</f>
        <v>67.13</v>
      </c>
      <c r="P49" s="62">
        <f>PTF!K8</f>
        <v>66.28</v>
      </c>
      <c r="Q49" s="62">
        <f>PTF!L8</f>
        <v>66.790000000000006</v>
      </c>
      <c r="R49" s="62">
        <f>PTF!M8</f>
        <v>70.599999999999994</v>
      </c>
      <c r="S49" s="62">
        <f>PTF!N8</f>
        <v>68</v>
      </c>
      <c r="T49" s="62">
        <f>PTF!O8</f>
        <v>49.19</v>
      </c>
      <c r="U49" s="62">
        <f>PTF!P8</f>
        <v>39.229999999999997</v>
      </c>
      <c r="V49" s="62">
        <f>PTF!Q8</f>
        <v>23.96</v>
      </c>
      <c r="W49" s="62">
        <f>PTF!R8</f>
        <v>17.57</v>
      </c>
      <c r="X49" s="62">
        <f>PTF!S8</f>
        <v>29.08</v>
      </c>
    </row>
    <row r="52" spans="1:24" x14ac:dyDescent="0.25">
      <c r="A52" s="34" t="s">
        <v>681</v>
      </c>
      <c r="B52" s="25" t="s">
        <v>683</v>
      </c>
      <c r="C52" s="25" t="s">
        <v>684</v>
      </c>
      <c r="D52" s="25" t="s">
        <v>685</v>
      </c>
      <c r="E52" s="25" t="s">
        <v>686</v>
      </c>
      <c r="F52" s="25" t="s">
        <v>687</v>
      </c>
      <c r="G52" s="25" t="s">
        <v>484</v>
      </c>
      <c r="H52" s="25" t="s">
        <v>485</v>
      </c>
      <c r="I52" s="25" t="s">
        <v>486</v>
      </c>
      <c r="J52" s="25" t="s">
        <v>487</v>
      </c>
      <c r="K52" s="25" t="s">
        <v>488</v>
      </c>
      <c r="L52" s="25" t="s">
        <v>489</v>
      </c>
      <c r="M52" s="25" t="s">
        <v>490</v>
      </c>
      <c r="N52" s="25" t="s">
        <v>491</v>
      </c>
      <c r="O52" s="25" t="s">
        <v>492</v>
      </c>
      <c r="P52" s="25" t="s">
        <v>493</v>
      </c>
      <c r="Q52" s="25" t="s">
        <v>494</v>
      </c>
      <c r="R52" s="25" t="s">
        <v>495</v>
      </c>
      <c r="S52" s="25" t="s">
        <v>496</v>
      </c>
      <c r="T52" s="25" t="s">
        <v>497</v>
      </c>
      <c r="U52" s="100" t="s">
        <v>574</v>
      </c>
      <c r="V52" s="25" t="s">
        <v>731</v>
      </c>
      <c r="W52" s="25" t="s">
        <v>732</v>
      </c>
      <c r="X52" s="25" t="s">
        <v>733</v>
      </c>
    </row>
    <row r="53" spans="1:24" x14ac:dyDescent="0.25">
      <c r="A53" s="41" t="s">
        <v>227</v>
      </c>
      <c r="G53" s="107">
        <f>$G$72*G29</f>
        <v>0</v>
      </c>
      <c r="H53" s="107">
        <f>$H$72*H29</f>
        <v>0</v>
      </c>
      <c r="I53" s="107">
        <f>$I$72*I29</f>
        <v>0</v>
      </c>
      <c r="J53" s="107">
        <f>$J$72*J29</f>
        <v>0</v>
      </c>
      <c r="K53" s="107">
        <f>$K$72*K29</f>
        <v>0</v>
      </c>
      <c r="L53" s="107">
        <f>$L$72*L29</f>
        <v>0</v>
      </c>
      <c r="M53" s="107">
        <f>$M$72*M29</f>
        <v>0</v>
      </c>
      <c r="N53" s="107">
        <f>$N$72*N29</f>
        <v>0</v>
      </c>
      <c r="O53" s="107">
        <f>$O$72*O29</f>
        <v>0</v>
      </c>
      <c r="P53" s="107">
        <f>$P$72*P29</f>
        <v>0</v>
      </c>
      <c r="Q53" s="107">
        <f>$Q$72*Q29</f>
        <v>253.66842000000005</v>
      </c>
      <c r="R53" s="107">
        <f>$R$72*R29</f>
        <v>30.082659999999997</v>
      </c>
      <c r="S53" s="107">
        <f>$S$72*S29</f>
        <v>11440.727999999999</v>
      </c>
      <c r="T53" s="107">
        <f>$T$72*T29</f>
        <v>17998.025801</v>
      </c>
      <c r="U53" s="107">
        <f>$U$72*U29</f>
        <v>27784.490579999998</v>
      </c>
      <c r="V53" s="107">
        <f t="shared" ref="V53:X53" si="28">$U$72*V29</f>
        <v>26658.926280000003</v>
      </c>
      <c r="W53" s="107">
        <f t="shared" si="28"/>
        <v>22284.312120000002</v>
      </c>
      <c r="X53" s="107">
        <f t="shared" si="28"/>
        <v>43794.9162</v>
      </c>
    </row>
    <row r="54" spans="1:24" x14ac:dyDescent="0.25">
      <c r="A54" s="41" t="s">
        <v>228</v>
      </c>
      <c r="G54" s="107">
        <f t="shared" ref="G54:G64" si="29">$G$72*G30</f>
        <v>73970938.587167993</v>
      </c>
      <c r="H54" s="107">
        <f t="shared" ref="H54:H63" si="30">$H$72*H30</f>
        <v>83676816.988127992</v>
      </c>
      <c r="I54" s="107">
        <f t="shared" ref="I54:I64" si="31">$I$72*I30</f>
        <v>79854025.67769599</v>
      </c>
      <c r="J54" s="107">
        <f t="shared" ref="J54:J64" si="32">$J$72*J30</f>
        <v>83222644.352420002</v>
      </c>
      <c r="K54" s="107">
        <f t="shared" ref="K54:K64" si="33">$K$72*K30</f>
        <v>45620574.266431995</v>
      </c>
      <c r="L54" s="107">
        <f t="shared" ref="L54:L64" si="34">$L$72*L30</f>
        <v>71908379.05697</v>
      </c>
      <c r="M54" s="107">
        <f t="shared" ref="M54:M64" si="35">$M$72*M30</f>
        <v>107491559.061744</v>
      </c>
      <c r="N54" s="107">
        <f t="shared" ref="N54:N64" si="36">$N$72*N30</f>
        <v>106315088.3291</v>
      </c>
      <c r="O54" s="107">
        <f t="shared" ref="O54:O64" si="37">$O$72*O30</f>
        <v>97339527.652892023</v>
      </c>
      <c r="P54" s="107">
        <f t="shared" ref="P54:P64" si="38">$P$72*P30</f>
        <v>100494157.54080001</v>
      </c>
      <c r="Q54" s="107">
        <f t="shared" ref="Q54:Q64" si="39">$Q$72*Q30</f>
        <v>96293941.501000017</v>
      </c>
      <c r="R54" s="107">
        <f t="shared" ref="R54:R64" si="40">$R$72*R30</f>
        <v>100784191.00371997</v>
      </c>
      <c r="S54" s="107">
        <f t="shared" ref="S54:S64" si="41">$S$72*S30</f>
        <v>100284610.67520002</v>
      </c>
      <c r="T54" s="107">
        <f t="shared" ref="T54:T64" si="42">$T$72*T30</f>
        <v>66468597.037885003</v>
      </c>
      <c r="U54" s="107">
        <f t="shared" ref="U54:X64" si="43">$U$72*U30</f>
        <v>59098078.575269997</v>
      </c>
      <c r="V54" s="107">
        <f t="shared" si="43"/>
        <v>33896777.216400005</v>
      </c>
      <c r="W54" s="107">
        <f t="shared" si="43"/>
        <v>26460962.491319999</v>
      </c>
      <c r="X54" s="107">
        <f t="shared" si="43"/>
        <v>37841462.222759992</v>
      </c>
    </row>
    <row r="55" spans="1:24" x14ac:dyDescent="0.25">
      <c r="A55" s="41" t="s">
        <v>229</v>
      </c>
      <c r="G55" s="107">
        <f t="shared" si="29"/>
        <v>393394863.70799994</v>
      </c>
      <c r="H55" s="107">
        <f t="shared" si="30"/>
        <v>363387058.77599996</v>
      </c>
      <c r="I55" s="107">
        <f t="shared" si="31"/>
        <v>396672342.36000001</v>
      </c>
      <c r="J55" s="107">
        <f t="shared" si="32"/>
        <v>392607464.33999991</v>
      </c>
      <c r="K55" s="107">
        <f t="shared" si="33"/>
        <v>397132605.40799993</v>
      </c>
      <c r="L55" s="107">
        <f t="shared" si="34"/>
        <v>369821827.28399992</v>
      </c>
      <c r="M55" s="107">
        <f t="shared" si="35"/>
        <v>406978934.16600001</v>
      </c>
      <c r="N55" s="107">
        <f t="shared" si="36"/>
        <v>412937584.23749995</v>
      </c>
      <c r="O55" s="107">
        <f t="shared" si="37"/>
        <v>393050045.59800005</v>
      </c>
      <c r="P55" s="107">
        <f t="shared" si="38"/>
        <v>420400309.875</v>
      </c>
      <c r="Q55" s="107">
        <f t="shared" si="39"/>
        <v>438678482.33999997</v>
      </c>
      <c r="R55" s="107">
        <f t="shared" si="40"/>
        <v>468171571.51799995</v>
      </c>
      <c r="S55" s="107">
        <f t="shared" si="41"/>
        <v>455691443.75999999</v>
      </c>
      <c r="T55" s="107">
        <f t="shared" si="42"/>
        <v>426056608.27799994</v>
      </c>
      <c r="U55" s="107">
        <f>$U$72*U31</f>
        <v>468619982.14499998</v>
      </c>
      <c r="V55" s="107">
        <f t="shared" ref="V55:X55" si="44">$U$72*V31</f>
        <v>450046815.12</v>
      </c>
      <c r="W55" s="107">
        <f t="shared" si="44"/>
        <v>437329795.14000005</v>
      </c>
      <c r="X55" s="107">
        <f t="shared" si="44"/>
        <v>424416256.73999995</v>
      </c>
    </row>
    <row r="56" spans="1:24" x14ac:dyDescent="0.25">
      <c r="A56" s="41" t="s">
        <v>465</v>
      </c>
      <c r="G56" s="107">
        <f t="shared" si="29"/>
        <v>73189211.933807999</v>
      </c>
      <c r="H56" s="107">
        <f t="shared" si="30"/>
        <v>65162099.924207993</v>
      </c>
      <c r="I56" s="107">
        <f t="shared" si="31"/>
        <v>63883526.006591998</v>
      </c>
      <c r="J56" s="107">
        <f t="shared" si="32"/>
        <v>68592709.438010007</v>
      </c>
      <c r="K56" s="107">
        <f t="shared" si="33"/>
        <v>69463440.733631998</v>
      </c>
      <c r="L56" s="107">
        <f t="shared" si="34"/>
        <v>58891002.788625002</v>
      </c>
      <c r="M56" s="107">
        <f t="shared" si="35"/>
        <v>78008557.069872007</v>
      </c>
      <c r="N56" s="107">
        <f t="shared" si="36"/>
        <v>54644623.490700006</v>
      </c>
      <c r="O56" s="107">
        <f t="shared" si="37"/>
        <v>72001618.729599997</v>
      </c>
      <c r="P56" s="107">
        <f t="shared" si="38"/>
        <v>73521830.844699994</v>
      </c>
      <c r="Q56" s="107">
        <f t="shared" si="39"/>
        <v>74426596.281800002</v>
      </c>
      <c r="R56" s="107">
        <f t="shared" si="40"/>
        <v>83807011.750059992</v>
      </c>
      <c r="S56" s="107">
        <f t="shared" si="41"/>
        <v>80809763.445600003</v>
      </c>
      <c r="T56" s="107">
        <f t="shared" si="42"/>
        <v>54227558.347955994</v>
      </c>
      <c r="U56" s="107">
        <f t="shared" si="43"/>
        <v>48740345.73512999</v>
      </c>
      <c r="V56" s="107">
        <f t="shared" si="43"/>
        <v>28480619.575800005</v>
      </c>
      <c r="W56" s="107">
        <f t="shared" si="43"/>
        <v>20352480.76323</v>
      </c>
      <c r="X56" s="107">
        <f t="shared" si="43"/>
        <v>13872190.39164</v>
      </c>
    </row>
    <row r="57" spans="1:24" x14ac:dyDescent="0.25">
      <c r="A57" s="104" t="s">
        <v>230</v>
      </c>
      <c r="G57" s="107">
        <f t="shared" si="29"/>
        <v>35527068.05184</v>
      </c>
      <c r="H57" s="107">
        <f t="shared" si="30"/>
        <v>26010060.798119999</v>
      </c>
      <c r="I57" s="107">
        <f t="shared" si="31"/>
        <v>37705378.855679996</v>
      </c>
      <c r="J57" s="107">
        <f t="shared" si="32"/>
        <v>48776175.523000002</v>
      </c>
      <c r="K57" s="107">
        <f t="shared" si="33"/>
        <v>73916604.910720006</v>
      </c>
      <c r="L57" s="107">
        <f t="shared" si="34"/>
        <v>70503510.567499995</v>
      </c>
      <c r="M57" s="107">
        <f t="shared" si="35"/>
        <v>122342602.59936</v>
      </c>
      <c r="N57" s="107">
        <f t="shared" si="36"/>
        <v>126109434.13</v>
      </c>
      <c r="O57" s="107">
        <f t="shared" si="37"/>
        <v>82309632.693680003</v>
      </c>
      <c r="P57" s="107">
        <f t="shared" si="38"/>
        <v>41188792.993000001</v>
      </c>
      <c r="Q57" s="107">
        <f t="shared" si="39"/>
        <v>32224344.954000004</v>
      </c>
      <c r="R57" s="107">
        <f t="shared" si="40"/>
        <v>56025043.504199997</v>
      </c>
      <c r="S57" s="107">
        <f t="shared" si="41"/>
        <v>0</v>
      </c>
      <c r="T57" s="107">
        <f t="shared" si="42"/>
        <v>0</v>
      </c>
      <c r="U57" s="107">
        <f t="shared" si="43"/>
        <v>0</v>
      </c>
      <c r="V57" s="107">
        <f t="shared" si="43"/>
        <v>0</v>
      </c>
      <c r="W57" s="107">
        <f t="shared" si="43"/>
        <v>0</v>
      </c>
      <c r="X57" s="107">
        <f t="shared" si="43"/>
        <v>0</v>
      </c>
    </row>
    <row r="58" spans="1:24" x14ac:dyDescent="0.25">
      <c r="A58" s="41" t="s">
        <v>231</v>
      </c>
      <c r="G58" s="107">
        <f t="shared" si="29"/>
        <v>9153102.7965599988</v>
      </c>
      <c r="H58" s="107">
        <f t="shared" si="30"/>
        <v>5667077.5818719994</v>
      </c>
      <c r="I58" s="107">
        <f t="shared" si="31"/>
        <v>5732394.2881920002</v>
      </c>
      <c r="J58" s="107">
        <f t="shared" si="32"/>
        <v>19776633.163010001</v>
      </c>
      <c r="K58" s="107">
        <f t="shared" si="33"/>
        <v>25310503.117151998</v>
      </c>
      <c r="L58" s="107">
        <f t="shared" si="34"/>
        <v>10724807.034595</v>
      </c>
      <c r="M58" s="107">
        <f t="shared" si="35"/>
        <v>8377974.7674479997</v>
      </c>
      <c r="N58" s="107">
        <f t="shared" si="36"/>
        <v>6501959.8283000011</v>
      </c>
      <c r="O58" s="107">
        <f t="shared" si="37"/>
        <v>5088394.9255999997</v>
      </c>
      <c r="P58" s="107">
        <f t="shared" si="38"/>
        <v>892086.71219999995</v>
      </c>
      <c r="Q58" s="107">
        <f t="shared" si="39"/>
        <v>176835.07412000003</v>
      </c>
      <c r="R58" s="107">
        <f t="shared" si="40"/>
        <v>1986688.9490599998</v>
      </c>
      <c r="S58" s="107">
        <f t="shared" si="41"/>
        <v>10730170.785600001</v>
      </c>
      <c r="T58" s="107">
        <f t="shared" si="42"/>
        <v>3858206.1149449996</v>
      </c>
      <c r="U58" s="107">
        <f t="shared" si="43"/>
        <v>3489963.8426100002</v>
      </c>
      <c r="V58" s="107">
        <f t="shared" si="43"/>
        <v>4951438.5614400003</v>
      </c>
      <c r="W58" s="107">
        <f t="shared" si="43"/>
        <v>5070750.2823599996</v>
      </c>
      <c r="X58" s="107">
        <f t="shared" si="43"/>
        <v>12457184.984999999</v>
      </c>
    </row>
    <row r="59" spans="1:24" x14ac:dyDescent="0.25">
      <c r="A59" s="41" t="s">
        <v>232</v>
      </c>
      <c r="G59" s="107">
        <f t="shared" si="29"/>
        <v>377760.41366399999</v>
      </c>
      <c r="H59" s="107">
        <f t="shared" si="30"/>
        <v>333441.71137199999</v>
      </c>
      <c r="I59" s="107">
        <f t="shared" si="31"/>
        <v>324810.51609599998</v>
      </c>
      <c r="J59" s="107">
        <f t="shared" si="32"/>
        <v>352124.13639999996</v>
      </c>
      <c r="K59" s="107">
        <f t="shared" si="33"/>
        <v>361795.72668799997</v>
      </c>
      <c r="L59" s="107">
        <f t="shared" si="34"/>
        <v>11019578.748200001</v>
      </c>
      <c r="M59" s="107">
        <f t="shared" si="35"/>
        <v>19567999.108943999</v>
      </c>
      <c r="N59" s="107">
        <f t="shared" si="36"/>
        <v>21810447.523574997</v>
      </c>
      <c r="O59" s="107">
        <f t="shared" si="37"/>
        <v>7170705.6585919997</v>
      </c>
      <c r="P59" s="107">
        <f t="shared" si="38"/>
        <v>400689.11200000002</v>
      </c>
      <c r="Q59" s="107">
        <f t="shared" si="39"/>
        <v>395609.99368000007</v>
      </c>
      <c r="R59" s="107">
        <f t="shared" si="40"/>
        <v>493927.19453999994</v>
      </c>
      <c r="S59" s="107">
        <f t="shared" si="41"/>
        <v>432400.84800000006</v>
      </c>
      <c r="T59" s="107">
        <f t="shared" si="42"/>
        <v>279988.35846800002</v>
      </c>
      <c r="U59" s="107">
        <f t="shared" si="43"/>
        <v>251894.26079999996</v>
      </c>
      <c r="V59" s="107">
        <f t="shared" si="43"/>
        <v>92582.446320000017</v>
      </c>
      <c r="W59" s="107">
        <f t="shared" si="43"/>
        <v>8035.05969</v>
      </c>
      <c r="X59" s="107">
        <f t="shared" si="43"/>
        <v>2080098.2159999998</v>
      </c>
    </row>
    <row r="60" spans="1:24" x14ac:dyDescent="0.25">
      <c r="A60" s="41" t="s">
        <v>233</v>
      </c>
      <c r="G60" s="107">
        <f t="shared" si="29"/>
        <v>0</v>
      </c>
      <c r="H60" s="107">
        <f t="shared" si="30"/>
        <v>0</v>
      </c>
      <c r="I60" s="107">
        <f t="shared" si="31"/>
        <v>0</v>
      </c>
      <c r="J60" s="107">
        <f t="shared" si="32"/>
        <v>0</v>
      </c>
      <c r="K60" s="107">
        <f t="shared" si="33"/>
        <v>758226.45852800005</v>
      </c>
      <c r="L60" s="107">
        <f t="shared" si="34"/>
        <v>3609120.557335</v>
      </c>
      <c r="M60" s="107">
        <f t="shared" si="35"/>
        <v>5365226.5421040002</v>
      </c>
      <c r="N60" s="107">
        <f t="shared" si="36"/>
        <v>4441346.807275</v>
      </c>
      <c r="O60" s="107">
        <f t="shared" si="37"/>
        <v>2015591.3000719999</v>
      </c>
      <c r="P60" s="107">
        <f t="shared" si="38"/>
        <v>0</v>
      </c>
      <c r="Q60" s="107">
        <f t="shared" si="39"/>
        <v>0</v>
      </c>
      <c r="R60" s="107">
        <f t="shared" si="40"/>
        <v>0</v>
      </c>
      <c r="S60" s="107">
        <f t="shared" si="41"/>
        <v>0</v>
      </c>
      <c r="T60" s="107">
        <f t="shared" si="42"/>
        <v>0</v>
      </c>
      <c r="U60" s="107">
        <f t="shared" si="43"/>
        <v>0</v>
      </c>
      <c r="V60" s="107">
        <f t="shared" si="43"/>
        <v>513324.33516000008</v>
      </c>
      <c r="W60" s="107">
        <f t="shared" si="43"/>
        <v>80861.989320000008</v>
      </c>
      <c r="X60" s="107">
        <f t="shared" si="43"/>
        <v>1086870.55428</v>
      </c>
    </row>
    <row r="61" spans="1:24" x14ac:dyDescent="0.25">
      <c r="A61" s="41" t="s">
        <v>234</v>
      </c>
      <c r="G61" s="107">
        <f t="shared" si="29"/>
        <v>12593996.382815998</v>
      </c>
      <c r="H61" s="107">
        <f t="shared" si="30"/>
        <v>10555864.990104001</v>
      </c>
      <c r="I61" s="107">
        <f t="shared" si="31"/>
        <v>11591556.316992</v>
      </c>
      <c r="J61" s="107">
        <f t="shared" si="32"/>
        <v>16083619.061650001</v>
      </c>
      <c r="K61" s="107">
        <f t="shared" si="33"/>
        <v>18695068.378624</v>
      </c>
      <c r="L61" s="107">
        <f t="shared" si="34"/>
        <v>13171499.700254999</v>
      </c>
      <c r="M61" s="107">
        <f t="shared" si="35"/>
        <v>17746249.929408003</v>
      </c>
      <c r="N61" s="107">
        <f t="shared" si="36"/>
        <v>16021762.03995</v>
      </c>
      <c r="O61" s="107">
        <f t="shared" si="37"/>
        <v>11490747.413543999</v>
      </c>
      <c r="P61" s="107">
        <f t="shared" si="38"/>
        <v>13259599.666800002</v>
      </c>
      <c r="Q61" s="107">
        <f t="shared" si="39"/>
        <v>12406781.495300004</v>
      </c>
      <c r="R61" s="107">
        <f t="shared" si="40"/>
        <v>13717993.786599999</v>
      </c>
      <c r="S61" s="107">
        <f t="shared" si="41"/>
        <v>12396527.486400001</v>
      </c>
      <c r="T61" s="107">
        <f t="shared" si="42"/>
        <v>7835040.4571599988</v>
      </c>
      <c r="U61" s="107">
        <f t="shared" si="43"/>
        <v>5796249.5650499994</v>
      </c>
      <c r="V61" s="107">
        <f t="shared" si="43"/>
        <v>5181024.4315200001</v>
      </c>
      <c r="W61" s="107">
        <f t="shared" si="43"/>
        <v>4723452.8422200009</v>
      </c>
      <c r="X61" s="107">
        <f t="shared" si="43"/>
        <v>11677032.735479999</v>
      </c>
    </row>
    <row r="62" spans="1:24" x14ac:dyDescent="0.25">
      <c r="A62" s="41" t="s">
        <v>235</v>
      </c>
      <c r="G62" s="107">
        <f t="shared" si="29"/>
        <v>4721369.7239999995</v>
      </c>
      <c r="H62" s="107">
        <f t="shared" si="30"/>
        <v>4187798.8530000001</v>
      </c>
      <c r="I62" s="107">
        <f t="shared" si="31"/>
        <v>4088796.4108800003</v>
      </c>
      <c r="J62" s="107">
        <f t="shared" si="32"/>
        <v>4487587.7015000004</v>
      </c>
      <c r="K62" s="107">
        <f t="shared" si="33"/>
        <v>4711798.6607999997</v>
      </c>
      <c r="L62" s="107">
        <f t="shared" si="34"/>
        <v>6058212.2929999996</v>
      </c>
      <c r="M62" s="107">
        <f t="shared" si="35"/>
        <v>12490834.56192</v>
      </c>
      <c r="N62" s="107">
        <f t="shared" si="36"/>
        <v>15036306.721499998</v>
      </c>
      <c r="O62" s="107">
        <f t="shared" si="37"/>
        <v>12791028.876360001</v>
      </c>
      <c r="P62" s="107">
        <f t="shared" si="38"/>
        <v>3876833.19</v>
      </c>
      <c r="Q62" s="107">
        <f t="shared" si="39"/>
        <v>0</v>
      </c>
      <c r="R62" s="107">
        <f t="shared" si="40"/>
        <v>1735167.8287999998</v>
      </c>
      <c r="S62" s="107">
        <f t="shared" si="41"/>
        <v>5456347.2000000002</v>
      </c>
      <c r="T62" s="107">
        <f t="shared" si="42"/>
        <v>2493766.9837500001</v>
      </c>
      <c r="U62" s="107">
        <f t="shared" si="43"/>
        <v>1500812.3024999998</v>
      </c>
      <c r="V62" s="107">
        <f t="shared" si="43"/>
        <v>2556213.8111999999</v>
      </c>
      <c r="W62" s="107">
        <f t="shared" si="43"/>
        <v>1744932.9240000001</v>
      </c>
      <c r="X62" s="107">
        <f t="shared" si="43"/>
        <v>5590231.8947999999</v>
      </c>
    </row>
    <row r="63" spans="1:24" x14ac:dyDescent="0.25">
      <c r="A63" s="41" t="s">
        <v>236</v>
      </c>
      <c r="G63" s="107">
        <f t="shared" si="29"/>
        <v>17509177.380815998</v>
      </c>
      <c r="H63" s="107">
        <f t="shared" si="30"/>
        <v>12228196.851108</v>
      </c>
      <c r="I63" s="107">
        <f t="shared" si="31"/>
        <v>29492657.623872001</v>
      </c>
      <c r="J63" s="107">
        <f t="shared" si="32"/>
        <v>44314772.689999998</v>
      </c>
      <c r="K63" s="107">
        <f t="shared" si="33"/>
        <v>45215937.244896002</v>
      </c>
      <c r="L63" s="107">
        <f t="shared" si="34"/>
        <v>37060698.909949996</v>
      </c>
      <c r="M63" s="107">
        <f t="shared" si="35"/>
        <v>46239906.666095994</v>
      </c>
      <c r="N63" s="107">
        <f t="shared" si="36"/>
        <v>21713829.041299999</v>
      </c>
      <c r="O63" s="107">
        <f t="shared" si="37"/>
        <v>23078916.272916004</v>
      </c>
      <c r="P63" s="107">
        <f t="shared" si="38"/>
        <v>36497935.5207</v>
      </c>
      <c r="Q63" s="107">
        <f t="shared" si="39"/>
        <v>21957172.025260005</v>
      </c>
      <c r="R63" s="107">
        <f t="shared" si="40"/>
        <v>17880170.45888</v>
      </c>
      <c r="S63" s="107">
        <f t="shared" si="41"/>
        <v>18852911.654400002</v>
      </c>
      <c r="T63" s="107">
        <f t="shared" si="42"/>
        <v>18187380.477692999</v>
      </c>
      <c r="U63" s="107">
        <f t="shared" si="43"/>
        <v>11623328.496360002</v>
      </c>
      <c r="V63" s="107">
        <f t="shared" si="43"/>
        <v>11713623.669720002</v>
      </c>
      <c r="W63" s="107">
        <f t="shared" si="43"/>
        <v>5988947.6241000006</v>
      </c>
      <c r="X63" s="107">
        <f t="shared" si="43"/>
        <v>17450395.348679997</v>
      </c>
    </row>
    <row r="64" spans="1:24" x14ac:dyDescent="0.25">
      <c r="A64" s="41" t="s">
        <v>237</v>
      </c>
      <c r="G64" s="107">
        <f t="shared" si="29"/>
        <v>13123221.895727998</v>
      </c>
      <c r="H64" s="107">
        <f>$H$72*H40</f>
        <v>9242063.9622360002</v>
      </c>
      <c r="I64" s="107">
        <f t="shared" si="31"/>
        <v>3565677.4980479996</v>
      </c>
      <c r="J64" s="107">
        <f t="shared" si="32"/>
        <v>4401476.89109</v>
      </c>
      <c r="K64" s="107">
        <f t="shared" si="33"/>
        <v>4385654.4283199999</v>
      </c>
      <c r="L64" s="107">
        <f t="shared" si="34"/>
        <v>5002778.439305</v>
      </c>
      <c r="M64" s="107">
        <f t="shared" si="35"/>
        <v>14114810.204351999</v>
      </c>
      <c r="N64" s="107">
        <f t="shared" si="36"/>
        <v>10185402.768649999</v>
      </c>
      <c r="O64" s="107">
        <f t="shared" si="37"/>
        <v>4545669.7127520004</v>
      </c>
      <c r="P64" s="107">
        <f t="shared" si="38"/>
        <v>3192092.0244999998</v>
      </c>
      <c r="Q64" s="107">
        <f t="shared" si="39"/>
        <v>2437725.3308200003</v>
      </c>
      <c r="R64" s="107">
        <f t="shared" si="40"/>
        <v>3598517.8718599998</v>
      </c>
      <c r="S64" s="107">
        <f t="shared" si="41"/>
        <v>8608473.1103999987</v>
      </c>
      <c r="T64" s="107">
        <f t="shared" si="42"/>
        <v>17510598.933001999</v>
      </c>
      <c r="U64" s="107">
        <f t="shared" si="43"/>
        <v>12521670.624539999</v>
      </c>
      <c r="V64" s="107">
        <f t="shared" si="43"/>
        <v>5717510.2278000005</v>
      </c>
      <c r="W64" s="107">
        <f t="shared" si="43"/>
        <v>3948267.1655700002</v>
      </c>
      <c r="X64" s="107">
        <f t="shared" si="43"/>
        <v>5668536.9484799998</v>
      </c>
    </row>
    <row r="65" spans="1:27" x14ac:dyDescent="0.25">
      <c r="A65" s="41" t="s">
        <v>37</v>
      </c>
      <c r="G65" s="107">
        <f>SUM(G53:G64)</f>
        <v>633560710.87439978</v>
      </c>
      <c r="H65" s="107">
        <f t="shared" ref="H65:T65" si="45">SUM(H53:H64)</f>
        <v>580450480.43614793</v>
      </c>
      <c r="I65" s="107">
        <f t="shared" si="45"/>
        <v>632911165.55404806</v>
      </c>
      <c r="J65" s="107">
        <f t="shared" si="45"/>
        <v>682615207.29707992</v>
      </c>
      <c r="K65" s="107">
        <f t="shared" si="45"/>
        <v>685572209.33379197</v>
      </c>
      <c r="L65" s="107">
        <f t="shared" si="45"/>
        <v>657771415.37973499</v>
      </c>
      <c r="M65" s="107">
        <f t="shared" si="45"/>
        <v>838724654.67724788</v>
      </c>
      <c r="N65" s="107">
        <f t="shared" si="45"/>
        <v>795717784.91785002</v>
      </c>
      <c r="O65" s="107">
        <f t="shared" si="45"/>
        <v>710881878.8340081</v>
      </c>
      <c r="P65" s="107">
        <f t="shared" si="45"/>
        <v>693724327.47970009</v>
      </c>
      <c r="Q65" s="107">
        <f t="shared" si="45"/>
        <v>678997742.66439998</v>
      </c>
      <c r="R65" s="107">
        <f t="shared" si="45"/>
        <v>748200313.94837976</v>
      </c>
      <c r="S65" s="107">
        <f t="shared" si="45"/>
        <v>693274089.69360006</v>
      </c>
      <c r="T65" s="107">
        <f t="shared" si="45"/>
        <v>596935743.01466</v>
      </c>
      <c r="U65" s="107">
        <f>SUM(U53:U64)</f>
        <v>611670110.03783989</v>
      </c>
      <c r="V65" s="107">
        <f t="shared" ref="V65:X65" si="46">SUM(V53:V64)</f>
        <v>543176588.32164001</v>
      </c>
      <c r="W65" s="107">
        <f t="shared" si="46"/>
        <v>505730770.59393013</v>
      </c>
      <c r="X65" s="107">
        <f t="shared" si="46"/>
        <v>532184054.95332003</v>
      </c>
    </row>
    <row r="66" spans="1:27" x14ac:dyDescent="0.25">
      <c r="G66" s="107"/>
      <c r="H66" s="107"/>
      <c r="I66" s="107"/>
      <c r="J66" s="107"/>
      <c r="K66" s="107"/>
      <c r="L66" s="107"/>
      <c r="M66" s="107"/>
      <c r="N66" s="107"/>
      <c r="O66" s="107"/>
      <c r="P66" s="107"/>
      <c r="Q66" s="107"/>
      <c r="R66" s="107"/>
      <c r="S66" s="107"/>
      <c r="T66" s="107"/>
      <c r="U66" s="107"/>
    </row>
    <row r="67" spans="1:27" x14ac:dyDescent="0.25">
      <c r="A67" s="34" t="s">
        <v>676</v>
      </c>
      <c r="G67" s="107"/>
      <c r="H67" s="107"/>
      <c r="I67" s="107">
        <f>SUM(G65:I65)</f>
        <v>1846922356.8645959</v>
      </c>
      <c r="J67" s="107"/>
      <c r="K67" s="107"/>
      <c r="L67" s="107">
        <f>SUM(J65:L65)</f>
        <v>2025958832.0106068</v>
      </c>
      <c r="M67" s="107"/>
      <c r="N67" s="107"/>
      <c r="O67" s="107">
        <f>SUM(M65:O65)</f>
        <v>2345324318.4291062</v>
      </c>
      <c r="P67" s="107"/>
      <c r="Q67" s="107"/>
      <c r="R67" s="107">
        <f>SUM(P65:R65)</f>
        <v>2120922384.0924799</v>
      </c>
      <c r="S67" s="107"/>
      <c r="T67" s="107"/>
      <c r="U67" s="107">
        <f>SUM(S65:U65)</f>
        <v>1901879942.7460999</v>
      </c>
      <c r="X67" s="107">
        <f>SUM(V65:X65)</f>
        <v>1581091413.8688903</v>
      </c>
    </row>
    <row r="68" spans="1:27" x14ac:dyDescent="0.25">
      <c r="A68" s="34" t="s">
        <v>677</v>
      </c>
      <c r="L68" s="40">
        <f>(L67/I67)-1</f>
        <v>9.6937737788798994E-2</v>
      </c>
      <c r="M68" s="40"/>
      <c r="N68" s="40"/>
      <c r="O68" s="40">
        <f>(O67/L67)-1</f>
        <v>0.15763671076255492</v>
      </c>
      <c r="P68" s="40"/>
      <c r="Q68" s="40"/>
      <c r="R68" s="40">
        <f>(R67/O67)-1</f>
        <v>-9.5680555807706069E-2</v>
      </c>
      <c r="S68" s="40"/>
      <c r="T68" s="40"/>
      <c r="U68" s="40">
        <f>(U67/R67)-1</f>
        <v>-0.10327697184454299</v>
      </c>
      <c r="X68" s="40">
        <f>(X67/U67)-1</f>
        <v>-0.16866917919857083</v>
      </c>
    </row>
    <row r="69" spans="1:27" x14ac:dyDescent="0.25">
      <c r="A69" s="34" t="s">
        <v>678</v>
      </c>
      <c r="L69" s="40"/>
      <c r="M69" s="40"/>
      <c r="N69" s="40"/>
      <c r="O69" s="40"/>
      <c r="P69" s="40"/>
      <c r="Q69" s="40"/>
      <c r="R69" s="40"/>
      <c r="S69" s="40"/>
      <c r="T69" s="40"/>
      <c r="U69" s="40">
        <f>(U67/I67)-1</f>
        <v>2.9756305497758984E-2</v>
      </c>
      <c r="X69" s="40">
        <f>(X67/L67)-1</f>
        <v>-0.2195836416380782</v>
      </c>
    </row>
    <row r="71" spans="1:27" x14ac:dyDescent="0.25">
      <c r="A71" s="25" t="s">
        <v>578</v>
      </c>
      <c r="G71" s="25" t="s">
        <v>484</v>
      </c>
      <c r="H71" s="25" t="s">
        <v>485</v>
      </c>
      <c r="I71" s="25" t="s">
        <v>486</v>
      </c>
      <c r="J71" s="25" t="s">
        <v>487</v>
      </c>
      <c r="K71" s="25" t="s">
        <v>488</v>
      </c>
      <c r="L71" s="25" t="s">
        <v>489</v>
      </c>
      <c r="M71" s="25" t="s">
        <v>490</v>
      </c>
      <c r="N71" s="25" t="s">
        <v>491</v>
      </c>
      <c r="O71" s="25" t="s">
        <v>492</v>
      </c>
      <c r="P71" s="25" t="s">
        <v>493</v>
      </c>
      <c r="Q71" s="25" t="s">
        <v>494</v>
      </c>
      <c r="R71" s="25" t="s">
        <v>495</v>
      </c>
      <c r="S71" s="25" t="s">
        <v>496</v>
      </c>
      <c r="T71" s="25" t="s">
        <v>497</v>
      </c>
      <c r="U71" s="25" t="s">
        <v>574</v>
      </c>
      <c r="V71" s="25" t="s">
        <v>731</v>
      </c>
      <c r="W71" s="25" t="s">
        <v>732</v>
      </c>
      <c r="X71" s="25" t="s">
        <v>733</v>
      </c>
    </row>
    <row r="72" spans="1:27" x14ac:dyDescent="0.25">
      <c r="A72" s="25" t="s">
        <v>576</v>
      </c>
      <c r="G72" s="62" t="str">
        <f>PTF!B5</f>
        <v>35,48</v>
      </c>
      <c r="H72" s="62">
        <f>PTF!C5</f>
        <v>36.119999999999997</v>
      </c>
      <c r="I72" s="62">
        <f>PTF!D5</f>
        <v>37.04</v>
      </c>
      <c r="J72" s="62">
        <f>PTF!E5</f>
        <v>38.049999999999997</v>
      </c>
      <c r="K72" s="62">
        <f>PTF!F5</f>
        <v>38.72</v>
      </c>
      <c r="L72" s="62">
        <f>PTF!G5</f>
        <v>39.369999999999997</v>
      </c>
      <c r="M72" s="62">
        <f>PTF!H5</f>
        <v>40.14</v>
      </c>
      <c r="N72" s="62">
        <f>PTF!I5</f>
        <v>40.75</v>
      </c>
      <c r="O72" s="62">
        <f>PTF!J5</f>
        <v>41.24</v>
      </c>
      <c r="P72" s="62">
        <f>PTF!K5</f>
        <v>41.75</v>
      </c>
      <c r="Q72" s="62">
        <f>PTF!L5</f>
        <v>42.2</v>
      </c>
      <c r="R72" s="62">
        <f>PTF!M5</f>
        <v>42.61</v>
      </c>
      <c r="S72" s="62">
        <f>PTF!N5</f>
        <v>43.14</v>
      </c>
      <c r="T72" s="62">
        <f>PTF!O5</f>
        <v>43.61</v>
      </c>
      <c r="U72" s="62">
        <f>PTF!P5</f>
        <v>44.1</v>
      </c>
      <c r="V72" s="62">
        <f>PTF!Q5</f>
        <v>44.68</v>
      </c>
      <c r="W72" s="62">
        <f>PTF!R5</f>
        <v>45.36</v>
      </c>
      <c r="X72" s="62">
        <f>PTF!S5</f>
        <v>46.17</v>
      </c>
    </row>
    <row r="73" spans="1:27" x14ac:dyDescent="0.25">
      <c r="G73" s="62"/>
      <c r="H73" s="62"/>
      <c r="I73" s="62"/>
      <c r="J73" s="62"/>
      <c r="K73" s="62"/>
      <c r="L73" s="62"/>
      <c r="M73" s="62"/>
      <c r="N73" s="62"/>
      <c r="O73" s="62"/>
      <c r="P73" s="62"/>
      <c r="Q73" s="62"/>
      <c r="R73" s="62"/>
      <c r="S73" s="62"/>
      <c r="T73" s="62"/>
      <c r="U73" s="62"/>
    </row>
    <row r="75" spans="1:27" x14ac:dyDescent="0.25">
      <c r="I75" s="25" t="s">
        <v>770</v>
      </c>
      <c r="J75" s="25" t="s">
        <v>484</v>
      </c>
      <c r="K75" s="25" t="s">
        <v>485</v>
      </c>
      <c r="L75" s="25" t="s">
        <v>486</v>
      </c>
      <c r="M75" s="25" t="s">
        <v>487</v>
      </c>
      <c r="N75" s="25" t="s">
        <v>488</v>
      </c>
      <c r="O75" s="25" t="s">
        <v>489</v>
      </c>
      <c r="P75" s="25" t="s">
        <v>490</v>
      </c>
      <c r="Q75" s="25" t="s">
        <v>491</v>
      </c>
      <c r="R75" s="25" t="s">
        <v>492</v>
      </c>
      <c r="S75" s="25" t="s">
        <v>493</v>
      </c>
      <c r="T75" s="25" t="s">
        <v>494</v>
      </c>
      <c r="U75" s="25" t="s">
        <v>495</v>
      </c>
      <c r="V75" s="25" t="s">
        <v>496</v>
      </c>
      <c r="W75" s="25" t="s">
        <v>497</v>
      </c>
      <c r="X75" s="25" t="s">
        <v>574</v>
      </c>
      <c r="Y75" s="25" t="s">
        <v>731</v>
      </c>
      <c r="Z75" s="25" t="s">
        <v>732</v>
      </c>
      <c r="AA75" s="25" t="s">
        <v>733</v>
      </c>
    </row>
    <row r="76" spans="1:27" x14ac:dyDescent="0.25">
      <c r="I76" s="25" t="s">
        <v>31</v>
      </c>
      <c r="J76" s="25">
        <f>SUM(G2:G5)</f>
        <v>163494.34999999998</v>
      </c>
      <c r="K76" s="25">
        <f t="shared" ref="K76:AA76" si="47">SUM(H2:H5)</f>
        <v>155079.51999999999</v>
      </c>
      <c r="L76" s="25">
        <f t="shared" si="47"/>
        <v>166929.77000000002</v>
      </c>
      <c r="M76" s="25">
        <f t="shared" si="47"/>
        <v>159145.75</v>
      </c>
      <c r="N76" s="25">
        <f t="shared" si="47"/>
        <v>144100.22</v>
      </c>
      <c r="O76" s="25">
        <f t="shared" si="47"/>
        <v>147799.16999999998</v>
      </c>
      <c r="P76" s="25">
        <f t="shared" si="47"/>
        <v>158709.82</v>
      </c>
      <c r="Q76" s="25">
        <f t="shared" si="47"/>
        <v>150968.21</v>
      </c>
      <c r="R76" s="25">
        <f t="shared" si="47"/>
        <v>151937.90000000002</v>
      </c>
      <c r="S76" s="25">
        <f t="shared" si="47"/>
        <v>158785.15</v>
      </c>
      <c r="T76" s="25">
        <f t="shared" si="47"/>
        <v>159572.82999999999</v>
      </c>
      <c r="U76" s="25">
        <f t="shared" si="47"/>
        <v>166002.9</v>
      </c>
      <c r="V76" s="25">
        <f t="shared" si="47"/>
        <v>162337.49000000002</v>
      </c>
      <c r="W76" s="25">
        <f t="shared" si="47"/>
        <v>149317.13999999998</v>
      </c>
      <c r="X76" s="25">
        <f t="shared" si="47"/>
        <v>163551.75</v>
      </c>
      <c r="Y76" s="25">
        <f t="shared" si="47"/>
        <v>156251.01999999999</v>
      </c>
      <c r="Z76" s="25">
        <f t="shared" si="47"/>
        <v>154891.39000000001</v>
      </c>
      <c r="AA76" s="25">
        <f t="shared" si="47"/>
        <v>132015.63</v>
      </c>
    </row>
    <row r="77" spans="1:27" x14ac:dyDescent="0.25">
      <c r="I77" s="25" t="s">
        <v>29</v>
      </c>
      <c r="J77" s="25">
        <f>SUM(G7:G13)</f>
        <v>22613.47</v>
      </c>
      <c r="K77" s="25">
        <f t="shared" ref="K77:AA77" si="48">SUM(H7:H13)</f>
        <v>16808.97</v>
      </c>
      <c r="L77" s="25">
        <f t="shared" si="48"/>
        <v>24755.200000000001</v>
      </c>
      <c r="M77" s="25">
        <f t="shared" si="48"/>
        <v>35855.449999999997</v>
      </c>
      <c r="N77" s="25">
        <f t="shared" si="48"/>
        <v>40108.629999999997</v>
      </c>
      <c r="O77" s="25">
        <f t="shared" si="48"/>
        <v>38644.959999999999</v>
      </c>
      <c r="P77" s="25">
        <f t="shared" si="48"/>
        <v>41511.18</v>
      </c>
      <c r="Q77" s="25">
        <f t="shared" si="48"/>
        <v>32382.980000000003</v>
      </c>
      <c r="R77" s="25">
        <f t="shared" si="48"/>
        <v>23905.53</v>
      </c>
      <c r="S77" s="25">
        <f t="shared" si="48"/>
        <v>21002.98</v>
      </c>
      <c r="T77" s="25">
        <f t="shared" si="48"/>
        <v>13260.11</v>
      </c>
      <c r="U77" s="25">
        <f t="shared" si="48"/>
        <v>13101.39</v>
      </c>
      <c r="V77" s="25">
        <f t="shared" si="48"/>
        <v>19252.240000000002</v>
      </c>
      <c r="W77" s="25">
        <f t="shared" si="48"/>
        <v>23385.02</v>
      </c>
      <c r="X77" s="25">
        <f t="shared" si="48"/>
        <v>20337.02</v>
      </c>
      <c r="Y77" s="25">
        <f t="shared" si="48"/>
        <v>29078.81</v>
      </c>
      <c r="Z77" s="25">
        <f t="shared" si="48"/>
        <v>27831.98</v>
      </c>
      <c r="AA77" s="25">
        <f t="shared" si="48"/>
        <v>43675.239999999991</v>
      </c>
    </row>
    <row r="78" spans="1:27" x14ac:dyDescent="0.25">
      <c r="I78" s="25" t="s">
        <v>28</v>
      </c>
      <c r="J78" s="25">
        <f>G6</f>
        <v>13977.2</v>
      </c>
      <c r="K78" s="25">
        <f t="shared" ref="K78:U78" si="49">H6</f>
        <v>10356.700000000001</v>
      </c>
      <c r="L78" s="25">
        <f t="shared" si="49"/>
        <v>17034.2</v>
      </c>
      <c r="M78" s="25">
        <f t="shared" si="49"/>
        <v>19559</v>
      </c>
      <c r="N78" s="25">
        <f t="shared" si="49"/>
        <v>29814.2</v>
      </c>
      <c r="O78" s="25">
        <f t="shared" si="49"/>
        <v>31445</v>
      </c>
      <c r="P78" s="25">
        <f t="shared" si="49"/>
        <v>40988.400000000001</v>
      </c>
      <c r="Q78" s="25">
        <f t="shared" si="49"/>
        <v>42668</v>
      </c>
      <c r="R78" s="25">
        <f t="shared" si="49"/>
        <v>29731.4</v>
      </c>
      <c r="S78" s="25">
        <f t="shared" si="49"/>
        <v>14884.7</v>
      </c>
      <c r="T78" s="25">
        <f t="shared" si="49"/>
        <v>11433</v>
      </c>
      <c r="U78" s="25">
        <f t="shared" si="49"/>
        <v>18623.7</v>
      </c>
    </row>
    <row r="79" spans="1:27" x14ac:dyDescent="0.25">
      <c r="I79" s="25" t="s">
        <v>522</v>
      </c>
      <c r="J79" s="25">
        <f>SUM(J76:J78)</f>
        <v>200085.02</v>
      </c>
      <c r="K79" s="25">
        <f t="shared" ref="K79:U79" si="50">SUM(K76:K78)</f>
        <v>182245.19</v>
      </c>
      <c r="L79" s="25">
        <f t="shared" si="50"/>
        <v>208719.17000000004</v>
      </c>
      <c r="M79" s="25">
        <f t="shared" si="50"/>
        <v>214560.2</v>
      </c>
      <c r="N79" s="25">
        <f t="shared" si="50"/>
        <v>214023.05000000002</v>
      </c>
      <c r="O79" s="25">
        <f t="shared" si="50"/>
        <v>217889.12999999998</v>
      </c>
      <c r="P79" s="25">
        <f t="shared" si="50"/>
        <v>241209.4</v>
      </c>
      <c r="Q79" s="25">
        <f t="shared" si="50"/>
        <v>226019.19</v>
      </c>
      <c r="R79" s="25">
        <f t="shared" si="50"/>
        <v>205574.83000000002</v>
      </c>
      <c r="S79" s="25">
        <f t="shared" si="50"/>
        <v>194672.83000000002</v>
      </c>
      <c r="T79" s="25">
        <f t="shared" si="50"/>
        <v>184265.94</v>
      </c>
      <c r="U79" s="25">
        <f t="shared" si="50"/>
        <v>197727.99</v>
      </c>
      <c r="V79" s="25">
        <f t="shared" ref="V79" si="51">SUM(V76:V78)</f>
        <v>181589.73</v>
      </c>
      <c r="W79" s="25">
        <f t="shared" ref="W79" si="52">SUM(W76:W78)</f>
        <v>172702.15999999997</v>
      </c>
      <c r="X79" s="25">
        <f t="shared" ref="X79" si="53">SUM(X76:X78)</f>
        <v>183888.77</v>
      </c>
      <c r="Y79" s="25">
        <f t="shared" ref="Y79" si="54">SUM(Y76:Y78)</f>
        <v>185329.83</v>
      </c>
      <c r="Z79" s="25">
        <f t="shared" ref="Z79" si="55">SUM(Z76:Z78)</f>
        <v>182723.37000000002</v>
      </c>
      <c r="AA79" s="25">
        <f t="shared" ref="AA79" si="56">SUM(AA76:AA78)</f>
        <v>175690.87</v>
      </c>
    </row>
    <row r="82" spans="1:16" x14ac:dyDescent="0.25">
      <c r="I82" s="25" t="s">
        <v>770</v>
      </c>
      <c r="J82" s="25" t="s">
        <v>756</v>
      </c>
      <c r="K82" s="25" t="s">
        <v>757</v>
      </c>
      <c r="L82" s="25" t="s">
        <v>758</v>
      </c>
      <c r="M82" s="25" t="s">
        <v>759</v>
      </c>
      <c r="N82" s="25" t="s">
        <v>760</v>
      </c>
      <c r="O82" s="25" t="s">
        <v>761</v>
      </c>
    </row>
    <row r="83" spans="1:16" x14ac:dyDescent="0.25">
      <c r="I83" s="25" t="s">
        <v>31</v>
      </c>
      <c r="J83" s="25">
        <f>SUM(J76:L76)</f>
        <v>485503.64</v>
      </c>
      <c r="K83" s="25">
        <f>SUM(M76:O76)</f>
        <v>451045.13999999996</v>
      </c>
      <c r="L83" s="25">
        <f>SUM(P76:R76)</f>
        <v>461615.93000000005</v>
      </c>
      <c r="M83" s="25">
        <f>SUM(S76:U76)</f>
        <v>484360.88</v>
      </c>
      <c r="N83" s="25">
        <f>SUM(V76:X76)</f>
        <v>475206.38</v>
      </c>
      <c r="O83" s="25">
        <f>SUM(Y76:AA76)</f>
        <v>443158.04000000004</v>
      </c>
    </row>
    <row r="84" spans="1:16" x14ac:dyDescent="0.25">
      <c r="I84" s="25" t="s">
        <v>29</v>
      </c>
      <c r="J84" s="25">
        <f t="shared" ref="J84:J86" si="57">SUM(J77:L77)</f>
        <v>64177.64</v>
      </c>
      <c r="K84" s="25">
        <f t="shared" ref="K84:K86" si="58">SUM(M77:O77)</f>
        <v>114609.03999999998</v>
      </c>
      <c r="L84" s="25">
        <f t="shared" ref="L84:L86" si="59">SUM(P77:R77)</f>
        <v>97799.69</v>
      </c>
      <c r="M84" s="25">
        <f t="shared" ref="M84:M86" si="60">SUM(S77:U77)</f>
        <v>47364.479999999996</v>
      </c>
      <c r="N84" s="25">
        <f t="shared" ref="N84:N86" si="61">SUM(V77:X77)</f>
        <v>62974.28</v>
      </c>
      <c r="O84" s="25">
        <f t="shared" ref="O84:O86" si="62">SUM(Y77:AA77)</f>
        <v>100586.03</v>
      </c>
    </row>
    <row r="85" spans="1:16" x14ac:dyDescent="0.25">
      <c r="I85" s="25" t="s">
        <v>28</v>
      </c>
      <c r="J85" s="25">
        <f t="shared" si="57"/>
        <v>41368.100000000006</v>
      </c>
      <c r="K85" s="25">
        <f t="shared" si="58"/>
        <v>80818.2</v>
      </c>
      <c r="L85" s="25">
        <f t="shared" si="59"/>
        <v>113387.79999999999</v>
      </c>
      <c r="M85" s="25">
        <f t="shared" si="60"/>
        <v>44941.4</v>
      </c>
    </row>
    <row r="86" spans="1:16" x14ac:dyDescent="0.25">
      <c r="I86" s="25" t="s">
        <v>522</v>
      </c>
      <c r="J86" s="25">
        <f t="shared" si="57"/>
        <v>591049.38</v>
      </c>
      <c r="K86" s="25">
        <f t="shared" si="58"/>
        <v>646472.38</v>
      </c>
      <c r="L86" s="25">
        <f t="shared" si="59"/>
        <v>672803.41999999993</v>
      </c>
      <c r="M86" s="25">
        <f t="shared" si="60"/>
        <v>576666.76</v>
      </c>
      <c r="N86" s="25">
        <f t="shared" si="61"/>
        <v>538180.66</v>
      </c>
      <c r="O86" s="25">
        <f t="shared" si="62"/>
        <v>543744.07000000007</v>
      </c>
    </row>
    <row r="89" spans="1:16" ht="15.75" thickBot="1" x14ac:dyDescent="0.3">
      <c r="M89" s="305"/>
      <c r="N89" s="305"/>
    </row>
    <row r="90" spans="1:16" x14ac:dyDescent="0.25">
      <c r="A90" s="86" t="s">
        <v>44</v>
      </c>
      <c r="B90" s="41"/>
      <c r="C90" s="41"/>
      <c r="D90" s="41"/>
      <c r="E90" s="41"/>
      <c r="F90" s="41"/>
      <c r="G90" s="41"/>
      <c r="H90" s="41"/>
      <c r="I90" s="41"/>
    </row>
    <row r="91" spans="1:16" x14ac:dyDescent="0.25">
      <c r="A91" s="41" t="s">
        <v>241</v>
      </c>
      <c r="B91" s="41"/>
      <c r="C91" s="41"/>
      <c r="D91" s="41"/>
      <c r="E91" s="41"/>
      <c r="F91" s="41"/>
      <c r="G91" s="41"/>
      <c r="H91" s="41"/>
      <c r="I91" s="41"/>
    </row>
    <row r="92" spans="1:16" x14ac:dyDescent="0.25">
      <c r="A92" s="41" t="s">
        <v>242</v>
      </c>
      <c r="B92" s="41"/>
      <c r="C92" s="41"/>
      <c r="D92" s="41"/>
      <c r="E92" s="41"/>
      <c r="F92" s="41"/>
      <c r="G92" s="41"/>
      <c r="H92" s="41"/>
      <c r="I92" s="41"/>
    </row>
    <row r="93" spans="1:16" x14ac:dyDescent="0.25">
      <c r="A93" s="41" t="s">
        <v>243</v>
      </c>
      <c r="B93" s="41"/>
      <c r="C93" s="41"/>
      <c r="D93" s="41"/>
      <c r="E93" s="41"/>
      <c r="F93" s="41"/>
      <c r="G93" s="41"/>
      <c r="H93" s="41"/>
      <c r="I93" s="41"/>
    </row>
    <row r="94" spans="1:16" x14ac:dyDescent="0.25">
      <c r="A94" s="41" t="s">
        <v>244</v>
      </c>
      <c r="B94" s="41"/>
      <c r="C94" s="41"/>
      <c r="D94" s="41"/>
      <c r="E94" s="41"/>
      <c r="F94" s="41"/>
      <c r="G94" s="41"/>
      <c r="H94" s="41"/>
      <c r="I94" s="41"/>
    </row>
    <row r="95" spans="1:16" ht="15.75" thickBot="1" x14ac:dyDescent="0.3">
      <c r="A95" s="41" t="s">
        <v>245</v>
      </c>
      <c r="B95" s="41"/>
      <c r="C95" s="41"/>
      <c r="D95" s="41"/>
      <c r="E95" s="41"/>
      <c r="F95" s="41"/>
      <c r="G95" s="41"/>
      <c r="H95" s="41"/>
      <c r="I95" s="41"/>
      <c r="O95" s="306"/>
      <c r="P95" s="306"/>
    </row>
    <row r="96" spans="1:16" ht="15.75" thickBot="1" x14ac:dyDescent="0.3">
      <c r="A96" s="41"/>
      <c r="B96" s="41"/>
      <c r="C96" s="41"/>
      <c r="D96" s="41"/>
      <c r="E96" s="41"/>
      <c r="F96" s="41"/>
      <c r="G96" s="41"/>
      <c r="H96" s="41"/>
      <c r="I96" s="41"/>
      <c r="O96" s="306"/>
      <c r="P96" s="306"/>
    </row>
    <row r="97" spans="1:16" ht="15.75" thickBot="1" x14ac:dyDescent="0.3">
      <c r="A97" s="88" t="s">
        <v>246</v>
      </c>
      <c r="B97" s="41"/>
      <c r="C97" s="41"/>
      <c r="D97" s="41"/>
      <c r="E97" s="41"/>
      <c r="F97" s="41"/>
      <c r="G97" s="41"/>
      <c r="H97" s="41"/>
      <c r="I97" s="41"/>
      <c r="O97" s="306"/>
      <c r="P97" s="306"/>
    </row>
    <row r="98" spans="1:16" ht="15.75" thickBot="1" x14ac:dyDescent="0.3">
      <c r="O98" s="306"/>
      <c r="P98" s="306"/>
    </row>
    <row r="99" spans="1:16" ht="15.75" thickBot="1" x14ac:dyDescent="0.3">
      <c r="O99" s="306"/>
      <c r="P99" s="306"/>
    </row>
    <row r="100" spans="1:16" ht="15.75" thickBot="1" x14ac:dyDescent="0.3">
      <c r="O100" s="306"/>
      <c r="P100" s="306"/>
    </row>
    <row r="101" spans="1:16" ht="15.75" thickBot="1" x14ac:dyDescent="0.3">
      <c r="O101" s="306"/>
      <c r="P101" s="306"/>
    </row>
    <row r="102" spans="1:16" ht="15.75" thickBot="1" x14ac:dyDescent="0.3">
      <c r="O102" s="306"/>
      <c r="P102" s="306"/>
    </row>
    <row r="103" spans="1:16" ht="15.75" thickBot="1" x14ac:dyDescent="0.3">
      <c r="O103" s="306"/>
      <c r="P103" s="306"/>
    </row>
    <row r="104" spans="1:16" ht="15.75" thickBot="1" x14ac:dyDescent="0.3">
      <c r="O104" s="306"/>
      <c r="P104" s="306"/>
    </row>
    <row r="105" spans="1:16" ht="15.75" thickBot="1" x14ac:dyDescent="0.3">
      <c r="O105" s="306"/>
      <c r="P105" s="306"/>
    </row>
    <row r="106" spans="1:16" ht="15.75" thickBot="1" x14ac:dyDescent="0.3">
      <c r="O106" s="306"/>
      <c r="P106" s="306"/>
    </row>
    <row r="107" spans="1:16" ht="15.75" thickBot="1" x14ac:dyDescent="0.3">
      <c r="O107" s="306"/>
      <c r="P107" s="306"/>
    </row>
    <row r="108" spans="1:16" ht="15.75" thickBot="1" x14ac:dyDescent="0.3">
      <c r="O108" s="306"/>
      <c r="P108" s="306"/>
    </row>
    <row r="109" spans="1:16" ht="15.75" thickBot="1" x14ac:dyDescent="0.3">
      <c r="O109" s="306"/>
      <c r="P109" s="306"/>
    </row>
    <row r="110" spans="1:16" ht="15.75" thickBot="1" x14ac:dyDescent="0.3">
      <c r="O110" s="306"/>
      <c r="P110" s="306"/>
    </row>
    <row r="111" spans="1:16" ht="15.75" thickBot="1" x14ac:dyDescent="0.3">
      <c r="O111" s="306"/>
      <c r="P111" s="306"/>
    </row>
    <row r="112" spans="1:16" ht="15.75" thickBot="1" x14ac:dyDescent="0.3">
      <c r="O112" s="306"/>
      <c r="P112" s="306"/>
    </row>
    <row r="113" spans="15:16" ht="15.75" thickBot="1" x14ac:dyDescent="0.3">
      <c r="O113" s="306"/>
      <c r="P113" s="306"/>
    </row>
    <row r="114" spans="15:16" ht="15.75" thickBot="1" x14ac:dyDescent="0.3">
      <c r="O114" s="306"/>
      <c r="P114" s="306"/>
    </row>
    <row r="115" spans="15:16" ht="15.75" thickBot="1" x14ac:dyDescent="0.3">
      <c r="O115" s="306"/>
      <c r="P115" s="306"/>
    </row>
    <row r="116" spans="15:16" ht="15.75" thickBot="1" x14ac:dyDescent="0.3">
      <c r="O116" s="306"/>
      <c r="P116" s="306"/>
    </row>
    <row r="117" spans="15:16" ht="15.75" thickBot="1" x14ac:dyDescent="0.3">
      <c r="O117" s="306"/>
      <c r="P117" s="306"/>
    </row>
    <row r="118" spans="15:16" ht="15.75" thickBot="1" x14ac:dyDescent="0.3">
      <c r="O118" s="306"/>
      <c r="P118" s="306"/>
    </row>
    <row r="119" spans="15:16" ht="15.75" thickBot="1" x14ac:dyDescent="0.3">
      <c r="O119" s="306"/>
      <c r="P119" s="306"/>
    </row>
    <row r="120" spans="15:16" ht="15.75" thickBot="1" x14ac:dyDescent="0.3">
      <c r="O120" s="306"/>
      <c r="P120" s="306"/>
    </row>
    <row r="121" spans="15:16" ht="15.75" thickBot="1" x14ac:dyDescent="0.3">
      <c r="O121" s="306"/>
      <c r="P121" s="306"/>
    </row>
    <row r="122" spans="15:16" ht="15.75" thickBot="1" x14ac:dyDescent="0.3">
      <c r="O122" s="306"/>
      <c r="P122" s="306"/>
    </row>
    <row r="123" spans="15:16" ht="15.75" thickBot="1" x14ac:dyDescent="0.3">
      <c r="O123" s="306"/>
      <c r="P123" s="306"/>
    </row>
    <row r="124" spans="15:16" ht="15.75" thickBot="1" x14ac:dyDescent="0.3">
      <c r="O124" s="306"/>
      <c r="P124" s="306"/>
    </row>
    <row r="125" spans="15:16" ht="15.75" thickBot="1" x14ac:dyDescent="0.3">
      <c r="O125" s="306"/>
      <c r="P125" s="306"/>
    </row>
    <row r="126" spans="15:16" ht="15.75" thickBot="1" x14ac:dyDescent="0.3">
      <c r="O126" s="306"/>
      <c r="P126" s="306"/>
    </row>
    <row r="127" spans="15:16" ht="15.75" thickBot="1" x14ac:dyDescent="0.3">
      <c r="O127" s="306"/>
      <c r="P127" s="306"/>
    </row>
    <row r="128" spans="15:16" ht="15.75" thickBot="1" x14ac:dyDescent="0.3">
      <c r="O128" s="306"/>
      <c r="P128" s="306"/>
    </row>
    <row r="129" spans="15:16" ht="15.75" thickBot="1" x14ac:dyDescent="0.3">
      <c r="O129" s="306"/>
      <c r="P129" s="306"/>
    </row>
    <row r="130" spans="15:16" ht="15.75" thickBot="1" x14ac:dyDescent="0.3">
      <c r="O130" s="306"/>
      <c r="P130" s="306"/>
    </row>
    <row r="131" spans="15:16" ht="15.75" thickBot="1" x14ac:dyDescent="0.3">
      <c r="O131" s="306"/>
      <c r="P131" s="306"/>
    </row>
    <row r="132" spans="15:16" ht="15.75" thickBot="1" x14ac:dyDescent="0.3">
      <c r="O132" s="306"/>
      <c r="P132" s="306"/>
    </row>
  </sheetData>
  <phoneticPr fontId="48" type="noConversion"/>
  <conditionalFormatting sqref="L45:U46">
    <cfRule type="colorScale" priority="8">
      <colorScale>
        <cfvo type="min"/>
        <cfvo type="percentile" val="50"/>
        <cfvo type="max"/>
        <color rgb="FFF8696B"/>
        <color rgb="FFFFEB84"/>
        <color rgb="FF63BE7B"/>
      </colorScale>
    </cfRule>
  </conditionalFormatting>
  <conditionalFormatting sqref="L68:U69">
    <cfRule type="colorScale" priority="7">
      <colorScale>
        <cfvo type="min"/>
        <cfvo type="percentile" val="50"/>
        <cfvo type="max"/>
        <color rgb="FFF8696B"/>
        <color rgb="FFFFEB84"/>
        <color rgb="FF63BE7B"/>
      </colorScale>
    </cfRule>
  </conditionalFormatting>
  <conditionalFormatting sqref="L45:X46">
    <cfRule type="colorScale" priority="4">
      <colorScale>
        <cfvo type="min"/>
        <cfvo type="percentile" val="50"/>
        <cfvo type="max"/>
        <color rgb="FFF8696B"/>
        <color rgb="FFFFEB84"/>
        <color rgb="FF63BE7B"/>
      </colorScale>
    </cfRule>
  </conditionalFormatting>
  <conditionalFormatting sqref="L68:X69">
    <cfRule type="colorScale" priority="1">
      <colorScale>
        <cfvo type="min"/>
        <cfvo type="percentile" val="50"/>
        <cfvo type="max"/>
        <color rgb="FFF8696B"/>
        <color rgb="FFFFEB84"/>
        <color rgb="FF63BE7B"/>
      </colorScale>
    </cfRule>
  </conditionalFormatting>
  <conditionalFormatting sqref="S21:X26">
    <cfRule type="colorScale" priority="11">
      <colorScale>
        <cfvo type="min"/>
        <cfvo type="percentile" val="50"/>
        <cfvo type="max"/>
        <color rgb="FFF8696B"/>
        <color rgb="FFFFEB84"/>
        <color rgb="FF63BE7B"/>
      </colorScale>
    </cfRule>
  </conditionalFormatting>
  <conditionalFormatting sqref="X45">
    <cfRule type="colorScale" priority="6">
      <colorScale>
        <cfvo type="min"/>
        <cfvo type="percentile" val="50"/>
        <cfvo type="max"/>
        <color rgb="FFF8696B"/>
        <color rgb="FFFFEB84"/>
        <color rgb="FF63BE7B"/>
      </colorScale>
    </cfRule>
  </conditionalFormatting>
  <conditionalFormatting sqref="X46">
    <cfRule type="colorScale" priority="5">
      <colorScale>
        <cfvo type="min"/>
        <cfvo type="percentile" val="50"/>
        <cfvo type="max"/>
        <color rgb="FFF8696B"/>
        <color rgb="FFFFEB84"/>
        <color rgb="FF63BE7B"/>
      </colorScale>
    </cfRule>
  </conditionalFormatting>
  <conditionalFormatting sqref="X68">
    <cfRule type="colorScale" priority="3">
      <colorScale>
        <cfvo type="min"/>
        <cfvo type="percentile" val="50"/>
        <cfvo type="max"/>
        <color rgb="FFF8696B"/>
        <color rgb="FFFFEB84"/>
        <color rgb="FF63BE7B"/>
      </colorScale>
    </cfRule>
  </conditionalFormatting>
  <conditionalFormatting sqref="X69">
    <cfRule type="colorScale" priority="2">
      <colorScale>
        <cfvo type="min"/>
        <cfvo type="percentile" val="50"/>
        <cfvo type="max"/>
        <color rgb="FFF8696B"/>
        <color rgb="FFFFEB84"/>
        <color rgb="FF63BE7B"/>
      </colorScale>
    </cfRule>
  </conditionalFormatting>
  <pageMargins left="0.7" right="0.7" top="0.75" bottom="0.75" header="0.3" footer="0.3"/>
  <legacyDrawing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30</vt:i4>
      </vt:variant>
    </vt:vector>
  </HeadingPairs>
  <TitlesOfParts>
    <vt:vector size="30" baseType="lpstr">
      <vt:lpstr>ENERJİ SEKTÖRÜ</vt:lpstr>
      <vt:lpstr>ELEKTRİK verileri</vt:lpstr>
      <vt:lpstr>SONUÇ</vt:lpstr>
      <vt:lpstr>PTF</vt:lpstr>
      <vt:lpstr>Sayfa1</vt:lpstr>
      <vt:lpstr>A1YEN</vt:lpstr>
      <vt:lpstr>AKENR</vt:lpstr>
      <vt:lpstr>AKFYE</vt:lpstr>
      <vt:lpstr>AKSEN</vt:lpstr>
      <vt:lpstr>AKSUE</vt:lpstr>
      <vt:lpstr>AYDEM</vt:lpstr>
      <vt:lpstr>AYEN</vt:lpstr>
      <vt:lpstr>BIGEN</vt:lpstr>
      <vt:lpstr>BIOEN</vt:lpstr>
      <vt:lpstr>CONSE</vt:lpstr>
      <vt:lpstr>CANTE</vt:lpstr>
      <vt:lpstr>CATES</vt:lpstr>
      <vt:lpstr>ECOGR</vt:lpstr>
      <vt:lpstr>ENDAE</vt:lpstr>
      <vt:lpstr>ENTRA</vt:lpstr>
      <vt:lpstr>GWIND</vt:lpstr>
      <vt:lpstr>IZENR</vt:lpstr>
      <vt:lpstr>LYDYE</vt:lpstr>
      <vt:lpstr>MOGAN</vt:lpstr>
      <vt:lpstr>ODAS</vt:lpstr>
      <vt:lpstr>PAMEL</vt:lpstr>
      <vt:lpstr>SMRTG</vt:lpstr>
      <vt:lpstr>TATEN</vt:lpstr>
      <vt:lpstr>ZEDUR</vt:lpstr>
      <vt:lpstr>ZOREN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Volkan Yilmaz</dc:creator>
  <cp:lastModifiedBy>Volkan Yilmaz</cp:lastModifiedBy>
  <dcterms:created xsi:type="dcterms:W3CDTF">2015-06-05T18:17:20Z</dcterms:created>
  <dcterms:modified xsi:type="dcterms:W3CDTF">2026-08-12T10:46:29Z</dcterms:modified>
</cp:coreProperties>
</file>